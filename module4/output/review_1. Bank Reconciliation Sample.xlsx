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  <sheet name="Balances" sheetId="2" state="visible" r:id="rId2"/>
    <sheet name="Reconcil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;(#,##0.00)"/>
    <numFmt numFmtId="166" formatCode="[Color10]#,##0.00;[Red](#,##0.00)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b val="1"/>
      <color rgb="00FFFFFF"/>
      <sz val="13"/>
    </font>
    <font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  <bottom style="double"/>
    </border>
  </borders>
  <cellStyleXfs count="1">
    <xf numFmtId="0" fontId="0" fillId="0" borderId="0"/>
  </cellStyleXfs>
  <cellXfs count="1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3" borderId="0" pivotButton="0" quotePrefix="0" xfId="0"/>
    <xf numFmtId="0" fontId="5" fillId="3" borderId="0" applyAlignment="1" pivotButton="0" quotePrefix="0" xfId="0">
      <alignment horizontal="right"/>
    </xf>
    <xf numFmtId="0" fontId="1" fillId="4" borderId="0" pivotButton="0" quotePrefix="0" xfId="0"/>
    <xf numFmtId="165" fontId="1" fillId="4" borderId="0" pivotButton="0" quotePrefix="0" xfId="0"/>
    <xf numFmtId="0" fontId="0" fillId="0" borderId="1" pivotButton="0" quotePrefix="0" xfId="0"/>
    <xf numFmtId="166" fontId="0" fillId="0" borderId="1" pivotButton="0" quotePrefix="0" xfId="0"/>
    <xf numFmtId="0" fontId="1" fillId="4" borderId="2" pivotButton="0" quotePrefix="0" xfId="0"/>
    <xf numFmtId="165" fontId="1" fillId="4" borderId="2" pivotButton="0" quotePrefix="0" xfId="0"/>
    <xf numFmtId="0" fontId="1" fillId="0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bgColor rgb="00C6EFCE"/>
        </patternFill>
      </fill>
    </dxf>
    <dxf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Description</t>
        </is>
      </c>
      <c r="B1" t="inlineStr">
        <is>
          <t>Ledger Description</t>
        </is>
      </c>
      <c r="C1" t="inlineStr">
        <is>
          <t>Type</t>
        </is>
      </c>
      <c r="D1" t="inlineStr">
        <is>
          <t>Bank Amount</t>
        </is>
      </c>
      <c r="E1" t="inlineStr">
        <is>
          <t>Ledger Amount</t>
        </is>
      </c>
      <c r="F1" t="inlineStr">
        <is>
          <t>Bank Date</t>
        </is>
      </c>
      <c r="G1" t="inlineStr">
        <is>
          <t>Ledger Date</t>
        </is>
      </c>
      <c r="H1" t="inlineStr">
        <is>
          <t>Score</t>
        </is>
      </c>
      <c r="I1" t="inlineStr">
        <is>
          <t>Notes</t>
        </is>
      </c>
      <c r="J1" t="inlineStr">
        <is>
          <t>Match?</t>
        </is>
      </c>
    </row>
    <row r="2">
      <c r="A2" t="inlineStr">
        <is>
          <t>dividend income - online transfer</t>
        </is>
      </c>
      <c r="B2" t="inlineStr">
        <is>
          <t>-</t>
        </is>
      </c>
      <c r="C2" t="inlineStr">
        <is>
          <t>credit</t>
        </is>
      </c>
      <c r="D2" t="n">
        <v>2600</v>
      </c>
      <c r="E2" t="inlineStr">
        <is>
          <t>-</t>
        </is>
      </c>
      <c r="F2" s="1" t="n">
        <v>45082</v>
      </c>
      <c r="G2" t="inlineStr">
        <is>
          <t>-</t>
        </is>
      </c>
      <c r="H2" t="inlineStr">
        <is>
          <t>-</t>
        </is>
      </c>
      <c r="I2" t="inlineStr">
        <is>
          <t>no match</t>
        </is>
      </c>
      <c r="J2" t="inlineStr">
        <is>
          <t>No</t>
        </is>
      </c>
    </row>
    <row r="3">
      <c r="A3" t="inlineStr">
        <is>
          <t>bank charges</t>
        </is>
      </c>
      <c r="B3" t="inlineStr">
        <is>
          <t>-</t>
        </is>
      </c>
      <c r="C3" t="inlineStr">
        <is>
          <t>debit</t>
        </is>
      </c>
      <c r="D3" t="n">
        <v>3200</v>
      </c>
      <c r="E3" t="inlineStr">
        <is>
          <t>-</t>
        </is>
      </c>
      <c r="F3" s="1" t="n">
        <v>45091</v>
      </c>
      <c r="G3" t="inlineStr">
        <is>
          <t>-</t>
        </is>
      </c>
      <c r="H3" t="inlineStr">
        <is>
          <t>-</t>
        </is>
      </c>
      <c r="I3" t="inlineStr">
        <is>
          <t>no match</t>
        </is>
      </c>
      <c r="J3" t="inlineStr">
        <is>
          <t>No</t>
        </is>
      </c>
    </row>
    <row r="4">
      <c r="A4" t="inlineStr">
        <is>
          <t>bank charges</t>
        </is>
      </c>
      <c r="B4" t="inlineStr">
        <is>
          <t>-</t>
        </is>
      </c>
      <c r="C4" t="inlineStr">
        <is>
          <t>debit</t>
        </is>
      </c>
      <c r="D4" t="n">
        <v>1800</v>
      </c>
      <c r="E4" t="inlineStr">
        <is>
          <t>-</t>
        </is>
      </c>
      <c r="F4" s="1" t="n">
        <v>45101</v>
      </c>
      <c r="G4" t="inlineStr">
        <is>
          <t>-</t>
        </is>
      </c>
      <c r="H4" t="inlineStr">
        <is>
          <t>-</t>
        </is>
      </c>
      <c r="I4" t="inlineStr">
        <is>
          <t>no match</t>
        </is>
      </c>
      <c r="J4" t="inlineStr">
        <is>
          <t>No</t>
        </is>
      </c>
    </row>
    <row r="5">
      <c r="A5" t="inlineStr">
        <is>
          <t>direct debit</t>
        </is>
      </c>
      <c r="B5" t="inlineStr">
        <is>
          <t>-</t>
        </is>
      </c>
      <c r="C5" t="inlineStr">
        <is>
          <t>debit</t>
        </is>
      </c>
      <c r="D5" t="n">
        <v>8800</v>
      </c>
      <c r="E5" t="inlineStr">
        <is>
          <t>-</t>
        </is>
      </c>
      <c r="F5" s="1" t="n">
        <v>45105</v>
      </c>
      <c r="G5" t="inlineStr">
        <is>
          <t>-</t>
        </is>
      </c>
      <c r="H5" t="inlineStr">
        <is>
          <t>-</t>
        </is>
      </c>
      <c r="I5" t="inlineStr">
        <is>
          <t>no match</t>
        </is>
      </c>
      <c r="J5" t="inlineStr">
        <is>
          <t>No</t>
        </is>
      </c>
    </row>
    <row r="6">
      <c r="A6" t="inlineStr">
        <is>
          <t>-</t>
        </is>
      </c>
      <c r="B6" t="inlineStr">
        <is>
          <t>mrs. husna - 7986</t>
        </is>
      </c>
      <c r="C6" t="inlineStr">
        <is>
          <t>debit</t>
        </is>
      </c>
      <c r="D6" t="inlineStr">
        <is>
          <t>-</t>
        </is>
      </c>
      <c r="E6" t="n">
        <v>9800</v>
      </c>
      <c r="F6" t="inlineStr">
        <is>
          <t>-</t>
        </is>
      </c>
      <c r="G6" s="1" t="n">
        <v>45106</v>
      </c>
      <c r="H6" t="inlineStr">
        <is>
          <t>-</t>
        </is>
      </c>
      <c r="I6" t="inlineStr">
        <is>
          <t>no match</t>
        </is>
      </c>
      <c r="J6" t="inlineStr">
        <is>
          <t>No</t>
        </is>
      </c>
    </row>
    <row r="7">
      <c r="A7" t="inlineStr">
        <is>
          <t>-</t>
        </is>
      </c>
      <c r="B7" t="inlineStr">
        <is>
          <t>mr. arshad - 7987</t>
        </is>
      </c>
      <c r="C7" t="inlineStr">
        <is>
          <t>debit</t>
        </is>
      </c>
      <c r="D7" t="inlineStr">
        <is>
          <t>-</t>
        </is>
      </c>
      <c r="E7" t="n">
        <v>13400</v>
      </c>
      <c r="F7" t="inlineStr">
        <is>
          <t>-</t>
        </is>
      </c>
      <c r="G7" s="1" t="n">
        <v>45107</v>
      </c>
      <c r="H7" t="inlineStr">
        <is>
          <t>-</t>
        </is>
      </c>
      <c r="I7" t="inlineStr">
        <is>
          <t>no match</t>
        </is>
      </c>
      <c r="J7" t="inlineStr">
        <is>
          <t>No</t>
        </is>
      </c>
    </row>
    <row r="8">
      <c r="A8" t="inlineStr">
        <is>
          <t>-</t>
        </is>
      </c>
      <c r="B8" t="inlineStr">
        <is>
          <t>mr. john - 7850</t>
        </is>
      </c>
      <c r="C8" t="inlineStr">
        <is>
          <t>credit</t>
        </is>
      </c>
      <c r="D8" t="inlineStr">
        <is>
          <t>-</t>
        </is>
      </c>
      <c r="E8" t="n">
        <v>7100</v>
      </c>
      <c r="F8" t="inlineStr">
        <is>
          <t>-</t>
        </is>
      </c>
      <c r="G8" s="1" t="n">
        <v>45091</v>
      </c>
      <c r="H8" t="inlineStr">
        <is>
          <t>-</t>
        </is>
      </c>
      <c r="I8" t="inlineStr">
        <is>
          <t>no match</t>
        </is>
      </c>
      <c r="J8" t="inlineStr">
        <is>
          <t>No</t>
        </is>
      </c>
    </row>
    <row r="9">
      <c r="A9" t="inlineStr">
        <is>
          <t>-</t>
        </is>
      </c>
      <c r="B9" t="inlineStr">
        <is>
          <t>mr. zubair aus - 7952</t>
        </is>
      </c>
      <c r="C9" t="inlineStr">
        <is>
          <t>credit</t>
        </is>
      </c>
      <c r="D9" t="inlineStr">
        <is>
          <t>-</t>
        </is>
      </c>
      <c r="E9" t="n">
        <v>3700</v>
      </c>
      <c r="F9" t="inlineStr">
        <is>
          <t>-</t>
        </is>
      </c>
      <c r="G9" s="1" t="n">
        <v>45098</v>
      </c>
      <c r="H9" t="inlineStr">
        <is>
          <t>-</t>
        </is>
      </c>
      <c r="I9" t="inlineStr">
        <is>
          <t>no match</t>
        </is>
      </c>
      <c r="J9" t="inlineStr">
        <is>
          <t>No</t>
        </is>
      </c>
    </row>
    <row r="10">
      <c r="A10" t="inlineStr">
        <is>
          <t>electricity bill cheque # 0007864</t>
        </is>
      </c>
      <c r="B10" t="inlineStr">
        <is>
          <t>electricity - 7864</t>
        </is>
      </c>
      <c r="C10" t="inlineStr">
        <is>
          <t>debit</t>
        </is>
      </c>
      <c r="D10" t="n">
        <v>24300</v>
      </c>
      <c r="E10" t="n">
        <v>24300</v>
      </c>
      <c r="F10" s="1" t="n">
        <v>45082</v>
      </c>
      <c r="G10" s="1" t="n">
        <v>45078</v>
      </c>
      <c r="H10" t="n">
        <v>0.7821212121212122</v>
      </c>
      <c r="I10" t="inlineStr">
        <is>
          <t>matched</t>
        </is>
      </c>
      <c r="J10" t="inlineStr">
        <is>
          <t>Yes</t>
        </is>
      </c>
    </row>
    <row r="11">
      <c r="A11" t="inlineStr">
        <is>
          <t>rental paid cheque # 7870</t>
        </is>
      </c>
      <c r="B11" t="inlineStr">
        <is>
          <t>rental - 7870</t>
        </is>
      </c>
      <c r="C11" t="inlineStr">
        <is>
          <t>debit</t>
        </is>
      </c>
      <c r="D11" t="n">
        <v>16100</v>
      </c>
      <c r="E11" t="n">
        <v>16100</v>
      </c>
      <c r="F11" s="1" t="n">
        <v>45098</v>
      </c>
      <c r="G11" s="1" t="n">
        <v>45093</v>
      </c>
      <c r="H11" t="n">
        <v>0.7627450980392158</v>
      </c>
      <c r="I11" t="inlineStr">
        <is>
          <t>matched</t>
        </is>
      </c>
      <c r="J11" t="inlineStr">
        <is>
          <t>Yes</t>
        </is>
      </c>
    </row>
    <row r="12">
      <c r="A12" t="inlineStr">
        <is>
          <t>payment cheque # 0007866</t>
        </is>
      </c>
      <c r="B12" t="inlineStr">
        <is>
          <t>mr. yaseen - 7866</t>
        </is>
      </c>
      <c r="C12" t="inlineStr">
        <is>
          <t>debit</t>
        </is>
      </c>
      <c r="D12" t="n">
        <v>17400</v>
      </c>
      <c r="E12" t="n">
        <v>17400</v>
      </c>
      <c r="F12" s="1" t="n">
        <v>45085</v>
      </c>
      <c r="G12" s="1" t="n">
        <v>45082</v>
      </c>
      <c r="H12" t="n">
        <v>0.6590909090909092</v>
      </c>
      <c r="I12" t="inlineStr">
        <is>
          <t>matched</t>
        </is>
      </c>
      <c r="J12" t="inlineStr">
        <is>
          <t>Yes</t>
        </is>
      </c>
    </row>
    <row r="13">
      <c r="A13" t="inlineStr">
        <is>
          <t>receipt cheque # 0007981</t>
        </is>
      </c>
      <c r="B13" t="inlineStr">
        <is>
          <t>mr. ali - 7981</t>
        </is>
      </c>
      <c r="C13" t="inlineStr">
        <is>
          <t>credit</t>
        </is>
      </c>
      <c r="D13" t="n">
        <v>21200</v>
      </c>
      <c r="E13" t="n">
        <v>21200</v>
      </c>
      <c r="F13" s="1" t="n">
        <v>45082</v>
      </c>
      <c r="G13" s="1" t="n">
        <v>45081</v>
      </c>
      <c r="H13" t="n">
        <v>0.65</v>
      </c>
      <c r="I13" t="inlineStr">
        <is>
          <t>matched</t>
        </is>
      </c>
      <c r="J13" t="inlineStr">
        <is>
          <t>Yes</t>
        </is>
      </c>
    </row>
    <row r="14">
      <c r="A14" t="inlineStr">
        <is>
          <t>receipt cheque # 07983</t>
        </is>
      </c>
      <c r="B14" t="inlineStr">
        <is>
          <t>mrs. samia - 7983</t>
        </is>
      </c>
      <c r="C14" t="inlineStr">
        <is>
          <t>credit</t>
        </is>
      </c>
      <c r="D14" t="n">
        <v>11800</v>
      </c>
      <c r="E14" t="n">
        <v>11800</v>
      </c>
      <c r="F14" s="1" t="n">
        <v>45097</v>
      </c>
      <c r="G14" s="1" t="n">
        <v>45096</v>
      </c>
      <c r="H14" t="n">
        <v>0.6415151515151516</v>
      </c>
      <c r="I14" t="inlineStr">
        <is>
          <t>matched</t>
        </is>
      </c>
      <c r="J14" t="inlineStr">
        <is>
          <t>Yes</t>
        </is>
      </c>
    </row>
    <row r="15">
      <c r="A15" t="inlineStr">
        <is>
          <t>receipt ch. no. 0007985</t>
        </is>
      </c>
      <c r="B15" t="inlineStr">
        <is>
          <t>mrs. ayesha - 7985</t>
        </is>
      </c>
      <c r="C15" t="inlineStr">
        <is>
          <t>credit</t>
        </is>
      </c>
      <c r="D15" t="n">
        <v>27900</v>
      </c>
      <c r="E15" t="n">
        <v>27900</v>
      </c>
      <c r="F15" s="1" t="n">
        <v>45106</v>
      </c>
      <c r="G15" s="1" t="n">
        <v>45104</v>
      </c>
      <c r="H15" t="n">
        <v>0.6403030303030304</v>
      </c>
      <c r="I15" t="inlineStr">
        <is>
          <t>matched</t>
        </is>
      </c>
      <c r="J15" t="inlineStr">
        <is>
          <t>Yes</t>
        </is>
      </c>
    </row>
    <row r="16">
      <c r="A16" t="inlineStr">
        <is>
          <t>payment cheque # 0007871</t>
        </is>
      </c>
      <c r="B16" t="inlineStr">
        <is>
          <t>mr. kaleem - 7871</t>
        </is>
      </c>
      <c r="C16" t="inlineStr">
        <is>
          <t>debit</t>
        </is>
      </c>
      <c r="D16" t="n">
        <v>2500</v>
      </c>
      <c r="E16" t="n">
        <v>2500</v>
      </c>
      <c r="F16" s="1" t="n">
        <v>45107</v>
      </c>
      <c r="G16" s="1" t="n">
        <v>45097</v>
      </c>
      <c r="H16" t="n">
        <v>0.6357575757575757</v>
      </c>
      <c r="I16" t="inlineStr">
        <is>
          <t>matched</t>
        </is>
      </c>
      <c r="J16" t="inlineStr">
        <is>
          <t>Yes</t>
        </is>
      </c>
    </row>
    <row r="17">
      <c r="A17" t="inlineStr">
        <is>
          <t>payment cheque # 0007873</t>
        </is>
      </c>
      <c r="B17" t="inlineStr">
        <is>
          <t>mr. naseer - 7873</t>
        </is>
      </c>
      <c r="C17" t="inlineStr">
        <is>
          <t>debit</t>
        </is>
      </c>
      <c r="D17" t="n">
        <v>1200</v>
      </c>
      <c r="E17" t="n">
        <v>1200</v>
      </c>
      <c r="F17" s="1" t="n">
        <v>45106</v>
      </c>
      <c r="G17" s="1" t="n">
        <v>45099</v>
      </c>
      <c r="H17" t="n">
        <v>0.6336363636363637</v>
      </c>
      <c r="I17" t="inlineStr">
        <is>
          <t>matched</t>
        </is>
      </c>
      <c r="J17" t="inlineStr">
        <is>
          <t>Yes</t>
        </is>
      </c>
    </row>
    <row r="18">
      <c r="A18" t="inlineStr">
        <is>
          <t>receipt ch. no. 0007984</t>
        </is>
      </c>
      <c r="B18" t="inlineStr">
        <is>
          <t>mr. arif - 7984</t>
        </is>
      </c>
      <c r="C18" t="inlineStr">
        <is>
          <t>credit</t>
        </is>
      </c>
      <c r="D18" t="n">
        <v>4700</v>
      </c>
      <c r="E18" t="n">
        <v>4700</v>
      </c>
      <c r="F18" s="1" t="n">
        <v>45104</v>
      </c>
      <c r="G18" s="1" t="n">
        <v>45101</v>
      </c>
      <c r="H18" t="n">
        <v>0.6333333333333333</v>
      </c>
      <c r="I18" t="inlineStr">
        <is>
          <t>matched</t>
        </is>
      </c>
      <c r="J18" t="inlineStr">
        <is>
          <t>Yes</t>
        </is>
      </c>
    </row>
    <row r="19">
      <c r="A19" t="inlineStr">
        <is>
          <t>receipt cheque # 07982</t>
        </is>
      </c>
      <c r="B19" t="inlineStr">
        <is>
          <t>mr.younis - 7982</t>
        </is>
      </c>
      <c r="C19" t="inlineStr">
        <is>
          <t>credit</t>
        </is>
      </c>
      <c r="D19" t="n">
        <v>18500</v>
      </c>
      <c r="E19" t="n">
        <v>18500</v>
      </c>
      <c r="F19" s="1" t="n">
        <v>45090</v>
      </c>
      <c r="G19" s="1" t="n">
        <v>45086</v>
      </c>
      <c r="H19" t="n">
        <v>0.6315151515151516</v>
      </c>
      <c r="I19" t="inlineStr">
        <is>
          <t>matched</t>
        </is>
      </c>
      <c r="J19" t="inlineStr">
        <is>
          <t>Yes</t>
        </is>
      </c>
    </row>
    <row r="20">
      <c r="A20" t="inlineStr">
        <is>
          <t>outward payment chaeque # 0007867</t>
        </is>
      </c>
      <c r="B20" t="inlineStr">
        <is>
          <t>mrs. noor - 7867</t>
        </is>
      </c>
      <c r="C20" t="inlineStr">
        <is>
          <t>debit</t>
        </is>
      </c>
      <c r="D20" t="n">
        <v>1700</v>
      </c>
      <c r="E20" t="n">
        <v>1700</v>
      </c>
      <c r="F20" s="1" t="n">
        <v>45087</v>
      </c>
      <c r="G20" s="1" t="n">
        <v>45083</v>
      </c>
      <c r="H20" t="n">
        <v>0.6147154471544716</v>
      </c>
      <c r="I20" t="inlineStr">
        <is>
          <t>matched</t>
        </is>
      </c>
      <c r="J20" t="inlineStr">
        <is>
          <t>Yes</t>
        </is>
      </c>
    </row>
    <row r="21">
      <c r="A21" t="inlineStr">
        <is>
          <t>payment cheque # 0007865</t>
        </is>
      </c>
      <c r="B21" t="inlineStr">
        <is>
          <t>mr. usman - 7865</t>
        </is>
      </c>
      <c r="C21" t="inlineStr">
        <is>
          <t>debit</t>
        </is>
      </c>
      <c r="D21" t="n">
        <v>30700</v>
      </c>
      <c r="E21" t="n">
        <v>30700</v>
      </c>
      <c r="F21" s="1" t="n">
        <v>45097</v>
      </c>
      <c r="G21" s="1" t="n">
        <v>45079</v>
      </c>
      <c r="H21" t="n">
        <v>0.6000000000000001</v>
      </c>
      <c r="I21" t="inlineStr">
        <is>
          <t>matched</t>
        </is>
      </c>
      <c r="J21" t="inlineStr">
        <is>
          <t>Yes</t>
        </is>
      </c>
    </row>
    <row r="22">
      <c r="A22" t="inlineStr">
        <is>
          <t>outward payment chaeque # 0007868</t>
        </is>
      </c>
      <c r="B22" t="inlineStr">
        <is>
          <t>mr. john - 7868</t>
        </is>
      </c>
      <c r="C22" t="inlineStr">
        <is>
          <t>debit</t>
        </is>
      </c>
      <c r="D22" t="n">
        <v>9500</v>
      </c>
      <c r="E22" t="n">
        <v>9500</v>
      </c>
      <c r="F22" s="1" t="n">
        <v>45098</v>
      </c>
      <c r="G22" s="1" t="n">
        <v>45087</v>
      </c>
      <c r="H22" t="n">
        <v>0.5933333333333334</v>
      </c>
      <c r="I22" t="inlineStr">
        <is>
          <t>matched</t>
        </is>
      </c>
      <c r="J22" t="inlineStr">
        <is>
          <t>Yes</t>
        </is>
      </c>
    </row>
  </sheetData>
  <dataValidations count="2">
    <dataValidation sqref="I2:I22" showDropDown="0" showInputMessage="0" showErrorMessage="0" allowBlank="0" type="list">
      <formula1>"no match,amount mismatch,low score,matched"</formula1>
    </dataValidation>
    <dataValidation sqref="J2:J22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Closing Balance</t>
        </is>
      </c>
      <c r="B1" t="n">
        <v>155700</v>
      </c>
    </row>
    <row r="2">
      <c r="A2" t="inlineStr">
        <is>
          <t>Ledger Closing Balance</t>
        </is>
      </c>
      <c r="B2" t="n">
        <v>179300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" customWidth="1" min="3" max="3"/>
    <col width="52" customWidth="1" min="4" max="4"/>
    <col width="16" customWidth="1" min="5" max="5"/>
  </cols>
  <sheetData>
    <row r="1">
      <c r="A1" s="2" t="inlineStr">
        <is>
          <t>COMPANY</t>
        </is>
      </c>
    </row>
    <row r="2">
      <c r="A2" s="3" t="inlineStr">
        <is>
          <t>BANK RECONCILIATION</t>
        </is>
      </c>
    </row>
    <row r="3">
      <c r="A3" s="4" t="inlineStr">
        <is>
          <t>AS AT 11 OCTOBER 2026</t>
        </is>
      </c>
    </row>
    <row r="5">
      <c r="A5" s="5" t="inlineStr">
        <is>
          <t>BANK STATEMENT</t>
        </is>
      </c>
      <c r="B5" s="6" t="inlineStr">
        <is>
          <t>$</t>
        </is>
      </c>
      <c r="D5" s="5" t="inlineStr">
        <is>
          <t>CASH BOOK</t>
        </is>
      </c>
      <c r="E5" s="6" t="inlineStr">
        <is>
          <t>$</t>
        </is>
      </c>
    </row>
    <row r="6">
      <c r="A6" s="7" t="inlineStr">
        <is>
          <t>UNADJUSTED CLOSING BALANCE:</t>
        </is>
      </c>
      <c r="B6" s="8" t="n">
        <v>155700</v>
      </c>
      <c r="D6" s="7" t="inlineStr">
        <is>
          <t>UNADJUSTED CLOSING BALANCE:</t>
        </is>
      </c>
      <c r="E6" s="8" t="n">
        <v>179300</v>
      </c>
    </row>
    <row r="7">
      <c r="A7" s="9" t="inlineStr">
        <is>
          <t>ADD MRS. HUSNA - 7986</t>
        </is>
      </c>
      <c r="B7" s="10" t="n">
        <v>9800</v>
      </c>
      <c r="D7" s="9" t="inlineStr">
        <is>
          <t>ADD DIVIDEND INCOME - ONLINE TRANSFER</t>
        </is>
      </c>
      <c r="E7" s="10" t="n">
        <v>2600</v>
      </c>
    </row>
    <row r="8">
      <c r="A8" s="9" t="inlineStr">
        <is>
          <t>ADD MR. ARSHAD - 7987</t>
        </is>
      </c>
      <c r="B8" s="10" t="n">
        <v>13400</v>
      </c>
      <c r="D8" s="9" t="inlineStr">
        <is>
          <t>DEDUCT BANK CHARGES</t>
        </is>
      </c>
      <c r="E8" s="10" t="n">
        <v>-3200</v>
      </c>
    </row>
    <row r="9">
      <c r="A9" s="9" t="inlineStr">
        <is>
          <t>DEDUCT MR. JOHN - 7850</t>
        </is>
      </c>
      <c r="B9" s="10" t="n">
        <v>-7100</v>
      </c>
      <c r="D9" s="9" t="inlineStr">
        <is>
          <t>DEDUCT BANK CHARGES</t>
        </is>
      </c>
      <c r="E9" s="10" t="n">
        <v>-1800</v>
      </c>
    </row>
    <row r="10">
      <c r="A10" s="9" t="inlineStr">
        <is>
          <t>DEDUCT MR. ZUBAIR AUS - 7952</t>
        </is>
      </c>
      <c r="B10" s="10" t="n">
        <v>-3700</v>
      </c>
      <c r="D10" s="9" t="inlineStr">
        <is>
          <t>DEDUCT DIRECT DEBIT</t>
        </is>
      </c>
      <c r="E10" s="10" t="n">
        <v>-8800</v>
      </c>
    </row>
    <row r="12">
      <c r="A12" s="11" t="inlineStr">
        <is>
          <t>ADJUSTED CLOSING BALANCE:</t>
        </is>
      </c>
      <c r="B12" s="12">
        <f>B6+SUM(B7:B11)</f>
        <v/>
      </c>
      <c r="D12" s="11" t="inlineStr">
        <is>
          <t>ADJUSTED CLOSING BALANCE:</t>
        </is>
      </c>
      <c r="E12" s="12">
        <f>E6+SUM(E7:E11)</f>
        <v/>
      </c>
    </row>
    <row r="14">
      <c r="A14" s="13" t="inlineStr">
        <is>
          <t>UNRECONCILED AMOUNT:</t>
        </is>
      </c>
      <c r="B14" s="14">
        <f>B12-E12</f>
        <v/>
      </c>
      <c r="D14" s="13">
        <f>IF(ROUND(B14,2)=0,"Reconciled","Not reconciled")</f>
        <v/>
      </c>
    </row>
  </sheetData>
  <mergeCells count="3">
    <mergeCell ref="A2:E2"/>
    <mergeCell ref="A1:E1"/>
    <mergeCell ref="A3:E3"/>
  </mergeCells>
  <conditionalFormatting sqref="B14:D14">
    <cfRule type="expression" priority="1" dxfId="0">
      <formula>ROUND($B$14,2)=0</formula>
    </cfRule>
    <cfRule type="expression" priority="2" dxfId="1">
      <formula>ROUND($B$14,2)&lt;&gt;0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2026-10-11T17:45:53Z</dcterms:created>
  <dcterms:modified xsi:type="dcterms:W3CDTF">2026-10-11T17:47:44Z</dcterms:modified>
</cp:coreProperties>
</file>
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defaultThemeVersion="124226"/>
  <mc:AlternateContent xmlns:mc="http://schemas.openxmlformats.org/markup-compatibility/2006">
    <mc:Choice Requires="x15">
      <x15ac:absPath xmlns:x15ac="http://schemas.microsoft.com/office/spreadsheetml/2010/11/ac" url="C:\Users\qayyu\Downloads\"/>
    </mc:Choice>
  </mc:AlternateContent>
  <xr:revisionPtr revIDLastSave="0" documentId="13_ncr:1_{24BA249F-0A18-47A4-912B-A7ACE8B99EA0}" xr6:coauthVersionLast="47" xr6:coauthVersionMax="47" xr10:uidLastSave="{00000000-0000-0000-0000-000000000000}"/>
  <bookViews>
    <workbookView xWindow="-110" yWindow="-110" windowWidth="19420" windowHeight="10300" tabRatio="779" firstSheet="6" activeTab="14" xr2:uid="{00000000-000D-0000-FFFF-FFFF00000000}"/>
  </bookViews>
  <sheets>
    <sheet name="Updated Trial 13" sheetId="5" state="hidden" r:id="rId1"/>
    <sheet name="Adj entry 13" sheetId="17" state="hidden" r:id="rId2"/>
    <sheet name="Trial Combine 19" sheetId="22" state="hidden" r:id="rId3"/>
    <sheet name="Adj entry 19" sheetId="19" state="hidden" r:id="rId4"/>
    <sheet name="grouping" sheetId="21" state="hidden" r:id="rId5"/>
    <sheet name="Win" sheetId="42" state="hidden" r:id="rId6"/>
    <sheet name="SOFP" sheetId="8" r:id="rId7"/>
    <sheet name="CASH FLOW" sheetId="11" state="hidden" r:id="rId8"/>
    <sheet name="P &amp; L" sheetId="7" r:id="rId9"/>
    <sheet name="Cash Flows" sheetId="41" r:id="rId10"/>
    <sheet name="Policies FC" sheetId="28" r:id="rId11"/>
    <sheet name="FA-04" sheetId="29" state="hidden" r:id="rId12"/>
    <sheet name="Note 5 '2025" sheetId="46" r:id="rId13"/>
    <sheet name="NOTES" sheetId="6" r:id="rId14"/>
    <sheet name="Trial Balance" sheetId="47" r:id="rId15"/>
    <sheet name="Loan" sheetId="45" state="hidden" r:id="rId16"/>
    <sheet name="Note 5" sheetId="43" state="hidden" r:id="rId17"/>
    <sheet name="DEP 2017" sheetId="40" state="hidden" r:id="rId18"/>
    <sheet name="Sheet3" sheetId="25" state="hidden" r:id="rId19"/>
    <sheet name="FIXED ASSETS" sheetId="15" state="hidden" r:id="rId20"/>
    <sheet name="Fixed Assets A " sheetId="26" state="hidden" r:id="rId21"/>
    <sheet name="C.tax computation" sheetId="12" state="hidden" r:id="rId22"/>
    <sheet name="Def tax" sheetId="13" state="hidden" r:id="rId23"/>
    <sheet name="Tax dep" sheetId="14" state="hidden" r:id="rId24"/>
    <sheet name="Trial 2020" sheetId="23" state="hidden" r:id="rId25"/>
    <sheet name="D.tax 20" sheetId="33" state="hidden" r:id="rId26"/>
    <sheet name="Tax Dep. Sch-20" sheetId="32" state="hidden" r:id="rId27"/>
    <sheet name="GI Summary" sheetId="38" state="hidden" r:id="rId28"/>
    <sheet name="Entries - 20" sheetId="30"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s>
  <definedNames>
    <definedName name="\1" localSheetId="5">#REF!</definedName>
    <definedName name="\1">#REF!</definedName>
    <definedName name="\2">#REF!</definedName>
    <definedName name="\A" localSheetId="16">[1]RS!#REF!</definedName>
    <definedName name="\A" localSheetId="5">[1]RS!#REF!</definedName>
    <definedName name="\A">#REF!</definedName>
    <definedName name="\b" localSheetId="19">#REF!</definedName>
    <definedName name="\b" localSheetId="4">#REF!</definedName>
    <definedName name="\b" localSheetId="10">#REF!</definedName>
    <definedName name="\b" localSheetId="2">#REF!</definedName>
    <definedName name="\B" localSheetId="5">#REF!</definedName>
    <definedName name="\b">#REF!</definedName>
    <definedName name="\C" localSheetId="19">#REF!</definedName>
    <definedName name="\C" localSheetId="4">#REF!</definedName>
    <definedName name="\C" localSheetId="10">#REF!</definedName>
    <definedName name="\C" localSheetId="2">#REF!</definedName>
    <definedName name="\c" localSheetId="5">#REF!</definedName>
    <definedName name="\C">#REF!</definedName>
    <definedName name="\D" localSheetId="5">#REF!</definedName>
    <definedName name="\D">#REF!</definedName>
    <definedName name="\e">#REF!</definedName>
    <definedName name="\F">#REF!</definedName>
    <definedName name="\G">#REF!</definedName>
    <definedName name="\H">#REF!</definedName>
    <definedName name="\i" localSheetId="4">#REF!</definedName>
    <definedName name="\i" localSheetId="10">#REF!</definedName>
    <definedName name="\i" localSheetId="2">#REF!</definedName>
    <definedName name="\i">#REF!</definedName>
    <definedName name="\J">#REF!</definedName>
    <definedName name="\K">#REF!</definedName>
    <definedName name="\l" localSheetId="4">#REF!</definedName>
    <definedName name="\l" localSheetId="10">#REF!</definedName>
    <definedName name="\l" localSheetId="2">#REF!</definedName>
    <definedName name="\l">#REF!</definedName>
    <definedName name="\m" localSheetId="4">#N/A</definedName>
    <definedName name="\M" localSheetId="10">#REF!</definedName>
    <definedName name="\M" localSheetId="2">#REF!</definedName>
    <definedName name="\M">#REF!</definedName>
    <definedName name="\n" localSheetId="4">#REF!</definedName>
    <definedName name="\n" localSheetId="10">#REF!</definedName>
    <definedName name="\n" localSheetId="2">#REF!</definedName>
    <definedName name="\n">#REF!</definedName>
    <definedName name="\O">#REF!</definedName>
    <definedName name="\P">#REF!</definedName>
    <definedName name="\Q">#REF!</definedName>
    <definedName name="\R">#REF!</definedName>
    <definedName name="\s" localSheetId="9">#REF!</definedName>
    <definedName name="\s" localSheetId="4">#REF!</definedName>
    <definedName name="\S" localSheetId="16">'[2]F&amp;F'!#REF!</definedName>
    <definedName name="\s" localSheetId="10">#REF!</definedName>
    <definedName name="\s" localSheetId="2">#REF!</definedName>
    <definedName name="\S" localSheetId="5">'[2]F&amp;F'!#REF!</definedName>
    <definedName name="\s">#REF!</definedName>
    <definedName name="\t" localSheetId="4">#REF!</definedName>
    <definedName name="\t" localSheetId="10">#REF!</definedName>
    <definedName name="\t" localSheetId="2">#REF!</definedName>
    <definedName name="\t" localSheetId="5">#REF!</definedName>
    <definedName name="\t">#REF!</definedName>
    <definedName name="\u" localSheetId="5">#REF!</definedName>
    <definedName name="\U">#REF!</definedName>
    <definedName name="\v" localSheetId="4">#REF!</definedName>
    <definedName name="\v" localSheetId="10">#REF!</definedName>
    <definedName name="\v" localSheetId="2">#REF!</definedName>
    <definedName name="\v">#REF!</definedName>
    <definedName name="\W">#REF!</definedName>
    <definedName name="\X">#REF!</definedName>
    <definedName name="\Y">#REF!</definedName>
    <definedName name="\Z">#REF!</definedName>
    <definedName name="_.." localSheetId="4">#REF!</definedName>
    <definedName name="_.." localSheetId="10">#REF!</definedName>
    <definedName name="_.." localSheetId="2">#REF!</definedName>
    <definedName name="_..">#REF!</definedName>
    <definedName name="_____________BOT7" localSheetId="4">#REF!</definedName>
    <definedName name="_____________BOT7" localSheetId="10">#REF!</definedName>
    <definedName name="_____________BOT7" localSheetId="2">#REF!</definedName>
    <definedName name="_____________BOT7">#REF!</definedName>
    <definedName name="_____________SEC107" localSheetId="4">#REF!</definedName>
    <definedName name="_____________SEC107" localSheetId="10">#REF!</definedName>
    <definedName name="_____________SEC107" localSheetId="2">#REF!</definedName>
    <definedName name="_____________SEC107">#REF!</definedName>
    <definedName name="____________BOT7" localSheetId="4">#REF!</definedName>
    <definedName name="____________BOT7" localSheetId="10">#REF!</definedName>
    <definedName name="____________BOT7" localSheetId="2">#REF!</definedName>
    <definedName name="____________BOT7">#REF!</definedName>
    <definedName name="____________SEC107" localSheetId="4">#REF!</definedName>
    <definedName name="____________SEC107" localSheetId="10">#REF!</definedName>
    <definedName name="____________SEC107" localSheetId="2">#REF!</definedName>
    <definedName name="____________SEC107">#REF!</definedName>
    <definedName name="___________BOT7" localSheetId="4">#REF!</definedName>
    <definedName name="___________BOT7" localSheetId="10">#REF!</definedName>
    <definedName name="___________BOT7" localSheetId="2">#REF!</definedName>
    <definedName name="___________BOT7">#REF!</definedName>
    <definedName name="___________SEC107" localSheetId="4">#REF!</definedName>
    <definedName name="___________SEC107" localSheetId="10">#REF!</definedName>
    <definedName name="___________SEC107" localSheetId="2">#REF!</definedName>
    <definedName name="___________SEC107">#REF!</definedName>
    <definedName name="__________BOT7" localSheetId="4">#REF!</definedName>
    <definedName name="__________BOT7" localSheetId="10">#REF!</definedName>
    <definedName name="__________BOT7" localSheetId="2">#REF!</definedName>
    <definedName name="__________BOT7">#REF!</definedName>
    <definedName name="__________SEC107" localSheetId="4">#REF!</definedName>
    <definedName name="__________SEC107" localSheetId="10">#REF!</definedName>
    <definedName name="__________SEC107" localSheetId="2">#REF!</definedName>
    <definedName name="__________SEC107">#REF!</definedName>
    <definedName name="_________BOT7" localSheetId="4">#REF!</definedName>
    <definedName name="_________BOT7" localSheetId="10">#REF!</definedName>
    <definedName name="_________BOT7" localSheetId="2">#REF!</definedName>
    <definedName name="_________BOT7">#REF!</definedName>
    <definedName name="_________QEE123">#REF!</definedName>
    <definedName name="_________SEC107" localSheetId="4">#REF!</definedName>
    <definedName name="_________SEC107" localSheetId="10">#REF!</definedName>
    <definedName name="_________SEC107" localSheetId="2">#REF!</definedName>
    <definedName name="_________SEC107">#REF!</definedName>
    <definedName name="________BOT7" localSheetId="4">#REF!</definedName>
    <definedName name="________BOT7" localSheetId="10">#REF!</definedName>
    <definedName name="________BOT7" localSheetId="2">#REF!</definedName>
    <definedName name="________BOT7">#REF!</definedName>
    <definedName name="________MAL1">'[3]Quarterly Leave Report'!$DC$6</definedName>
    <definedName name="________MAL11">'[3]Quarterly Leave Report'!$AL$10:$AM$15</definedName>
    <definedName name="________MAL12">'[3]Quarterly Leave Report'!$AL$17:$AM$32</definedName>
    <definedName name="________MAL13">'[3]Quarterly Leave Report'!$AL$34:$AM$57</definedName>
    <definedName name="________MAL14">'[3]Quarterly Leave Report'!$AL$59:$AM$63</definedName>
    <definedName name="________MAL15">'[3]Quarterly Leave Report'!$AL$65:$AM$67</definedName>
    <definedName name="________MAL16">'[3]Quarterly Leave Report'!$AL$69:$AM$70</definedName>
    <definedName name="________MAL17">'[3]Quarterly Leave Report'!$AL$72:$AM$74</definedName>
    <definedName name="________MAL18">'[3]Quarterly Leave Report'!$AL$76:$AM$83</definedName>
    <definedName name="________MAL19">'[3]Quarterly Leave Report'!$AL$85:$AM$86</definedName>
    <definedName name="________MAL2">'[3]Quarterly Leave Report'!$DI$6</definedName>
    <definedName name="________MAL21">'[3]Quarterly Leave Report'!$AV$10:$AW$15</definedName>
    <definedName name="________MAL22">'[3]Quarterly Leave Report'!$AV$17:$AW$32</definedName>
    <definedName name="________MAL23">'[3]Quarterly Leave Report'!$AV$34:$AW$57</definedName>
    <definedName name="________MAL24">'[3]Quarterly Leave Report'!$AV$59:$AW$63</definedName>
    <definedName name="________MAL25">'[3]Quarterly Leave Report'!$AV$65:$AW$67</definedName>
    <definedName name="________MAL26">'[3]Quarterly Leave Report'!$AV$69:$AW$70</definedName>
    <definedName name="________MAL27">'[3]Quarterly Leave Report'!$AV$72:$AW$74</definedName>
    <definedName name="________MAL28">'[3]Quarterly Leave Report'!$AV$76:$AW$83</definedName>
    <definedName name="________MAL29">'[3]Quarterly Leave Report'!$AV$85:$AW$86</definedName>
    <definedName name="________MAL3">'[3]Quarterly Leave Report'!$DO$6</definedName>
    <definedName name="________MAL31">'[3]Quarterly Leave Report'!$BF$10:$BG$15</definedName>
    <definedName name="________MAL32">'[3]Quarterly Leave Report'!$BF$17:$BG$32</definedName>
    <definedName name="________MAL33">'[3]Quarterly Leave Report'!$BF$34:$BG$57</definedName>
    <definedName name="________MAL34">'[3]Quarterly Leave Report'!$BF$59:$BG$63</definedName>
    <definedName name="________MAL35">'[3]Quarterly Leave Report'!$BF$65:$BG$67</definedName>
    <definedName name="________MAL36">'[3]Quarterly Leave Report'!$BF$69:$BG$70</definedName>
    <definedName name="________MAL37">'[3]Quarterly Leave Report'!$BF$72:$BG$74</definedName>
    <definedName name="________MAL38">'[3]Quarterly Leave Report'!$BF$76:$BG$83</definedName>
    <definedName name="________MAL39">'[3]Quarterly Leave Report'!$BF$85:$BG$86</definedName>
    <definedName name="________MAL4">'[3]Quarterly Leave Report'!$DU$6</definedName>
    <definedName name="________MAL41">'[3]Quarterly Leave Report'!$BP$10:$BQ$15</definedName>
    <definedName name="________MAL42">'[3]Quarterly Leave Report'!$BP$17:$BQ$32</definedName>
    <definedName name="________MAL43">'[3]Quarterly Leave Report'!$BP$34:$BQ$57</definedName>
    <definedName name="________MAL44">'[3]Quarterly Leave Report'!$BP$59:$BQ$63</definedName>
    <definedName name="________MAL45">'[3]Quarterly Leave Report'!$BP$65:$BQ$67</definedName>
    <definedName name="________MAL46">'[3]Quarterly Leave Report'!$BP$69:$BQ$70</definedName>
    <definedName name="________MAL47">'[3]Quarterly Leave Report'!$BP$72:$BQ$74</definedName>
    <definedName name="________MAL48">'[3]Quarterly Leave Report'!$BP$76:$BQ$83</definedName>
    <definedName name="________MAL49">'[3]Quarterly Leave Report'!$BP$85:$BQ$86</definedName>
    <definedName name="________MSL1">'[3]Quarterly Leave Report'!$DD$6</definedName>
    <definedName name="________MSL11">'[3]Quarterly Leave Report'!$AN$10:$AO$15</definedName>
    <definedName name="________MSL12">'[3]Quarterly Leave Report'!$AN$17:$AO$32</definedName>
    <definedName name="________MSL13">'[3]Quarterly Leave Report'!$AN$34:$AO$57</definedName>
    <definedName name="________MSL14">'[3]Quarterly Leave Report'!$AN$59:$AO$63</definedName>
    <definedName name="________MSL15">'[3]Quarterly Leave Report'!$AN$65:$AO$67</definedName>
    <definedName name="________MSL16">'[3]Quarterly Leave Report'!$AN$69:$AO$70</definedName>
    <definedName name="________MSL17">'[3]Quarterly Leave Report'!$AN$72:$AO$74</definedName>
    <definedName name="________MSL18">'[3]Quarterly Leave Report'!$AN$76:$AO$83</definedName>
    <definedName name="________MSL19">'[3]Quarterly Leave Report'!$AN$85:$AO$86</definedName>
    <definedName name="________MSL2">'[3]Quarterly Leave Report'!$DJ$6</definedName>
    <definedName name="________MSL21">'[3]Quarterly Leave Report'!$AX$10:$AY$15</definedName>
    <definedName name="________MSL22">'[3]Quarterly Leave Report'!$AX$17:$AY$32</definedName>
    <definedName name="________MSL23">'[3]Quarterly Leave Report'!$AX$34:$AY$57</definedName>
    <definedName name="________MSL24">'[3]Quarterly Leave Report'!$AX$59:$AY$63</definedName>
    <definedName name="________MSL25">'[3]Quarterly Leave Report'!$AX$65:$AY$67</definedName>
    <definedName name="________MSL26">'[3]Quarterly Leave Report'!$AX$69:$AY$70</definedName>
    <definedName name="________MSL27">'[3]Quarterly Leave Report'!$AX$72:$AY$74</definedName>
    <definedName name="________MSL28">'[3]Quarterly Leave Report'!$AX$76:$AY$83</definedName>
    <definedName name="________MSL29">'[3]Quarterly Leave Report'!$AX$85:$AY$86</definedName>
    <definedName name="________MSL3">'[3]Quarterly Leave Report'!$DP$6</definedName>
    <definedName name="________MSL31">'[3]Quarterly Leave Report'!$BH$10:$BI$15</definedName>
    <definedName name="________MSL32">'[3]Quarterly Leave Report'!$BH$17:$BI$32</definedName>
    <definedName name="________MSL33">'[3]Quarterly Leave Report'!$BH$34:$BI$57</definedName>
    <definedName name="________MSL34">'[3]Quarterly Leave Report'!$BH$59:$BI$63</definedName>
    <definedName name="________MSL35">'[3]Quarterly Leave Report'!$BH$65:$BI$67</definedName>
    <definedName name="________MSL36">'[3]Quarterly Leave Report'!$BH$69:$BI$70</definedName>
    <definedName name="________MSL37">'[3]Quarterly Leave Report'!$BH$72:$BI$74</definedName>
    <definedName name="________MSL38">'[3]Quarterly Leave Report'!$BH$76:$BI$83</definedName>
    <definedName name="________MSL39">'[3]Quarterly Leave Report'!$BH$85:$BI$86</definedName>
    <definedName name="________MSL4">'[3]Quarterly Leave Report'!$DV$6</definedName>
    <definedName name="________MSL41">'[3]Quarterly Leave Report'!$BR$10:$BS$15</definedName>
    <definedName name="________MSL42">'[3]Quarterly Leave Report'!$BR$17:$BS$32</definedName>
    <definedName name="________MSL43">'[3]Quarterly Leave Report'!$BR$34:$BS$57</definedName>
    <definedName name="________MSL44">'[3]Quarterly Leave Report'!$BR$59:$BS$63</definedName>
    <definedName name="________MSL45">'[3]Quarterly Leave Report'!$BR$65:$BS$67</definedName>
    <definedName name="________MSL46">'[3]Quarterly Leave Report'!$BR$69:$BS$70</definedName>
    <definedName name="________MSL47">'[3]Quarterly Leave Report'!$BR$72:$BS$74</definedName>
    <definedName name="________MSL48">'[3]Quarterly Leave Report'!$BR$76:$BS$83</definedName>
    <definedName name="________MSL49">'[3]Quarterly Leave Report'!$BR$85:$BS$86</definedName>
    <definedName name="________QEE123">#REF!</definedName>
    <definedName name="________SEC107" localSheetId="4">#REF!</definedName>
    <definedName name="________SEC107" localSheetId="10">#REF!</definedName>
    <definedName name="________SEC107" localSheetId="2">#REF!</definedName>
    <definedName name="________SEC107">#REF!</definedName>
    <definedName name="_______10SR61">#REF!</definedName>
    <definedName name="_______BOT7" localSheetId="4">#REF!</definedName>
    <definedName name="_______BOT7" localSheetId="10">#REF!</definedName>
    <definedName name="_______BOT7" localSheetId="2">#REF!</definedName>
    <definedName name="_______BOT7">#REF!</definedName>
    <definedName name="_______MAL1">'[3]Quarterly Leave Report'!$DC$6</definedName>
    <definedName name="_______MAL11">'[3]Quarterly Leave Report'!$AL$10:$AM$15</definedName>
    <definedName name="_______MAL12">'[3]Quarterly Leave Report'!$AL$17:$AM$32</definedName>
    <definedName name="_______MAL13">'[3]Quarterly Leave Report'!$AL$34:$AM$57</definedName>
    <definedName name="_______MAL14">'[3]Quarterly Leave Report'!$AL$59:$AM$63</definedName>
    <definedName name="_______MAL15">'[3]Quarterly Leave Report'!$AL$65:$AM$67</definedName>
    <definedName name="_______MAL16">'[3]Quarterly Leave Report'!$AL$69:$AM$70</definedName>
    <definedName name="_______MAL17">'[3]Quarterly Leave Report'!$AL$72:$AM$74</definedName>
    <definedName name="_______MAL18">'[3]Quarterly Leave Report'!$AL$76:$AM$83</definedName>
    <definedName name="_______MAL19">'[3]Quarterly Leave Report'!$AL$85:$AM$86</definedName>
    <definedName name="_______MAL2">'[3]Quarterly Leave Report'!$DI$6</definedName>
    <definedName name="_______MAL21">'[3]Quarterly Leave Report'!$AV$10:$AW$15</definedName>
    <definedName name="_______MAL22">'[3]Quarterly Leave Report'!$AV$17:$AW$32</definedName>
    <definedName name="_______MAL23">'[3]Quarterly Leave Report'!$AV$34:$AW$57</definedName>
    <definedName name="_______MAL24">'[3]Quarterly Leave Report'!$AV$59:$AW$63</definedName>
    <definedName name="_______MAL25">'[3]Quarterly Leave Report'!$AV$65:$AW$67</definedName>
    <definedName name="_______MAL26">'[3]Quarterly Leave Report'!$AV$69:$AW$70</definedName>
    <definedName name="_______MAL27">'[3]Quarterly Leave Report'!$AV$72:$AW$74</definedName>
    <definedName name="_______MAL28">'[3]Quarterly Leave Report'!$AV$76:$AW$83</definedName>
    <definedName name="_______MAL29">'[3]Quarterly Leave Report'!$AV$85:$AW$86</definedName>
    <definedName name="_______MAL3">'[3]Quarterly Leave Report'!$DO$6</definedName>
    <definedName name="_______MAL31">'[3]Quarterly Leave Report'!$BF$10:$BG$15</definedName>
    <definedName name="_______MAL32">'[3]Quarterly Leave Report'!$BF$17:$BG$32</definedName>
    <definedName name="_______MAL33">'[3]Quarterly Leave Report'!$BF$34:$BG$57</definedName>
    <definedName name="_______MAL34">'[3]Quarterly Leave Report'!$BF$59:$BG$63</definedName>
    <definedName name="_______MAL35">'[3]Quarterly Leave Report'!$BF$65:$BG$67</definedName>
    <definedName name="_______MAL36">'[3]Quarterly Leave Report'!$BF$69:$BG$70</definedName>
    <definedName name="_______MAL37">'[3]Quarterly Leave Report'!$BF$72:$BG$74</definedName>
    <definedName name="_______MAL38">'[3]Quarterly Leave Report'!$BF$76:$BG$83</definedName>
    <definedName name="_______MAL39">'[3]Quarterly Leave Report'!$BF$85:$BG$86</definedName>
    <definedName name="_______MAL4">'[3]Quarterly Leave Report'!$DU$6</definedName>
    <definedName name="_______MAL41">'[3]Quarterly Leave Report'!$BP$10:$BQ$15</definedName>
    <definedName name="_______MAL42">'[3]Quarterly Leave Report'!$BP$17:$BQ$32</definedName>
    <definedName name="_______MAL43">'[3]Quarterly Leave Report'!$BP$34:$BQ$57</definedName>
    <definedName name="_______MAL44">'[3]Quarterly Leave Report'!$BP$59:$BQ$63</definedName>
    <definedName name="_______MAL45">'[3]Quarterly Leave Report'!$BP$65:$BQ$67</definedName>
    <definedName name="_______MAL46">'[3]Quarterly Leave Report'!$BP$69:$BQ$70</definedName>
    <definedName name="_______MAL47">'[3]Quarterly Leave Report'!$BP$72:$BQ$74</definedName>
    <definedName name="_______MAL48">'[3]Quarterly Leave Report'!$BP$76:$BQ$83</definedName>
    <definedName name="_______MAL49">'[3]Quarterly Leave Report'!$BP$85:$BQ$86</definedName>
    <definedName name="_______MSL1">'[3]Quarterly Leave Report'!$DD$6</definedName>
    <definedName name="_______MSL11">'[3]Quarterly Leave Report'!$AN$10:$AO$15</definedName>
    <definedName name="_______MSL12">'[3]Quarterly Leave Report'!$AN$17:$AO$32</definedName>
    <definedName name="_______MSL13">'[3]Quarterly Leave Report'!$AN$34:$AO$57</definedName>
    <definedName name="_______MSL14">'[3]Quarterly Leave Report'!$AN$59:$AO$63</definedName>
    <definedName name="_______MSL15">'[3]Quarterly Leave Report'!$AN$65:$AO$67</definedName>
    <definedName name="_______MSL16">'[3]Quarterly Leave Report'!$AN$69:$AO$70</definedName>
    <definedName name="_______MSL17">'[3]Quarterly Leave Report'!$AN$72:$AO$74</definedName>
    <definedName name="_______MSL18">'[3]Quarterly Leave Report'!$AN$76:$AO$83</definedName>
    <definedName name="_______MSL19">'[3]Quarterly Leave Report'!$AN$85:$AO$86</definedName>
    <definedName name="_______MSL2">'[3]Quarterly Leave Report'!$DJ$6</definedName>
    <definedName name="_______MSL21">'[3]Quarterly Leave Report'!$AX$10:$AY$15</definedName>
    <definedName name="_______MSL22">'[3]Quarterly Leave Report'!$AX$17:$AY$32</definedName>
    <definedName name="_______MSL23">'[3]Quarterly Leave Report'!$AX$34:$AY$57</definedName>
    <definedName name="_______MSL24">'[3]Quarterly Leave Report'!$AX$59:$AY$63</definedName>
    <definedName name="_______MSL25">'[3]Quarterly Leave Report'!$AX$65:$AY$67</definedName>
    <definedName name="_______MSL26">'[3]Quarterly Leave Report'!$AX$69:$AY$70</definedName>
    <definedName name="_______MSL27">'[3]Quarterly Leave Report'!$AX$72:$AY$74</definedName>
    <definedName name="_______MSL28">'[3]Quarterly Leave Report'!$AX$76:$AY$83</definedName>
    <definedName name="_______MSL29">'[3]Quarterly Leave Report'!$AX$85:$AY$86</definedName>
    <definedName name="_______MSL3">'[3]Quarterly Leave Report'!$DP$6</definedName>
    <definedName name="_______MSL31">'[3]Quarterly Leave Report'!$BH$10:$BI$15</definedName>
    <definedName name="_______MSL32">'[3]Quarterly Leave Report'!$BH$17:$BI$32</definedName>
    <definedName name="_______MSL33">'[3]Quarterly Leave Report'!$BH$34:$BI$57</definedName>
    <definedName name="_______MSL34">'[3]Quarterly Leave Report'!$BH$59:$BI$63</definedName>
    <definedName name="_______MSL35">'[3]Quarterly Leave Report'!$BH$65:$BI$67</definedName>
    <definedName name="_______MSL36">'[3]Quarterly Leave Report'!$BH$69:$BI$70</definedName>
    <definedName name="_______MSL37">'[3]Quarterly Leave Report'!$BH$72:$BI$74</definedName>
    <definedName name="_______MSL38">'[3]Quarterly Leave Report'!$BH$76:$BI$83</definedName>
    <definedName name="_______MSL39">'[3]Quarterly Leave Report'!$BH$85:$BI$86</definedName>
    <definedName name="_______MSL4">'[3]Quarterly Leave Report'!$DV$6</definedName>
    <definedName name="_______MSL41">'[3]Quarterly Leave Report'!$BR$10:$BS$15</definedName>
    <definedName name="_______MSL42">'[3]Quarterly Leave Report'!$BR$17:$BS$32</definedName>
    <definedName name="_______MSL43">'[3]Quarterly Leave Report'!$BR$34:$BS$57</definedName>
    <definedName name="_______MSL44">'[3]Quarterly Leave Report'!$BR$59:$BS$63</definedName>
    <definedName name="_______MSL45">'[3]Quarterly Leave Report'!$BR$65:$BS$67</definedName>
    <definedName name="_______MSL46">'[3]Quarterly Leave Report'!$BR$69:$BS$70</definedName>
    <definedName name="_______MSL47">'[3]Quarterly Leave Report'!$BR$72:$BS$74</definedName>
    <definedName name="_______MSL48">'[3]Quarterly Leave Report'!$BR$76:$BS$83</definedName>
    <definedName name="_______MSL49">'[3]Quarterly Leave Report'!$BR$85:$BS$86</definedName>
    <definedName name="_______NT2">#REF!</definedName>
    <definedName name="_______QEE123">#REF!</definedName>
    <definedName name="_______SEC107" localSheetId="4">#REF!</definedName>
    <definedName name="_______SEC107" localSheetId="10">#REF!</definedName>
    <definedName name="_______SEC107" localSheetId="2">#REF!</definedName>
    <definedName name="_______SEC107">#REF!</definedName>
    <definedName name="______10SR61">#REF!</definedName>
    <definedName name="______aad116">[4]Notes!#REF!</definedName>
    <definedName name="______BOT7" localSheetId="4">#REF!</definedName>
    <definedName name="______BOT7" localSheetId="10">#REF!</definedName>
    <definedName name="______BOT7" localSheetId="2">#REF!</definedName>
    <definedName name="______BOT7">#REF!</definedName>
    <definedName name="______MAL1">'[3]Quarterly Leave Report'!$DC$6</definedName>
    <definedName name="______MAL11">'[3]Quarterly Leave Report'!$AL$10:$AM$15</definedName>
    <definedName name="______MAL110">'[3]Quarterly Leave Report'!#REF!</definedName>
    <definedName name="______MAL12">'[3]Quarterly Leave Report'!$AL$17:$AM$32</definedName>
    <definedName name="______MAL13">'[3]Quarterly Leave Report'!$AL$34:$AM$57</definedName>
    <definedName name="______MAL14">'[3]Quarterly Leave Report'!$AL$59:$AM$63</definedName>
    <definedName name="______MAL15">'[3]Quarterly Leave Report'!$AL$65:$AM$67</definedName>
    <definedName name="______MAL16">'[3]Quarterly Leave Report'!$AL$69:$AM$70</definedName>
    <definedName name="______MAL17">'[3]Quarterly Leave Report'!$AL$72:$AM$74</definedName>
    <definedName name="______MAL18">'[3]Quarterly Leave Report'!$AL$76:$AM$83</definedName>
    <definedName name="______MAL19">'[3]Quarterly Leave Report'!$AL$85:$AM$86</definedName>
    <definedName name="______MAL2">'[3]Quarterly Leave Report'!$DI$6</definedName>
    <definedName name="______MAL21">'[3]Quarterly Leave Report'!$AV$10:$AW$15</definedName>
    <definedName name="______MAL210">'[3]Quarterly Leave Report'!#REF!</definedName>
    <definedName name="______MAL22">'[3]Quarterly Leave Report'!$AV$17:$AW$32</definedName>
    <definedName name="______MAL23">'[3]Quarterly Leave Report'!$AV$34:$AW$57</definedName>
    <definedName name="______MAL24">'[3]Quarterly Leave Report'!$AV$59:$AW$63</definedName>
    <definedName name="______MAL25">'[3]Quarterly Leave Report'!$AV$65:$AW$67</definedName>
    <definedName name="______MAL26">'[3]Quarterly Leave Report'!$AV$69:$AW$70</definedName>
    <definedName name="______MAL27">'[3]Quarterly Leave Report'!$AV$72:$AW$74</definedName>
    <definedName name="______MAL28">'[3]Quarterly Leave Report'!$AV$76:$AW$83</definedName>
    <definedName name="______MAL29">'[3]Quarterly Leave Report'!$AV$85:$AW$86</definedName>
    <definedName name="______MAL3">'[3]Quarterly Leave Report'!$DO$6</definedName>
    <definedName name="______MAL31">'[3]Quarterly Leave Report'!$BF$10:$BG$15</definedName>
    <definedName name="______MAL310">'[3]Quarterly Leave Report'!#REF!</definedName>
    <definedName name="______MAL32">'[3]Quarterly Leave Report'!$BF$17:$BG$32</definedName>
    <definedName name="______MAL33">'[3]Quarterly Leave Report'!$BF$34:$BG$57</definedName>
    <definedName name="______MAL34">'[3]Quarterly Leave Report'!$BF$59:$BG$63</definedName>
    <definedName name="______MAL35">'[3]Quarterly Leave Report'!$BF$65:$BG$67</definedName>
    <definedName name="______MAL36">'[3]Quarterly Leave Report'!$BF$69:$BG$70</definedName>
    <definedName name="______MAL37">'[3]Quarterly Leave Report'!$BF$72:$BG$74</definedName>
    <definedName name="______MAL38">'[3]Quarterly Leave Report'!$BF$76:$BG$83</definedName>
    <definedName name="______MAL39">'[3]Quarterly Leave Report'!$BF$85:$BG$86</definedName>
    <definedName name="______MAL4">'[3]Quarterly Leave Report'!$DU$6</definedName>
    <definedName name="______MAL41">'[3]Quarterly Leave Report'!$BP$10:$BQ$15</definedName>
    <definedName name="______MAL410">'[3]Quarterly Leave Report'!#REF!</definedName>
    <definedName name="______MAL42">'[3]Quarterly Leave Report'!$BP$17:$BQ$32</definedName>
    <definedName name="______MAL43">'[3]Quarterly Leave Report'!$BP$34:$BQ$57</definedName>
    <definedName name="______MAL44">'[3]Quarterly Leave Report'!$BP$59:$BQ$63</definedName>
    <definedName name="______MAL45">'[3]Quarterly Leave Report'!$BP$65:$BQ$67</definedName>
    <definedName name="______MAL46">'[3]Quarterly Leave Report'!$BP$69:$BQ$70</definedName>
    <definedName name="______MAL47">'[3]Quarterly Leave Report'!$BP$72:$BQ$74</definedName>
    <definedName name="______MAL48">'[3]Quarterly Leave Report'!$BP$76:$BQ$83</definedName>
    <definedName name="______MAL49">'[3]Quarterly Leave Report'!$BP$85:$BQ$86</definedName>
    <definedName name="______MSL1">'[3]Quarterly Leave Report'!$DD$6</definedName>
    <definedName name="______MSL11">'[3]Quarterly Leave Report'!$AN$10:$AO$15</definedName>
    <definedName name="______MSL110">'[3]Quarterly Leave Report'!#REF!</definedName>
    <definedName name="______MSL12">'[3]Quarterly Leave Report'!$AN$17:$AO$32</definedName>
    <definedName name="______MSL13">'[3]Quarterly Leave Report'!$AN$34:$AO$57</definedName>
    <definedName name="______MSL14">'[3]Quarterly Leave Report'!$AN$59:$AO$63</definedName>
    <definedName name="______MSL15">'[3]Quarterly Leave Report'!$AN$65:$AO$67</definedName>
    <definedName name="______MSL16">'[3]Quarterly Leave Report'!$AN$69:$AO$70</definedName>
    <definedName name="______MSL17">'[3]Quarterly Leave Report'!$AN$72:$AO$74</definedName>
    <definedName name="______MSL18">'[3]Quarterly Leave Report'!$AN$76:$AO$83</definedName>
    <definedName name="______MSL19">'[3]Quarterly Leave Report'!$AN$85:$AO$86</definedName>
    <definedName name="______MSL2">'[3]Quarterly Leave Report'!$DJ$6</definedName>
    <definedName name="______MSL21">'[3]Quarterly Leave Report'!$AX$10:$AY$15</definedName>
    <definedName name="______MSL210">'[3]Quarterly Leave Report'!#REF!</definedName>
    <definedName name="______MSL22">'[3]Quarterly Leave Report'!$AX$17:$AY$32</definedName>
    <definedName name="______MSL23">'[3]Quarterly Leave Report'!$AX$34:$AY$57</definedName>
    <definedName name="______MSL24">'[3]Quarterly Leave Report'!$AX$59:$AY$63</definedName>
    <definedName name="______MSL25">'[3]Quarterly Leave Report'!$AX$65:$AY$67</definedName>
    <definedName name="______MSL26">'[3]Quarterly Leave Report'!$AX$69:$AY$70</definedName>
    <definedName name="______MSL27">'[3]Quarterly Leave Report'!$AX$72:$AY$74</definedName>
    <definedName name="______MSL28">'[3]Quarterly Leave Report'!$AX$76:$AY$83</definedName>
    <definedName name="______MSL29">'[3]Quarterly Leave Report'!$AX$85:$AY$86</definedName>
    <definedName name="______MSL3">'[3]Quarterly Leave Report'!$DP$6</definedName>
    <definedName name="______MSL31">'[3]Quarterly Leave Report'!$BH$10:$BI$15</definedName>
    <definedName name="______MSL310">'[3]Quarterly Leave Report'!#REF!</definedName>
    <definedName name="______MSL32">'[3]Quarterly Leave Report'!$BH$17:$BI$32</definedName>
    <definedName name="______MSL33">'[3]Quarterly Leave Report'!$BH$34:$BI$57</definedName>
    <definedName name="______MSL34">'[3]Quarterly Leave Report'!$BH$59:$BI$63</definedName>
    <definedName name="______MSL35">'[3]Quarterly Leave Report'!$BH$65:$BI$67</definedName>
    <definedName name="______MSL36">'[3]Quarterly Leave Report'!$BH$69:$BI$70</definedName>
    <definedName name="______MSL37">'[3]Quarterly Leave Report'!$BH$72:$BI$74</definedName>
    <definedName name="______MSL38">'[3]Quarterly Leave Report'!$BH$76:$BI$83</definedName>
    <definedName name="______MSL39">'[3]Quarterly Leave Report'!$BH$85:$BI$86</definedName>
    <definedName name="______MSL4">'[3]Quarterly Leave Report'!$DV$6</definedName>
    <definedName name="______MSL41">'[3]Quarterly Leave Report'!$BR$10:$BS$15</definedName>
    <definedName name="______MSL410">'[3]Quarterly Leave Report'!#REF!</definedName>
    <definedName name="______MSL42">'[3]Quarterly Leave Report'!$BR$17:$BS$32</definedName>
    <definedName name="______MSL43">'[3]Quarterly Leave Report'!$BR$34:$BS$57</definedName>
    <definedName name="______MSL44">'[3]Quarterly Leave Report'!$BR$59:$BS$63</definedName>
    <definedName name="______MSL45">'[3]Quarterly Leave Report'!$BR$65:$BS$67</definedName>
    <definedName name="______MSL46">'[3]Quarterly Leave Report'!$BR$69:$BS$70</definedName>
    <definedName name="______MSL47">'[3]Quarterly Leave Report'!$BR$72:$BS$74</definedName>
    <definedName name="______MSL48">'[3]Quarterly Leave Report'!$BR$76:$BS$83</definedName>
    <definedName name="______MSL49">'[3]Quarterly Leave Report'!$BR$85:$BS$86</definedName>
    <definedName name="______NT2">#REF!</definedName>
    <definedName name="______QEE123">#REF!</definedName>
    <definedName name="______RSE1">#REF!</definedName>
    <definedName name="______RSE2">#REF!</definedName>
    <definedName name="______SEC107" localSheetId="4">#REF!</definedName>
    <definedName name="______SEC107" localSheetId="10">#REF!</definedName>
    <definedName name="______SEC107" localSheetId="2">#REF!</definedName>
    <definedName name="______SEC107">#REF!</definedName>
    <definedName name="_____10SR61">#REF!</definedName>
    <definedName name="_____aad116">[4]Notes!#REF!</definedName>
    <definedName name="_____BOT7" localSheetId="4">#REF!</definedName>
    <definedName name="_____BOT7" localSheetId="10">#REF!</definedName>
    <definedName name="_____BOT7" localSheetId="2">#REF!</definedName>
    <definedName name="_____BOT7">#REF!</definedName>
    <definedName name="_____HT65550">#REF!</definedName>
    <definedName name="_____HV65537">#REF!</definedName>
    <definedName name="_____MAL1">'[3]Quarterly Leave Report'!$DC$6</definedName>
    <definedName name="_____MAL11">'[3]Quarterly Leave Report'!$AL$10:$AM$15</definedName>
    <definedName name="_____MAL110">'[3]Quarterly Leave Report'!#REF!</definedName>
    <definedName name="_____MAL12">'[3]Quarterly Leave Report'!$AL$17:$AM$32</definedName>
    <definedName name="_____MAL13">'[3]Quarterly Leave Report'!$AL$34:$AM$57</definedName>
    <definedName name="_____MAL14">'[3]Quarterly Leave Report'!$AL$59:$AM$63</definedName>
    <definedName name="_____MAL15">'[3]Quarterly Leave Report'!$AL$65:$AM$67</definedName>
    <definedName name="_____MAL16">'[3]Quarterly Leave Report'!$AL$69:$AM$70</definedName>
    <definedName name="_____MAL17">'[3]Quarterly Leave Report'!$AL$72:$AM$74</definedName>
    <definedName name="_____MAL18">'[3]Quarterly Leave Report'!$AL$76:$AM$83</definedName>
    <definedName name="_____MAL19">'[3]Quarterly Leave Report'!$AL$85:$AM$86</definedName>
    <definedName name="_____MAL2">'[3]Quarterly Leave Report'!$DI$6</definedName>
    <definedName name="_____MAL21">'[3]Quarterly Leave Report'!$AV$10:$AW$15</definedName>
    <definedName name="_____MAL210">'[3]Quarterly Leave Report'!#REF!</definedName>
    <definedName name="_____MAL22">'[3]Quarterly Leave Report'!$AV$17:$AW$32</definedName>
    <definedName name="_____MAL23">'[3]Quarterly Leave Report'!$AV$34:$AW$57</definedName>
    <definedName name="_____MAL24">'[3]Quarterly Leave Report'!$AV$59:$AW$63</definedName>
    <definedName name="_____MAL25">'[3]Quarterly Leave Report'!$AV$65:$AW$67</definedName>
    <definedName name="_____MAL26">'[3]Quarterly Leave Report'!$AV$69:$AW$70</definedName>
    <definedName name="_____MAL27">'[3]Quarterly Leave Report'!$AV$72:$AW$74</definedName>
    <definedName name="_____MAL28">'[3]Quarterly Leave Report'!$AV$76:$AW$83</definedName>
    <definedName name="_____MAL29">'[3]Quarterly Leave Report'!$AV$85:$AW$86</definedName>
    <definedName name="_____MAL3">'[3]Quarterly Leave Report'!$DO$6</definedName>
    <definedName name="_____MAL31">'[3]Quarterly Leave Report'!$BF$10:$BG$15</definedName>
    <definedName name="_____MAL310">'[3]Quarterly Leave Report'!#REF!</definedName>
    <definedName name="_____MAL32">'[3]Quarterly Leave Report'!$BF$17:$BG$32</definedName>
    <definedName name="_____MAL33">'[3]Quarterly Leave Report'!$BF$34:$BG$57</definedName>
    <definedName name="_____MAL34">'[3]Quarterly Leave Report'!$BF$59:$BG$63</definedName>
    <definedName name="_____MAL35">'[3]Quarterly Leave Report'!$BF$65:$BG$67</definedName>
    <definedName name="_____MAL36">'[3]Quarterly Leave Report'!$BF$69:$BG$70</definedName>
    <definedName name="_____MAL37">'[3]Quarterly Leave Report'!$BF$72:$BG$74</definedName>
    <definedName name="_____MAL38">'[3]Quarterly Leave Report'!$BF$76:$BG$83</definedName>
    <definedName name="_____MAL39">'[3]Quarterly Leave Report'!$BF$85:$BG$86</definedName>
    <definedName name="_____MAL4">'[3]Quarterly Leave Report'!$DU$6</definedName>
    <definedName name="_____MAL41">'[3]Quarterly Leave Report'!$BP$10:$BQ$15</definedName>
    <definedName name="_____MAL410">'[3]Quarterly Leave Report'!#REF!</definedName>
    <definedName name="_____MAL42">'[3]Quarterly Leave Report'!$BP$17:$BQ$32</definedName>
    <definedName name="_____MAL43">'[3]Quarterly Leave Report'!$BP$34:$BQ$57</definedName>
    <definedName name="_____MAL44">'[3]Quarterly Leave Report'!$BP$59:$BQ$63</definedName>
    <definedName name="_____MAL45">'[3]Quarterly Leave Report'!$BP$65:$BQ$67</definedName>
    <definedName name="_____MAL46">'[3]Quarterly Leave Report'!$BP$69:$BQ$70</definedName>
    <definedName name="_____MAL47">'[3]Quarterly Leave Report'!$BP$72:$BQ$74</definedName>
    <definedName name="_____MAL48">'[3]Quarterly Leave Report'!$BP$76:$BQ$83</definedName>
    <definedName name="_____MAL49">'[3]Quarterly Leave Report'!$BP$85:$BQ$86</definedName>
    <definedName name="_____MSL1">'[3]Quarterly Leave Report'!$DD$6</definedName>
    <definedName name="_____MSL11">'[3]Quarterly Leave Report'!$AN$10:$AO$15</definedName>
    <definedName name="_____MSL110">'[3]Quarterly Leave Report'!#REF!</definedName>
    <definedName name="_____MSL12">'[3]Quarterly Leave Report'!$AN$17:$AO$32</definedName>
    <definedName name="_____MSL13">'[3]Quarterly Leave Report'!$AN$34:$AO$57</definedName>
    <definedName name="_____MSL14">'[3]Quarterly Leave Report'!$AN$59:$AO$63</definedName>
    <definedName name="_____MSL15">'[3]Quarterly Leave Report'!$AN$65:$AO$67</definedName>
    <definedName name="_____MSL16">'[3]Quarterly Leave Report'!$AN$69:$AO$70</definedName>
    <definedName name="_____MSL17">'[3]Quarterly Leave Report'!$AN$72:$AO$74</definedName>
    <definedName name="_____MSL18">'[3]Quarterly Leave Report'!$AN$76:$AO$83</definedName>
    <definedName name="_____MSL19">'[3]Quarterly Leave Report'!$AN$85:$AO$86</definedName>
    <definedName name="_____MSL2">'[3]Quarterly Leave Report'!$DJ$6</definedName>
    <definedName name="_____MSL21">'[3]Quarterly Leave Report'!$AX$10:$AY$15</definedName>
    <definedName name="_____MSL210">'[3]Quarterly Leave Report'!#REF!</definedName>
    <definedName name="_____MSL22">'[3]Quarterly Leave Report'!$AX$17:$AY$32</definedName>
    <definedName name="_____MSL23">'[3]Quarterly Leave Report'!$AX$34:$AY$57</definedName>
    <definedName name="_____MSL24">'[3]Quarterly Leave Report'!$AX$59:$AY$63</definedName>
    <definedName name="_____MSL25">'[3]Quarterly Leave Report'!$AX$65:$AY$67</definedName>
    <definedName name="_____MSL26">'[3]Quarterly Leave Report'!$AX$69:$AY$70</definedName>
    <definedName name="_____MSL27">'[3]Quarterly Leave Report'!$AX$72:$AY$74</definedName>
    <definedName name="_____MSL28">'[3]Quarterly Leave Report'!$AX$76:$AY$83</definedName>
    <definedName name="_____MSL29">'[3]Quarterly Leave Report'!$AX$85:$AY$86</definedName>
    <definedName name="_____MSL3">'[3]Quarterly Leave Report'!$DP$6</definedName>
    <definedName name="_____MSL31">'[3]Quarterly Leave Report'!$BH$10:$BI$15</definedName>
    <definedName name="_____MSL310">'[3]Quarterly Leave Report'!#REF!</definedName>
    <definedName name="_____MSL32">'[3]Quarterly Leave Report'!$BH$17:$BI$32</definedName>
    <definedName name="_____MSL33">'[3]Quarterly Leave Report'!$BH$34:$BI$57</definedName>
    <definedName name="_____MSL34">'[3]Quarterly Leave Report'!$BH$59:$BI$63</definedName>
    <definedName name="_____MSL35">'[3]Quarterly Leave Report'!$BH$65:$BI$67</definedName>
    <definedName name="_____MSL36">'[3]Quarterly Leave Report'!$BH$69:$BI$70</definedName>
    <definedName name="_____MSL37">'[3]Quarterly Leave Report'!$BH$72:$BI$74</definedName>
    <definedName name="_____MSL38">'[3]Quarterly Leave Report'!$BH$76:$BI$83</definedName>
    <definedName name="_____MSL39">'[3]Quarterly Leave Report'!$BH$85:$BI$86</definedName>
    <definedName name="_____MSL4">'[3]Quarterly Leave Report'!$DV$6</definedName>
    <definedName name="_____MSL41">'[3]Quarterly Leave Report'!$BR$10:$BS$15</definedName>
    <definedName name="_____MSL410">'[3]Quarterly Leave Report'!#REF!</definedName>
    <definedName name="_____MSL42">'[3]Quarterly Leave Report'!$BR$17:$BS$32</definedName>
    <definedName name="_____MSL43">'[3]Quarterly Leave Report'!$BR$34:$BS$57</definedName>
    <definedName name="_____MSL44">'[3]Quarterly Leave Report'!$BR$59:$BS$63</definedName>
    <definedName name="_____MSL45">'[3]Quarterly Leave Report'!$BR$65:$BS$67</definedName>
    <definedName name="_____MSL46">'[3]Quarterly Leave Report'!$BR$69:$BS$70</definedName>
    <definedName name="_____MSL47">'[3]Quarterly Leave Report'!$BR$72:$BS$74</definedName>
    <definedName name="_____MSL48">'[3]Quarterly Leave Report'!$BR$76:$BS$83</definedName>
    <definedName name="_____MSL49">'[3]Quarterly Leave Report'!$BR$85:$BS$86</definedName>
    <definedName name="_____NT2">#REF!</definedName>
    <definedName name="_____QEE123">#REF!</definedName>
    <definedName name="_____RSE1">#REF!</definedName>
    <definedName name="_____RSE2">#REF!</definedName>
    <definedName name="_____SEC107" localSheetId="4">#REF!</definedName>
    <definedName name="_____SEC107" localSheetId="10">#REF!</definedName>
    <definedName name="_____SEC107" localSheetId="2">#REF!</definedName>
    <definedName name="_____SEC107">#REF!</definedName>
    <definedName name="____10SR61">#REF!</definedName>
    <definedName name="____aad116">[4]Notes!#REF!</definedName>
    <definedName name="____BOT7" localSheetId="4">#REF!</definedName>
    <definedName name="____BOT7" localSheetId="10">#REF!</definedName>
    <definedName name="____BOT7" localSheetId="2">#REF!</definedName>
    <definedName name="____BOT7">#REF!</definedName>
    <definedName name="____MAL1">'[3]Quarterly Leave Report'!$DC$6</definedName>
    <definedName name="____MAL11">'[3]Quarterly Leave Report'!$AL$10:$AM$15</definedName>
    <definedName name="____MAL110">'[3]Quarterly Leave Report'!#REF!</definedName>
    <definedName name="____MAL12">'[3]Quarterly Leave Report'!$AL$17:$AM$32</definedName>
    <definedName name="____MAL13">'[3]Quarterly Leave Report'!$AL$34:$AM$57</definedName>
    <definedName name="____MAL14">'[3]Quarterly Leave Report'!$AL$59:$AM$63</definedName>
    <definedName name="____MAL15">'[3]Quarterly Leave Report'!$AL$65:$AM$67</definedName>
    <definedName name="____MAL16">'[3]Quarterly Leave Report'!$AL$69:$AM$70</definedName>
    <definedName name="____MAL17">'[3]Quarterly Leave Report'!$AL$72:$AM$74</definedName>
    <definedName name="____MAL18">'[3]Quarterly Leave Report'!$AL$76:$AM$83</definedName>
    <definedName name="____MAL19">'[3]Quarterly Leave Report'!$AL$85:$AM$86</definedName>
    <definedName name="____MAL2">'[3]Quarterly Leave Report'!$DI$6</definedName>
    <definedName name="____MAL21">'[3]Quarterly Leave Report'!$AV$10:$AW$15</definedName>
    <definedName name="____MAL210">'[3]Quarterly Leave Report'!#REF!</definedName>
    <definedName name="____MAL22">'[3]Quarterly Leave Report'!$AV$17:$AW$32</definedName>
    <definedName name="____MAL23">'[3]Quarterly Leave Report'!$AV$34:$AW$57</definedName>
    <definedName name="____MAL24">'[3]Quarterly Leave Report'!$AV$59:$AW$63</definedName>
    <definedName name="____MAL25">'[3]Quarterly Leave Report'!$AV$65:$AW$67</definedName>
    <definedName name="____MAL26">'[3]Quarterly Leave Report'!$AV$69:$AW$70</definedName>
    <definedName name="____MAL27">'[3]Quarterly Leave Report'!$AV$72:$AW$74</definedName>
    <definedName name="____MAL28">'[3]Quarterly Leave Report'!$AV$76:$AW$83</definedName>
    <definedName name="____MAL29">'[3]Quarterly Leave Report'!$AV$85:$AW$86</definedName>
    <definedName name="____MAL3">'[3]Quarterly Leave Report'!$DO$6</definedName>
    <definedName name="____MAL31">'[3]Quarterly Leave Report'!$BF$10:$BG$15</definedName>
    <definedName name="____MAL310">'[3]Quarterly Leave Report'!#REF!</definedName>
    <definedName name="____MAL32">'[3]Quarterly Leave Report'!$BF$17:$BG$32</definedName>
    <definedName name="____MAL33">'[3]Quarterly Leave Report'!$BF$34:$BG$57</definedName>
    <definedName name="____MAL34">'[3]Quarterly Leave Report'!$BF$59:$BG$63</definedName>
    <definedName name="____MAL35">'[3]Quarterly Leave Report'!$BF$65:$BG$67</definedName>
    <definedName name="____MAL36">'[3]Quarterly Leave Report'!$BF$69:$BG$70</definedName>
    <definedName name="____MAL37">'[3]Quarterly Leave Report'!$BF$72:$BG$74</definedName>
    <definedName name="____MAL38">'[3]Quarterly Leave Report'!$BF$76:$BG$83</definedName>
    <definedName name="____MAL39">'[3]Quarterly Leave Report'!$BF$85:$BG$86</definedName>
    <definedName name="____MAL4">'[3]Quarterly Leave Report'!$DU$6</definedName>
    <definedName name="____MAL41">'[3]Quarterly Leave Report'!$BP$10:$BQ$15</definedName>
    <definedName name="____MAL410">'[3]Quarterly Leave Report'!#REF!</definedName>
    <definedName name="____MAL42">'[3]Quarterly Leave Report'!$BP$17:$BQ$32</definedName>
    <definedName name="____MAL43">'[3]Quarterly Leave Report'!$BP$34:$BQ$57</definedName>
    <definedName name="____MAL44">'[3]Quarterly Leave Report'!$BP$59:$BQ$63</definedName>
    <definedName name="____MAL45">'[3]Quarterly Leave Report'!$BP$65:$BQ$67</definedName>
    <definedName name="____MAL46">'[3]Quarterly Leave Report'!$BP$69:$BQ$70</definedName>
    <definedName name="____MAL47">'[3]Quarterly Leave Report'!$BP$72:$BQ$74</definedName>
    <definedName name="____MAL48">'[3]Quarterly Leave Report'!$BP$76:$BQ$83</definedName>
    <definedName name="____MAL49">'[3]Quarterly Leave Report'!$BP$85:$BQ$86</definedName>
    <definedName name="____MSL1">'[3]Quarterly Leave Report'!$DD$6</definedName>
    <definedName name="____MSL11">'[3]Quarterly Leave Report'!$AN$10:$AO$15</definedName>
    <definedName name="____MSL110">'[3]Quarterly Leave Report'!#REF!</definedName>
    <definedName name="____MSL12">'[3]Quarterly Leave Report'!$AN$17:$AO$32</definedName>
    <definedName name="____MSL13">'[3]Quarterly Leave Report'!$AN$34:$AO$57</definedName>
    <definedName name="____MSL14">'[3]Quarterly Leave Report'!$AN$59:$AO$63</definedName>
    <definedName name="____MSL15">'[3]Quarterly Leave Report'!$AN$65:$AO$67</definedName>
    <definedName name="____MSL16">'[3]Quarterly Leave Report'!$AN$69:$AO$70</definedName>
    <definedName name="____MSL17">'[3]Quarterly Leave Report'!$AN$72:$AO$74</definedName>
    <definedName name="____MSL18">'[3]Quarterly Leave Report'!$AN$76:$AO$83</definedName>
    <definedName name="____MSL19">'[3]Quarterly Leave Report'!$AN$85:$AO$86</definedName>
    <definedName name="____MSL2">'[3]Quarterly Leave Report'!$DJ$6</definedName>
    <definedName name="____MSL21">'[3]Quarterly Leave Report'!$AX$10:$AY$15</definedName>
    <definedName name="____MSL210">'[3]Quarterly Leave Report'!#REF!</definedName>
    <definedName name="____MSL22">'[3]Quarterly Leave Report'!$AX$17:$AY$32</definedName>
    <definedName name="____MSL23">'[3]Quarterly Leave Report'!$AX$34:$AY$57</definedName>
    <definedName name="____MSL24">'[3]Quarterly Leave Report'!$AX$59:$AY$63</definedName>
    <definedName name="____MSL25">'[3]Quarterly Leave Report'!$AX$65:$AY$67</definedName>
    <definedName name="____MSL26">'[3]Quarterly Leave Report'!$AX$69:$AY$70</definedName>
    <definedName name="____MSL27">'[3]Quarterly Leave Report'!$AX$72:$AY$74</definedName>
    <definedName name="____MSL28">'[3]Quarterly Leave Report'!$AX$76:$AY$83</definedName>
    <definedName name="____MSL29">'[3]Quarterly Leave Report'!$AX$85:$AY$86</definedName>
    <definedName name="____MSL3">'[3]Quarterly Leave Report'!$DP$6</definedName>
    <definedName name="____MSL31">'[3]Quarterly Leave Report'!$BH$10:$BI$15</definedName>
    <definedName name="____MSL310">'[3]Quarterly Leave Report'!#REF!</definedName>
    <definedName name="____MSL32">'[3]Quarterly Leave Report'!$BH$17:$BI$32</definedName>
    <definedName name="____MSL33">'[3]Quarterly Leave Report'!$BH$34:$BI$57</definedName>
    <definedName name="____MSL34">'[3]Quarterly Leave Report'!$BH$59:$BI$63</definedName>
    <definedName name="____MSL35">'[3]Quarterly Leave Report'!$BH$65:$BI$67</definedName>
    <definedName name="____MSL36">'[3]Quarterly Leave Report'!$BH$69:$BI$70</definedName>
    <definedName name="____MSL37">'[3]Quarterly Leave Report'!$BH$72:$BI$74</definedName>
    <definedName name="____MSL38">'[3]Quarterly Leave Report'!$BH$76:$BI$83</definedName>
    <definedName name="____MSL39">'[3]Quarterly Leave Report'!$BH$85:$BI$86</definedName>
    <definedName name="____MSL4">'[3]Quarterly Leave Report'!$DV$6</definedName>
    <definedName name="____MSL41">'[3]Quarterly Leave Report'!$BR$10:$BS$15</definedName>
    <definedName name="____MSL410">'[3]Quarterly Leave Report'!#REF!</definedName>
    <definedName name="____MSL42">'[3]Quarterly Leave Report'!$BR$17:$BS$32</definedName>
    <definedName name="____MSL43">'[3]Quarterly Leave Report'!$BR$34:$BS$57</definedName>
    <definedName name="____MSL44">'[3]Quarterly Leave Report'!$BR$59:$BS$63</definedName>
    <definedName name="____MSL45">'[3]Quarterly Leave Report'!$BR$65:$BS$67</definedName>
    <definedName name="____MSL46">'[3]Quarterly Leave Report'!$BR$69:$BS$70</definedName>
    <definedName name="____MSL47">'[3]Quarterly Leave Report'!$BR$72:$BS$74</definedName>
    <definedName name="____MSL48">'[3]Quarterly Leave Report'!$BR$76:$BS$83</definedName>
    <definedName name="____MSL49">'[3]Quarterly Leave Report'!$BR$85:$BS$86</definedName>
    <definedName name="____NT2">#REF!</definedName>
    <definedName name="____QEE123">#REF!</definedName>
    <definedName name="____RSE1">#REF!</definedName>
    <definedName name="____RSE2">#REF!</definedName>
    <definedName name="____SEC107" localSheetId="4">#REF!</definedName>
    <definedName name="____SEC107" localSheetId="10">#REF!</definedName>
    <definedName name="____SEC107" localSheetId="2">#REF!</definedName>
    <definedName name="____SEC107">#REF!</definedName>
    <definedName name="___10SR61">#REF!</definedName>
    <definedName name="___aad116">[4]Notes!#REF!</definedName>
    <definedName name="___BOT7" localSheetId="4">#REF!</definedName>
    <definedName name="___BOT7" localSheetId="10">#REF!</definedName>
    <definedName name="___BOT7" localSheetId="2">#REF!</definedName>
    <definedName name="___BOT7">#REF!</definedName>
    <definedName name="___G83000">#REF!</definedName>
    <definedName name="___HT65550">#REF!</definedName>
    <definedName name="___HV65537">#REF!</definedName>
    <definedName name="___MAL1">'[3]Quarterly Leave Report'!$DC$6</definedName>
    <definedName name="___MAL11">'[3]Quarterly Leave Report'!$AL$10:$AM$15</definedName>
    <definedName name="___MAL110">'[3]Quarterly Leave Report'!#REF!</definedName>
    <definedName name="___MAL12">'[3]Quarterly Leave Report'!$AL$17:$AM$32</definedName>
    <definedName name="___MAL13">'[3]Quarterly Leave Report'!$AL$34:$AM$57</definedName>
    <definedName name="___MAL14">'[3]Quarterly Leave Report'!$AL$59:$AM$63</definedName>
    <definedName name="___MAL15">'[3]Quarterly Leave Report'!$AL$65:$AM$67</definedName>
    <definedName name="___MAL16">'[3]Quarterly Leave Report'!$AL$69:$AM$70</definedName>
    <definedName name="___MAL17">'[3]Quarterly Leave Report'!$AL$72:$AM$74</definedName>
    <definedName name="___MAL18">'[3]Quarterly Leave Report'!$AL$76:$AM$83</definedName>
    <definedName name="___MAL19">'[3]Quarterly Leave Report'!$AL$85:$AM$86</definedName>
    <definedName name="___MAL2">'[3]Quarterly Leave Report'!$DI$6</definedName>
    <definedName name="___MAL21">'[3]Quarterly Leave Report'!$AV$10:$AW$15</definedName>
    <definedName name="___MAL210">'[3]Quarterly Leave Report'!#REF!</definedName>
    <definedName name="___MAL22">'[3]Quarterly Leave Report'!$AV$17:$AW$32</definedName>
    <definedName name="___MAL23">'[3]Quarterly Leave Report'!$AV$34:$AW$57</definedName>
    <definedName name="___MAL24">'[3]Quarterly Leave Report'!$AV$59:$AW$63</definedName>
    <definedName name="___MAL25">'[3]Quarterly Leave Report'!$AV$65:$AW$67</definedName>
    <definedName name="___MAL26">'[3]Quarterly Leave Report'!$AV$69:$AW$70</definedName>
    <definedName name="___MAL27">'[3]Quarterly Leave Report'!$AV$72:$AW$74</definedName>
    <definedName name="___MAL28">'[3]Quarterly Leave Report'!$AV$76:$AW$83</definedName>
    <definedName name="___MAL29">'[3]Quarterly Leave Report'!$AV$85:$AW$86</definedName>
    <definedName name="___MAL3">'[3]Quarterly Leave Report'!$DO$6</definedName>
    <definedName name="___MAL31">'[3]Quarterly Leave Report'!$BF$10:$BG$15</definedName>
    <definedName name="___MAL310">'[3]Quarterly Leave Report'!#REF!</definedName>
    <definedName name="___MAL32">'[3]Quarterly Leave Report'!$BF$17:$BG$32</definedName>
    <definedName name="___MAL33">'[3]Quarterly Leave Report'!$BF$34:$BG$57</definedName>
    <definedName name="___MAL34">'[3]Quarterly Leave Report'!$BF$59:$BG$63</definedName>
    <definedName name="___MAL35">'[3]Quarterly Leave Report'!$BF$65:$BG$67</definedName>
    <definedName name="___MAL36">'[3]Quarterly Leave Report'!$BF$69:$BG$70</definedName>
    <definedName name="___MAL37">'[3]Quarterly Leave Report'!$BF$72:$BG$74</definedName>
    <definedName name="___MAL38">'[3]Quarterly Leave Report'!$BF$76:$BG$83</definedName>
    <definedName name="___MAL39">'[3]Quarterly Leave Report'!$BF$85:$BG$86</definedName>
    <definedName name="___MAL4">'[3]Quarterly Leave Report'!$DU$6</definedName>
    <definedName name="___MAL41">'[3]Quarterly Leave Report'!$BP$10:$BQ$15</definedName>
    <definedName name="___MAL410">'[3]Quarterly Leave Report'!#REF!</definedName>
    <definedName name="___MAL42">'[3]Quarterly Leave Report'!$BP$17:$BQ$32</definedName>
    <definedName name="___MAL43">'[3]Quarterly Leave Report'!$BP$34:$BQ$57</definedName>
    <definedName name="___MAL44">'[3]Quarterly Leave Report'!$BP$59:$BQ$63</definedName>
    <definedName name="___MAL45">'[3]Quarterly Leave Report'!$BP$65:$BQ$67</definedName>
    <definedName name="___MAL46">'[3]Quarterly Leave Report'!$BP$69:$BQ$70</definedName>
    <definedName name="___MAL47">'[3]Quarterly Leave Report'!$BP$72:$BQ$74</definedName>
    <definedName name="___MAL48">'[3]Quarterly Leave Report'!$BP$76:$BQ$83</definedName>
    <definedName name="___MAL49">'[3]Quarterly Leave Report'!$BP$85:$BQ$86</definedName>
    <definedName name="___MSL1">'[3]Quarterly Leave Report'!$DD$6</definedName>
    <definedName name="___MSL11">'[3]Quarterly Leave Report'!$AN$10:$AO$15</definedName>
    <definedName name="___MSL110">'[3]Quarterly Leave Report'!#REF!</definedName>
    <definedName name="___MSL12">'[3]Quarterly Leave Report'!$AN$17:$AO$32</definedName>
    <definedName name="___MSL13">'[3]Quarterly Leave Report'!$AN$34:$AO$57</definedName>
    <definedName name="___MSL14">'[3]Quarterly Leave Report'!$AN$59:$AO$63</definedName>
    <definedName name="___MSL15">'[3]Quarterly Leave Report'!$AN$65:$AO$67</definedName>
    <definedName name="___MSL16">'[3]Quarterly Leave Report'!$AN$69:$AO$70</definedName>
    <definedName name="___MSL17">'[3]Quarterly Leave Report'!$AN$72:$AO$74</definedName>
    <definedName name="___MSL18">'[3]Quarterly Leave Report'!$AN$76:$AO$83</definedName>
    <definedName name="___MSL19">'[3]Quarterly Leave Report'!$AN$85:$AO$86</definedName>
    <definedName name="___MSL2">'[3]Quarterly Leave Report'!$DJ$6</definedName>
    <definedName name="___MSL21">'[3]Quarterly Leave Report'!$AX$10:$AY$15</definedName>
    <definedName name="___MSL210">'[3]Quarterly Leave Report'!#REF!</definedName>
    <definedName name="___MSL22">'[3]Quarterly Leave Report'!$AX$17:$AY$32</definedName>
    <definedName name="___MSL23">'[3]Quarterly Leave Report'!$AX$34:$AY$57</definedName>
    <definedName name="___MSL24">'[3]Quarterly Leave Report'!$AX$59:$AY$63</definedName>
    <definedName name="___MSL25">'[3]Quarterly Leave Report'!$AX$65:$AY$67</definedName>
    <definedName name="___MSL26">'[3]Quarterly Leave Report'!$AX$69:$AY$70</definedName>
    <definedName name="___MSL27">'[3]Quarterly Leave Report'!$AX$72:$AY$74</definedName>
    <definedName name="___MSL28">'[3]Quarterly Leave Report'!$AX$76:$AY$83</definedName>
    <definedName name="___MSL29">'[3]Quarterly Leave Report'!$AX$85:$AY$86</definedName>
    <definedName name="___MSL3">'[3]Quarterly Leave Report'!$DP$6</definedName>
    <definedName name="___MSL31">'[3]Quarterly Leave Report'!$BH$10:$BI$15</definedName>
    <definedName name="___MSL310">'[3]Quarterly Leave Report'!#REF!</definedName>
    <definedName name="___MSL32">'[3]Quarterly Leave Report'!$BH$17:$BI$32</definedName>
    <definedName name="___MSL33">'[3]Quarterly Leave Report'!$BH$34:$BI$57</definedName>
    <definedName name="___MSL34">'[3]Quarterly Leave Report'!$BH$59:$BI$63</definedName>
    <definedName name="___MSL35">'[3]Quarterly Leave Report'!$BH$65:$BI$67</definedName>
    <definedName name="___MSL36">'[3]Quarterly Leave Report'!$BH$69:$BI$70</definedName>
    <definedName name="___MSL37">'[3]Quarterly Leave Report'!$BH$72:$BI$74</definedName>
    <definedName name="___MSL38">'[3]Quarterly Leave Report'!$BH$76:$BI$83</definedName>
    <definedName name="___MSL39">'[3]Quarterly Leave Report'!$BH$85:$BI$86</definedName>
    <definedName name="___MSL4">'[3]Quarterly Leave Report'!$DV$6</definedName>
    <definedName name="___MSL41">'[3]Quarterly Leave Report'!$BR$10:$BS$15</definedName>
    <definedName name="___MSL410">'[3]Quarterly Leave Report'!#REF!</definedName>
    <definedName name="___MSL42">'[3]Quarterly Leave Report'!$BR$17:$BS$32</definedName>
    <definedName name="___MSL43">'[3]Quarterly Leave Report'!$BR$34:$BS$57</definedName>
    <definedName name="___MSL44">'[3]Quarterly Leave Report'!$BR$59:$BS$63</definedName>
    <definedName name="___MSL45">'[3]Quarterly Leave Report'!$BR$65:$BS$67</definedName>
    <definedName name="___MSL46">'[3]Quarterly Leave Report'!$BR$69:$BS$70</definedName>
    <definedName name="___MSL47">'[3]Quarterly Leave Report'!$BR$72:$BS$74</definedName>
    <definedName name="___MSL48">'[3]Quarterly Leave Report'!$BR$76:$BS$83</definedName>
    <definedName name="___MSL49">'[3]Quarterly Leave Report'!$BR$85:$BS$86</definedName>
    <definedName name="___NT2">#REF!</definedName>
    <definedName name="___Oo62">#REF!</definedName>
    <definedName name="___QEE123">#REF!</definedName>
    <definedName name="___RSE1">#REF!</definedName>
    <definedName name="___RSE2">#REF!</definedName>
    <definedName name="___SEC107" localSheetId="4">#REF!</definedName>
    <definedName name="___SEC107" localSheetId="10">#REF!</definedName>
    <definedName name="___SEC107" localSheetId="2">#REF!</definedName>
    <definedName name="___SEC107">#REF!</definedName>
    <definedName name="__10SR61">#REF!</definedName>
    <definedName name="__123Graph_A" localSheetId="25" hidden="1">'[5]Revised Budget as per CNPP'!#REF!</definedName>
    <definedName name="__123Graph_A" localSheetId="16" hidden="1">'[5]Revised Budget as per CNPP'!#REF!</definedName>
    <definedName name="__123Graph_A" hidden="1">'[5]Revised Budget as per CNPP'!#REF!</definedName>
    <definedName name="__123Graph_AP䁃STATU1" hidden="1">#REF!</definedName>
    <definedName name="__123Graph_AREVCOST" localSheetId="25" hidden="1">'[5]Revised Budget as per CNPP'!#REF!</definedName>
    <definedName name="__123Graph_AREVCOST" localSheetId="16" hidden="1">'[5]Revised Budget as per CNPP'!#REF!</definedName>
    <definedName name="__123Graph_AREVCOST" hidden="1">'[5]Revised Budget as per CNPP'!#REF!</definedName>
    <definedName name="__123Graph_B" localSheetId="16" hidden="1">'[2]F&amp;F'!#REF!</definedName>
    <definedName name="__123Graph_B" localSheetId="5" hidden="1">'[2]F&amp;F'!#REF!</definedName>
    <definedName name="__123Graph_B" hidden="1">'[6]F&amp;F'!#REF!</definedName>
    <definedName name="__123Graph_BCURRENT" localSheetId="16" hidden="1">'[2]F&amp;F'!#REF!</definedName>
    <definedName name="__123Graph_BCURRENT" localSheetId="5" hidden="1">'[2]F&amp;F'!#REF!</definedName>
    <definedName name="__123Graph_BCURRENT" hidden="1">'[6]F&amp;F'!#REF!</definedName>
    <definedName name="__123Graph_X" localSheetId="25" hidden="1">'[5]Revised Budget as per CNPP'!#REF!</definedName>
    <definedName name="__123Graph_X" localSheetId="16" hidden="1">'[5]Revised Budget as per CNPP'!#REF!</definedName>
    <definedName name="__123Graph_X" hidden="1">'[5]Revised Budget as per CNPP'!#REF!</definedName>
    <definedName name="__1S" localSheetId="25">#REF!</definedName>
    <definedName name="__1S" localSheetId="11">#REF!</definedName>
    <definedName name="__1S">#REF!</definedName>
    <definedName name="__2_10SR61" localSheetId="25">#REF!</definedName>
    <definedName name="__2_10SR61" localSheetId="11">#REF!</definedName>
    <definedName name="__2_10SR61">#REF!</definedName>
    <definedName name="__aad116">[4]Notes!#REF!</definedName>
    <definedName name="__BOT7" localSheetId="4">#REF!</definedName>
    <definedName name="__BOT7" localSheetId="10">#REF!</definedName>
    <definedName name="__BOT7" localSheetId="2">#REF!</definedName>
    <definedName name="__BOT7">#REF!</definedName>
    <definedName name="__G83000">#REF!</definedName>
    <definedName name="__HT65550">#REF!</definedName>
    <definedName name="__HV65537">#REF!</definedName>
    <definedName name="__IntlFixup" hidden="1">TRUE</definedName>
    <definedName name="__MAL1">'[3]Quarterly Leave Report'!$DC$6</definedName>
    <definedName name="__MAL11">'[3]Quarterly Leave Report'!$AL$10:$AM$15</definedName>
    <definedName name="__MAL110">'[3]Quarterly Leave Report'!#REF!</definedName>
    <definedName name="__MAL12">'[3]Quarterly Leave Report'!$AL$17:$AM$32</definedName>
    <definedName name="__MAL13">'[3]Quarterly Leave Report'!$AL$34:$AM$57</definedName>
    <definedName name="__MAL14">'[3]Quarterly Leave Report'!$AL$59:$AM$63</definedName>
    <definedName name="__MAL15">'[3]Quarterly Leave Report'!$AL$65:$AM$67</definedName>
    <definedName name="__MAL16">'[3]Quarterly Leave Report'!$AL$69:$AM$70</definedName>
    <definedName name="__MAL17">'[3]Quarterly Leave Report'!$AL$72:$AM$74</definedName>
    <definedName name="__MAL18">'[3]Quarterly Leave Report'!$AL$76:$AM$83</definedName>
    <definedName name="__MAL19">'[3]Quarterly Leave Report'!$AL$85:$AM$86</definedName>
    <definedName name="__MAL2">'[3]Quarterly Leave Report'!$DI$6</definedName>
    <definedName name="__MAL21">'[3]Quarterly Leave Report'!$AV$10:$AW$15</definedName>
    <definedName name="__MAL210">'[3]Quarterly Leave Report'!#REF!</definedName>
    <definedName name="__MAL22">'[3]Quarterly Leave Report'!$AV$17:$AW$32</definedName>
    <definedName name="__MAL23">'[3]Quarterly Leave Report'!$AV$34:$AW$57</definedName>
    <definedName name="__MAL24">'[3]Quarterly Leave Report'!$AV$59:$AW$63</definedName>
    <definedName name="__MAL25">'[3]Quarterly Leave Report'!$AV$65:$AW$67</definedName>
    <definedName name="__MAL26">'[3]Quarterly Leave Report'!$AV$69:$AW$70</definedName>
    <definedName name="__MAL27">'[3]Quarterly Leave Report'!$AV$72:$AW$74</definedName>
    <definedName name="__MAL28">'[3]Quarterly Leave Report'!$AV$76:$AW$83</definedName>
    <definedName name="__MAL29">'[3]Quarterly Leave Report'!$AV$85:$AW$86</definedName>
    <definedName name="__MAL3">'[3]Quarterly Leave Report'!$DO$6</definedName>
    <definedName name="__MAL31">'[3]Quarterly Leave Report'!$BF$10:$BG$15</definedName>
    <definedName name="__MAL310">'[3]Quarterly Leave Report'!#REF!</definedName>
    <definedName name="__MAL32">'[3]Quarterly Leave Report'!$BF$17:$BG$32</definedName>
    <definedName name="__MAL33">'[3]Quarterly Leave Report'!$BF$34:$BG$57</definedName>
    <definedName name="__MAL34">'[3]Quarterly Leave Report'!$BF$59:$BG$63</definedName>
    <definedName name="__MAL35">'[3]Quarterly Leave Report'!$BF$65:$BG$67</definedName>
    <definedName name="__MAL36">'[3]Quarterly Leave Report'!$BF$69:$BG$70</definedName>
    <definedName name="__MAL37">'[3]Quarterly Leave Report'!$BF$72:$BG$74</definedName>
    <definedName name="__MAL38">'[3]Quarterly Leave Report'!$BF$76:$BG$83</definedName>
    <definedName name="__MAL39">'[3]Quarterly Leave Report'!$BF$85:$BG$86</definedName>
    <definedName name="__MAL4">'[3]Quarterly Leave Report'!$DU$6</definedName>
    <definedName name="__MAL41">'[3]Quarterly Leave Report'!$BP$10:$BQ$15</definedName>
    <definedName name="__MAL410">'[3]Quarterly Leave Report'!#REF!</definedName>
    <definedName name="__MAL42">'[3]Quarterly Leave Report'!$BP$17:$BQ$32</definedName>
    <definedName name="__MAL43">'[3]Quarterly Leave Report'!$BP$34:$BQ$57</definedName>
    <definedName name="__MAL44">'[3]Quarterly Leave Report'!$BP$59:$BQ$63</definedName>
    <definedName name="__MAL45">'[3]Quarterly Leave Report'!$BP$65:$BQ$67</definedName>
    <definedName name="__MAL46">'[3]Quarterly Leave Report'!$BP$69:$BQ$70</definedName>
    <definedName name="__MAL47">'[3]Quarterly Leave Report'!$BP$72:$BQ$74</definedName>
    <definedName name="__MAL48">'[3]Quarterly Leave Report'!$BP$76:$BQ$83</definedName>
    <definedName name="__MAL49">'[3]Quarterly Leave Report'!$BP$85:$BQ$86</definedName>
    <definedName name="__MSL1">'[3]Quarterly Leave Report'!$DD$6</definedName>
    <definedName name="__MSL11">'[3]Quarterly Leave Report'!$AN$10:$AO$15</definedName>
    <definedName name="__MSL110">'[3]Quarterly Leave Report'!#REF!</definedName>
    <definedName name="__MSL12">'[3]Quarterly Leave Report'!$AN$17:$AO$32</definedName>
    <definedName name="__MSL13">'[3]Quarterly Leave Report'!$AN$34:$AO$57</definedName>
    <definedName name="__MSL14">'[3]Quarterly Leave Report'!$AN$59:$AO$63</definedName>
    <definedName name="__MSL15">'[3]Quarterly Leave Report'!$AN$65:$AO$67</definedName>
    <definedName name="__MSL16">'[3]Quarterly Leave Report'!$AN$69:$AO$70</definedName>
    <definedName name="__MSL17">'[3]Quarterly Leave Report'!$AN$72:$AO$74</definedName>
    <definedName name="__MSL18">'[3]Quarterly Leave Report'!$AN$76:$AO$83</definedName>
    <definedName name="__MSL19">'[3]Quarterly Leave Report'!$AN$85:$AO$86</definedName>
    <definedName name="__MSL2">'[3]Quarterly Leave Report'!$DJ$6</definedName>
    <definedName name="__MSL21">'[3]Quarterly Leave Report'!$AX$10:$AY$15</definedName>
    <definedName name="__MSL210">'[3]Quarterly Leave Report'!#REF!</definedName>
    <definedName name="__MSL22">'[3]Quarterly Leave Report'!$AX$17:$AY$32</definedName>
    <definedName name="__MSL23">'[3]Quarterly Leave Report'!$AX$34:$AY$57</definedName>
    <definedName name="__MSL24">'[3]Quarterly Leave Report'!$AX$59:$AY$63</definedName>
    <definedName name="__MSL25">'[3]Quarterly Leave Report'!$AX$65:$AY$67</definedName>
    <definedName name="__MSL26">'[3]Quarterly Leave Report'!$AX$69:$AY$70</definedName>
    <definedName name="__MSL27">'[3]Quarterly Leave Report'!$AX$72:$AY$74</definedName>
    <definedName name="__MSL28">'[3]Quarterly Leave Report'!$AX$76:$AY$83</definedName>
    <definedName name="__MSL29">'[3]Quarterly Leave Report'!$AX$85:$AY$86</definedName>
    <definedName name="__MSL3">'[3]Quarterly Leave Report'!$DP$6</definedName>
    <definedName name="__MSL31">'[3]Quarterly Leave Report'!$BH$10:$BI$15</definedName>
    <definedName name="__MSL310">'[3]Quarterly Leave Report'!#REF!</definedName>
    <definedName name="__MSL32">'[3]Quarterly Leave Report'!$BH$17:$BI$32</definedName>
    <definedName name="__MSL33">'[3]Quarterly Leave Report'!$BH$34:$BI$57</definedName>
    <definedName name="__MSL34">'[3]Quarterly Leave Report'!$BH$59:$BI$63</definedName>
    <definedName name="__MSL35">'[3]Quarterly Leave Report'!$BH$65:$BI$67</definedName>
    <definedName name="__MSL36">'[3]Quarterly Leave Report'!$BH$69:$BI$70</definedName>
    <definedName name="__MSL37">'[3]Quarterly Leave Report'!$BH$72:$BI$74</definedName>
    <definedName name="__MSL38">'[3]Quarterly Leave Report'!$BH$76:$BI$83</definedName>
    <definedName name="__MSL39">'[3]Quarterly Leave Report'!$BH$85:$BI$86</definedName>
    <definedName name="__MSL4">'[3]Quarterly Leave Report'!$DV$6</definedName>
    <definedName name="__MSL41">'[3]Quarterly Leave Report'!$BR$10:$BS$15</definedName>
    <definedName name="__MSL410">'[3]Quarterly Leave Report'!#REF!</definedName>
    <definedName name="__MSL42">'[3]Quarterly Leave Report'!$BR$17:$BS$32</definedName>
    <definedName name="__MSL43">'[3]Quarterly Leave Report'!$BR$34:$BS$57</definedName>
    <definedName name="__MSL44">'[3]Quarterly Leave Report'!$BR$59:$BS$63</definedName>
    <definedName name="__MSL45">'[3]Quarterly Leave Report'!$BR$65:$BS$67</definedName>
    <definedName name="__MSL46">'[3]Quarterly Leave Report'!$BR$69:$BS$70</definedName>
    <definedName name="__MSL47">'[3]Quarterly Leave Report'!$BR$72:$BS$74</definedName>
    <definedName name="__MSL48">'[3]Quarterly Leave Report'!$BR$76:$BS$83</definedName>
    <definedName name="__MSL49">'[3]Quarterly Leave Report'!$BR$85:$BS$86</definedName>
    <definedName name="__NT2">#REF!</definedName>
    <definedName name="__Oo62">#REF!</definedName>
    <definedName name="__QEE123">#REF!</definedName>
    <definedName name="__RSE1">#REF!</definedName>
    <definedName name="__RSE2">#REF!</definedName>
    <definedName name="__SEC107" localSheetId="4">#REF!</definedName>
    <definedName name="__SEC107" localSheetId="10">#REF!</definedName>
    <definedName name="__SEC107" localSheetId="2">#REF!</definedName>
    <definedName name="__SEC107">#REF!</definedName>
    <definedName name="_1" localSheetId="5">#REF!</definedName>
    <definedName name="_1">#REF!</definedName>
    <definedName name="_1_">'[7]Balance Sheet'!#REF!</definedName>
    <definedName name="_1__123Graph_ACHART_1" localSheetId="16" hidden="1">'[5]Revised Budget as per CNPP'!#REF!</definedName>
    <definedName name="_1__123Graph_ACHART_1" hidden="1">'[5]Revised Budget as per CNPP'!#REF!</definedName>
    <definedName name="_10__123Graph_LBL_ACHART_1" localSheetId="16" hidden="1">'[5]Revised Budget as per CNPP'!#REF!</definedName>
    <definedName name="_10__123Graph_LBL_ACHART_1" hidden="1">'[5]Revised Budget as per CNPP'!#REF!</definedName>
    <definedName name="_100______123Graph_LBL_ECHART_2" localSheetId="25" hidden="1">'[5]Revised Budget as per CNPP'!#REF!</definedName>
    <definedName name="_107______123Graph_LBL_FCHART_2" localSheetId="25" hidden="1">'[5]Revised Budget as per CNPP'!#REF!</definedName>
    <definedName name="_107A" localSheetId="4">#REF!</definedName>
    <definedName name="_107A" localSheetId="10">#REF!</definedName>
    <definedName name="_107A" localSheetId="2">#REF!</definedName>
    <definedName name="_107A">#REF!</definedName>
    <definedName name="_10SR61" localSheetId="25">#REF!</definedName>
    <definedName name="_10SR61" localSheetId="11">#REF!</definedName>
    <definedName name="_10SR61">#REF!</definedName>
    <definedName name="_11__123Graph_LBL_ACHART_2" localSheetId="16" hidden="1">'[5]Revised Budget as per CNPP'!#REF!</definedName>
    <definedName name="_11__123Graph_LBL_ACHART_2" hidden="1">'[5]Revised Budget as per CNPP'!#REF!</definedName>
    <definedName name="_114_____123Graph_ACHART_1" localSheetId="25" hidden="1">'[5]Revised Budget as per CNPP'!#REF!</definedName>
    <definedName name="_12__123Graph_LBL_BCHART_1" localSheetId="16" hidden="1">'[5]Revised Budget as per CNPP'!#REF!</definedName>
    <definedName name="_12__123Graph_LBL_BCHART_1" hidden="1">'[5]Revised Budget as per CNPP'!#REF!</definedName>
    <definedName name="_121_____123Graph_ACHART_2" localSheetId="25" hidden="1">'[5]Revised Budget as per CNPP'!#REF!</definedName>
    <definedName name="_128_____123Graph_BCHART_1" localSheetId="25" hidden="1">'[5]Revised Budget as per CNPP'!#REF!</definedName>
    <definedName name="_13__123Graph_LBL_BCHART_2" localSheetId="16" hidden="1">'[5]Revised Budget as per CNPP'!#REF!</definedName>
    <definedName name="_13__123Graph_LBL_BCHART_2" hidden="1">'[5]Revised Budget as per CNPP'!#REF!</definedName>
    <definedName name="_135_____123Graph_BCHART_2" localSheetId="25" hidden="1">'[5]Revised Budget as per CNPP'!#REF!</definedName>
    <definedName name="_14__123Graph_LBL_CCHART_2" localSheetId="16" hidden="1">'[5]Revised Budget as per CNPP'!#REF!</definedName>
    <definedName name="_14__123Graph_LBL_CCHART_2" hidden="1">'[5]Revised Budget as per CNPP'!#REF!</definedName>
    <definedName name="_142_____123Graph_CCHART_1" localSheetId="25" hidden="1">'[5]Revised Budget as per CNPP'!#REF!</definedName>
    <definedName name="_149_____123Graph_CCHART_2" localSheetId="25" hidden="1">'[5]Revised Budget as per CNPP'!#REF!</definedName>
    <definedName name="_15__123Graph_LBL_DCHART_2" localSheetId="16" hidden="1">'[5]Revised Budget as per CNPP'!#REF!</definedName>
    <definedName name="_15__123Graph_LBL_DCHART_2" hidden="1">'[5]Revised Budget as per CNPP'!#REF!</definedName>
    <definedName name="_156_____123Graph_DCHART_2" localSheetId="25" hidden="1">'[5]Revised Budget as per CNPP'!#REF!</definedName>
    <definedName name="_16______123Graph_BCHART_2" localSheetId="25" hidden="1">'[5]Revised Budget as per CNPP'!#REF!</definedName>
    <definedName name="_16__123Graph_LBL_ECHART_2" localSheetId="16" hidden="1">'[5]Revised Budget as per CNPP'!#REF!</definedName>
    <definedName name="_16__123Graph_LBL_ECHART_2" hidden="1">'[5]Revised Budget as per CNPP'!#REF!</definedName>
    <definedName name="_163_____123Graph_ECHART_2" localSheetId="25" hidden="1">'[5]Revised Budget as per CNPP'!#REF!</definedName>
    <definedName name="_17__123Graph_LBL_FCHART_2" localSheetId="16" hidden="1">'[5]Revised Budget as per CNPP'!#REF!</definedName>
    <definedName name="_17__123Graph_LBL_FCHART_2" hidden="1">'[5]Revised Budget as per CNPP'!#REF!</definedName>
    <definedName name="_170_____123Graph_FCHART_2" localSheetId="25" hidden="1">'[5]Revised Budget as per CNPP'!#REF!</definedName>
    <definedName name="_177_____123Graph_LBL_ACHART_1" localSheetId="25" hidden="1">'[5]Revised Budget as per CNPP'!#REF!</definedName>
    <definedName name="_184_____123Graph_LBL_ACHART_2" localSheetId="25" hidden="1">'[5]Revised Budget as per CNPP'!#REF!</definedName>
    <definedName name="_191_____123Graph_LBL_BCHART_1" localSheetId="25" hidden="1">'[5]Revised Budget as per CNPP'!#REF!</definedName>
    <definedName name="_198_____123Graph_LBL_BCHART_2" localSheetId="25" hidden="1">'[5]Revised Budget as per CNPP'!#REF!</definedName>
    <definedName name="_1AFG__ACATEGORIES_13">#REF!</definedName>
    <definedName name="_1Excel_BuiltIn_Print_Titles_1_1">'[8]Fixed Assets Department wise'!$A$1:$B$65536,'[8]Fixed Assets Department wise'!#REF!</definedName>
    <definedName name="_1S" localSheetId="25">#REF!</definedName>
    <definedName name="_1S" localSheetId="11">#REF!</definedName>
    <definedName name="_1S">#REF!</definedName>
    <definedName name="_2" localSheetId="5">#REF!</definedName>
    <definedName name="_2">#REF!</definedName>
    <definedName name="_2______123Graph_ACHART_1" localSheetId="25" hidden="1">'[5]Revised Budget as per CNPP'!#REF!</definedName>
    <definedName name="_2__123Graph_ACHART_2" localSheetId="16" hidden="1">'[5]Revised Budget as per CNPP'!#REF!</definedName>
    <definedName name="_2__123Graph_ACHART_2" hidden="1">'[5]Revised Budget as per CNPP'!#REF!</definedName>
    <definedName name="_2_10SR61" localSheetId="25">#REF!</definedName>
    <definedName name="_2_10SR61" localSheetId="11">#REF!</definedName>
    <definedName name="_2_10SR61">#REF!</definedName>
    <definedName name="_205_____123Graph_LBL_CCHART_2" localSheetId="25" hidden="1">'[5]Revised Budget as per CNPP'!#REF!</definedName>
    <definedName name="_212_____123Graph_LBL_DCHART_2" localSheetId="25" hidden="1">'[5]Revised Budget as per CNPP'!#REF!</definedName>
    <definedName name="_219_____123Graph_LBL_ECHART_2" localSheetId="25" hidden="1">'[5]Revised Budget as per CNPP'!#REF!</definedName>
    <definedName name="_226_____123Graph_LBL_FCHART_2" localSheetId="25" hidden="1">'[5]Revised Budget as per CNPP'!#REF!</definedName>
    <definedName name="_23______123Graph_CCHART_1" localSheetId="25" hidden="1">'[5]Revised Budget as per CNPP'!#REF!</definedName>
    <definedName name="_233____123Graph_ACHART_1" localSheetId="25" hidden="1">'[5]Revised Budget as per CNPP'!#REF!</definedName>
    <definedName name="_240____123Graph_ACHART_2" localSheetId="25" hidden="1">'[5]Revised Budget as per CNPP'!#REF!</definedName>
    <definedName name="_247____123Graph_BCHART_1" localSheetId="25" hidden="1">'[5]Revised Budget as per CNPP'!#REF!</definedName>
    <definedName name="_254____123Graph_BCHART_2" localSheetId="25" hidden="1">'[5]Revised Budget as per CNPP'!#REF!</definedName>
    <definedName name="_261____123Graph_CCHART_1" localSheetId="25" hidden="1">'[5]Revised Budget as per CNPP'!#REF!</definedName>
    <definedName name="_268____123Graph_CCHART_2" localSheetId="25" hidden="1">'[5]Revised Budget as per CNPP'!#REF!</definedName>
    <definedName name="_275____123Graph_DCHART_2" localSheetId="25" hidden="1">'[5]Revised Budget as per CNPP'!#REF!</definedName>
    <definedName name="_282____123Graph_ECHART_2" localSheetId="25" hidden="1">'[5]Revised Budget as per CNPP'!#REF!</definedName>
    <definedName name="_289____123Graph_FCHART_2" localSheetId="25" hidden="1">'[5]Revised Budget as per CNPP'!#REF!</definedName>
    <definedName name="_296____123Graph_LBL_ACHART_1" localSheetId="25" hidden="1">'[5]Revised Budget as per CNPP'!#REF!</definedName>
    <definedName name="_2Excel_BuiltIn_Print_Titles_3_1">[8]Operation!$A$1:$B$65536,[8]Operation!#REF!</definedName>
    <definedName name="_2FIXED_ASSETS">#REF!</definedName>
    <definedName name="_3" localSheetId="5">#REF!</definedName>
    <definedName name="_3">#REF!</definedName>
    <definedName name="_3__123Graph_BCHART_1" localSheetId="16" hidden="1">'[5]Revised Budget as per CNPP'!#REF!</definedName>
    <definedName name="_3__123Graph_BCHART_1" hidden="1">'[5]Revised Budget as per CNPP'!#REF!</definedName>
    <definedName name="_30______123Graph_CCHART_2" localSheetId="25" hidden="1">'[5]Revised Budget as per CNPP'!#REF!</definedName>
    <definedName name="_303____123Graph_LBL_ACHART_2" localSheetId="25" hidden="1">'[5]Revised Budget as per CNPP'!#REF!</definedName>
    <definedName name="_310____123Graph_LBL_BCHART_1" localSheetId="25" hidden="1">'[5]Revised Budget as per CNPP'!#REF!</definedName>
    <definedName name="_317____123Graph_LBL_BCHART_2" localSheetId="25" hidden="1">'[5]Revised Budget as per CNPP'!#REF!</definedName>
    <definedName name="_324____123Graph_LBL_CCHART_2" localSheetId="25" hidden="1">'[5]Revised Budget as per CNPP'!#REF!</definedName>
    <definedName name="_331____123Graph_LBL_DCHART_2" localSheetId="25" hidden="1">'[5]Revised Budget as per CNPP'!#REF!</definedName>
    <definedName name="_338____123Graph_LBL_ECHART_2" localSheetId="25" hidden="1">'[5]Revised Budget as per CNPP'!#REF!</definedName>
    <definedName name="_345____123Graph_LBL_FCHART_2" localSheetId="25" hidden="1">'[5]Revised Budget as per CNPP'!#REF!</definedName>
    <definedName name="_352___123Graph_ACHART_1" localSheetId="25" hidden="1">'[5]Revised Budget as per CNPP'!#REF!</definedName>
    <definedName name="_359___123Graph_ACHART_2" localSheetId="25" hidden="1">'[5]Revised Budget as per CNPP'!#REF!</definedName>
    <definedName name="_366___123Graph_BCHART_1" localSheetId="25" hidden="1">'[5]Revised Budget as per CNPP'!#REF!</definedName>
    <definedName name="_37______123Graph_DCHART_2" localSheetId="25" hidden="1">'[5]Revised Budget as per CNPP'!#REF!</definedName>
    <definedName name="_373___123Graph_BCHART_2" localSheetId="25" hidden="1">'[5]Revised Budget as per CNPP'!#REF!</definedName>
    <definedName name="_380___123Graph_CCHART_1" localSheetId="25" hidden="1">'[5]Revised Budget as per CNPP'!#REF!</definedName>
    <definedName name="_387___123Graph_CCHART_2" localSheetId="25" hidden="1">'[5]Revised Budget as per CNPP'!#REF!</definedName>
    <definedName name="_394___123Graph_DCHART_2" localSheetId="25" hidden="1">'[5]Revised Budget as per CNPP'!#REF!</definedName>
    <definedName name="_3Excel_BuiltIn_Print_Titles_4_1">[8]Technical!$A$1:$B$65536,[8]Technical!#REF!</definedName>
    <definedName name="_3FIXED_ASSETS">#REF!</definedName>
    <definedName name="_3PROFIT___LOSS">'[9]Profit _ Loss'!$A$1:$H$33</definedName>
    <definedName name="_4" localSheetId="5">#REF!</definedName>
    <definedName name="_4">#REF!</definedName>
    <definedName name="_4__123Graph_BCHART_2" localSheetId="16" hidden="1">'[5]Revised Budget as per CNPP'!#REF!</definedName>
    <definedName name="_4__123Graph_BCHART_2" hidden="1">'[5]Revised Budget as per CNPP'!#REF!</definedName>
    <definedName name="_401___123Graph_ECHART_2" localSheetId="25" hidden="1">'[5]Revised Budget as per CNPP'!#REF!</definedName>
    <definedName name="_408___123Graph_FCHART_2" localSheetId="25" hidden="1">'[5]Revised Budget as per CNPP'!#REF!</definedName>
    <definedName name="_415___123Graph_LBL_ACHART_1" localSheetId="25" hidden="1">'[5]Revised Budget as per CNPP'!#REF!</definedName>
    <definedName name="_422___123Graph_LBL_ACHART_2" localSheetId="25" hidden="1">'[5]Revised Budget as per CNPP'!#REF!</definedName>
    <definedName name="_429___123Graph_LBL_BCHART_1" localSheetId="25" hidden="1">'[5]Revised Budget as per CNPP'!#REF!</definedName>
    <definedName name="_436___123Graph_LBL_BCHART_2" localSheetId="25" hidden="1">'[5]Revised Budget as per CNPP'!#REF!</definedName>
    <definedName name="_44______123Graph_ECHART_2" localSheetId="25" hidden="1">'[5]Revised Budget as per CNPP'!#REF!</definedName>
    <definedName name="_443___123Graph_LBL_CCHART_2" localSheetId="25" hidden="1">'[5]Revised Budget as per CNPP'!#REF!</definedName>
    <definedName name="_450___123Graph_LBL_DCHART_2" localSheetId="25" hidden="1">'[5]Revised Budget as per CNPP'!#REF!</definedName>
    <definedName name="_457___123Graph_LBL_ECHART_2" localSheetId="25" hidden="1">'[5]Revised Budget as per CNPP'!#REF!</definedName>
    <definedName name="_464___123Graph_LBL_FCHART_2" localSheetId="25" hidden="1">'[5]Revised Budget as per CNPP'!#REF!</definedName>
    <definedName name="_471__123Graph_ACHART_1" localSheetId="25" hidden="1">'[5]Revised Budget as per CNPP'!#REF!</definedName>
    <definedName name="_478__123Graph_ACHART_2" localSheetId="25" hidden="1">'[5]Revised Budget as per CNPP'!#REF!</definedName>
    <definedName name="_485__123Graph_BCHART_1" localSheetId="25" hidden="1">'[5]Revised Budget as per CNPP'!#REF!</definedName>
    <definedName name="_492__123Graph_BCHART_2" localSheetId="25" hidden="1">'[5]Revised Budget as per CNPP'!#REF!</definedName>
    <definedName name="_499__123Graph_CCHART_1" localSheetId="25" hidden="1">'[5]Revised Budget as per CNPP'!#REF!</definedName>
    <definedName name="_4Excel_BuiltIn_Print_Titles_5_1">[8]Marketing!$A$1:$C$65536,[8]Marketing!#REF!</definedName>
    <definedName name="_4PROFIT___LOSS">'[10]Profit _ Loss'!$A$1:$H$33</definedName>
    <definedName name="_5" localSheetId="5">#REF!</definedName>
    <definedName name="_5">#REF!</definedName>
    <definedName name="_5__123Graph_CCHART_1" localSheetId="16" hidden="1">'[5]Revised Budget as per CNPP'!#REF!</definedName>
    <definedName name="_5__123Graph_CCHART_1" hidden="1">'[5]Revised Budget as per CNPP'!#REF!</definedName>
    <definedName name="_506__123Graph_CCHART_2" localSheetId="25" hidden="1">'[5]Revised Budget as per CNPP'!#REF!</definedName>
    <definedName name="_51______123Graph_FCHART_2" localSheetId="25" hidden="1">'[5]Revised Budget as per CNPP'!#REF!</definedName>
    <definedName name="_513__123Graph_DCHART_2" localSheetId="25" hidden="1">'[5]Revised Budget as per CNPP'!#REF!</definedName>
    <definedName name="_520__123Graph_ECHART_2" localSheetId="25" hidden="1">'[5]Revised Budget as per CNPP'!#REF!</definedName>
    <definedName name="_527__123Graph_FCHART_2" localSheetId="25" hidden="1">'[5]Revised Budget as per CNPP'!#REF!</definedName>
    <definedName name="_534__123Graph_LBL_ACHART_1" localSheetId="25" hidden="1">'[5]Revised Budget as per CNPP'!#REF!</definedName>
    <definedName name="_541__123Graph_LBL_ACHART_2" localSheetId="25" hidden="1">'[5]Revised Budget as per CNPP'!#REF!</definedName>
    <definedName name="_548__123Graph_LBL_BCHART_1" localSheetId="25" hidden="1">'[5]Revised Budget as per CNPP'!#REF!</definedName>
    <definedName name="_555__123Graph_LBL_BCHART_2" localSheetId="25" hidden="1">'[5]Revised Budget as per CNPP'!#REF!</definedName>
    <definedName name="_562__123Graph_LBL_CCHART_2" localSheetId="25" hidden="1">'[5]Revised Budget as per CNPP'!#REF!</definedName>
    <definedName name="_569__123Graph_LBL_DCHART_2" localSheetId="25" hidden="1">'[5]Revised Budget as per CNPP'!#REF!</definedName>
    <definedName name="_576__123Graph_LBL_ECHART_2" localSheetId="25" hidden="1">'[5]Revised Budget as per CNPP'!#REF!</definedName>
    <definedName name="_58______123Graph_LBL_ACHART_1" localSheetId="25" hidden="1">'[5]Revised Budget as per CNPP'!#REF!</definedName>
    <definedName name="_583__123Graph_LBL_FCHART_2" localSheetId="25" hidden="1">'[5]Revised Budget as per CNPP'!#REF!</definedName>
    <definedName name="_5Excel_BuiltIn_Print_Titles_6_1">[8]Administration!$A$1:$C$65536,[8]Administration!#REF!</definedName>
    <definedName name="_6" localSheetId="5">#REF!</definedName>
    <definedName name="_6">#REF!</definedName>
    <definedName name="_6__123Graph_CCHART_2" localSheetId="16" hidden="1">'[5]Revised Budget as per CNPP'!#REF!</definedName>
    <definedName name="_6__123Graph_CCHART_2" hidden="1">'[5]Revised Budget as per CNPP'!#REF!</definedName>
    <definedName name="_65______123Graph_LBL_ACHART_2" localSheetId="25" hidden="1">'[5]Revised Budget as per CNPP'!#REF!</definedName>
    <definedName name="_7" localSheetId="5">#REF!</definedName>
    <definedName name="_7">#REF!</definedName>
    <definedName name="_7__123Graph_DCHART_2" localSheetId="16" hidden="1">'[5]Revised Budget as per CNPP'!#REF!</definedName>
    <definedName name="_7__123Graph_DCHART_2" hidden="1">'[5]Revised Budget as per CNPP'!#REF!</definedName>
    <definedName name="_72______123Graph_LBL_BCHART_1" localSheetId="25" hidden="1">'[5]Revised Budget as per CNPP'!#REF!</definedName>
    <definedName name="_79______123Graph_LBL_BCHART_2" localSheetId="25" hidden="1">'[5]Revised Budget as per CNPP'!#REF!</definedName>
    <definedName name="_8__123Graph_ECHART_2" localSheetId="16" hidden="1">'[5]Revised Budget as per CNPP'!#REF!</definedName>
    <definedName name="_8__123Graph_ECHART_2" hidden="1">'[5]Revised Budget as per CNPP'!#REF!</definedName>
    <definedName name="_86______123Graph_LBL_CCHART_2" localSheetId="25" hidden="1">'[5]Revised Budget as per CNPP'!#REF!</definedName>
    <definedName name="_9______123Graph_ACHART_2" localSheetId="25" hidden="1">'[5]Revised Budget as per CNPP'!#REF!</definedName>
    <definedName name="_9__123Graph_FCHART_2" localSheetId="16" hidden="1">'[5]Revised Budget as per CNPP'!#REF!</definedName>
    <definedName name="_9__123Graph_FCHART_2" hidden="1">'[5]Revised Budget as per CNPP'!#REF!</definedName>
    <definedName name="_93______123Graph_LBL_DCHART_2" localSheetId="25" hidden="1">'[5]Revised Budget as per CNPP'!#REF!</definedName>
    <definedName name="_9798">#REF!</definedName>
    <definedName name="_aad116">[4]Notes!#REF!</definedName>
    <definedName name="_BOT7" localSheetId="4">#REF!</definedName>
    <definedName name="_BOT7" localSheetId="10">#REF!</definedName>
    <definedName name="_BOT7" localSheetId="2">#REF!</definedName>
    <definedName name="_BOT7">#REF!</definedName>
    <definedName name="_da654" hidden="1">{#N/A,#N/A,FALSE,"Sensitivity"}</definedName>
    <definedName name="_Fill" localSheetId="19" hidden="1">[11]Acct!#REF!</definedName>
    <definedName name="_Fill" localSheetId="4" hidden="1">[11]Acct!#REF!</definedName>
    <definedName name="_Fill" localSheetId="16" hidden="1">'[2]F&amp;F'!#REF!</definedName>
    <definedName name="_Fill" localSheetId="10" hidden="1">[11]Acct!#REF!</definedName>
    <definedName name="_Fill" localSheetId="2" hidden="1">[11]Acct!#REF!</definedName>
    <definedName name="_Fill" localSheetId="5" hidden="1">'[2]F&amp;F'!#REF!</definedName>
    <definedName name="_Fill" hidden="1">[11]Acct!#REF!</definedName>
    <definedName name="_xlnm._FilterDatabase" localSheetId="4" hidden="1">grouping!$A$465:$K$502</definedName>
    <definedName name="_xlnm._FilterDatabase" localSheetId="2" hidden="1">'Trial Combine 19'!$A$343:$L$407</definedName>
    <definedName name="_xlnm._FilterDatabase" hidden="1">#REF!</definedName>
    <definedName name="_G83000">#REF!</definedName>
    <definedName name="_HT65550">#REF!</definedName>
    <definedName name="_HV65537">#REF!</definedName>
    <definedName name="_Key1" localSheetId="9" hidden="1">'[6]F&amp;F'!#REF!</definedName>
    <definedName name="_Key1" localSheetId="25" hidden="1">#REF!</definedName>
    <definedName name="_Key1" localSheetId="11" hidden="1">#REF!</definedName>
    <definedName name="_Key1" localSheetId="4" hidden="1">#REF!</definedName>
    <definedName name="_Key1" localSheetId="16" hidden="1">'[2]F&amp;F'!#REF!</definedName>
    <definedName name="_Key1" localSheetId="10" hidden="1">#REF!</definedName>
    <definedName name="_Key1" localSheetId="2" hidden="1">#REF!</definedName>
    <definedName name="_Key1" localSheetId="5" hidden="1">'[2]F&amp;F'!#REF!</definedName>
    <definedName name="_Key1" hidden="1">#REF!</definedName>
    <definedName name="_Key2" localSheetId="9" hidden="1">'[6]F&amp;F'!#REF!</definedName>
    <definedName name="_Key2" localSheetId="4" hidden="1">#REF!</definedName>
    <definedName name="_Key2" localSheetId="16" hidden="1">'[2]F&amp;F'!#REF!</definedName>
    <definedName name="_Key2" localSheetId="10" hidden="1">#REF!</definedName>
    <definedName name="_Key2" localSheetId="2" hidden="1">#REF!</definedName>
    <definedName name="_Key2" localSheetId="5" hidden="1">'[2]F&amp;F'!#REF!</definedName>
    <definedName name="_Key2" hidden="1">#REF!</definedName>
    <definedName name="_MAL1">'[3]Quarterly Leave Report'!$DC$6</definedName>
    <definedName name="_MAL11">'[3]Quarterly Leave Report'!$AL$10:$AM$15</definedName>
    <definedName name="_MAL110">'[3]Quarterly Leave Report'!#REF!</definedName>
    <definedName name="_MAL12">'[3]Quarterly Leave Report'!$AL$17:$AM$32</definedName>
    <definedName name="_MAL13">'[3]Quarterly Leave Report'!$AL$34:$AM$57</definedName>
    <definedName name="_MAL14">'[3]Quarterly Leave Report'!$AL$59:$AM$63</definedName>
    <definedName name="_MAL15">'[3]Quarterly Leave Report'!$AL$65:$AM$67</definedName>
    <definedName name="_MAL16">'[3]Quarterly Leave Report'!$AL$69:$AM$70</definedName>
    <definedName name="_MAL17">'[3]Quarterly Leave Report'!$AL$72:$AM$74</definedName>
    <definedName name="_MAL18">'[3]Quarterly Leave Report'!$AL$76:$AM$83</definedName>
    <definedName name="_MAL19">'[3]Quarterly Leave Report'!$AL$85:$AM$86</definedName>
    <definedName name="_MAL2">'[3]Quarterly Leave Report'!$DI$6</definedName>
    <definedName name="_MAL21">'[3]Quarterly Leave Report'!$AV$10:$AW$15</definedName>
    <definedName name="_MAL210">'[3]Quarterly Leave Report'!#REF!</definedName>
    <definedName name="_MAL22">'[3]Quarterly Leave Report'!$AV$17:$AW$32</definedName>
    <definedName name="_MAL23">'[3]Quarterly Leave Report'!$AV$34:$AW$57</definedName>
    <definedName name="_MAL24">'[3]Quarterly Leave Report'!$AV$59:$AW$63</definedName>
    <definedName name="_MAL25">'[3]Quarterly Leave Report'!$AV$65:$AW$67</definedName>
    <definedName name="_MAL26">'[3]Quarterly Leave Report'!$AV$69:$AW$70</definedName>
    <definedName name="_MAL27">'[3]Quarterly Leave Report'!$AV$72:$AW$74</definedName>
    <definedName name="_MAL28">'[3]Quarterly Leave Report'!$AV$76:$AW$83</definedName>
    <definedName name="_MAL29">'[3]Quarterly Leave Report'!$AV$85:$AW$86</definedName>
    <definedName name="_MAL3">'[3]Quarterly Leave Report'!$DO$6</definedName>
    <definedName name="_MAL31">'[3]Quarterly Leave Report'!$BF$10:$BG$15</definedName>
    <definedName name="_MAL310">'[3]Quarterly Leave Report'!#REF!</definedName>
    <definedName name="_MAL32">'[3]Quarterly Leave Report'!$BF$17:$BG$32</definedName>
    <definedName name="_MAL33">'[3]Quarterly Leave Report'!$BF$34:$BG$57</definedName>
    <definedName name="_MAL34">'[3]Quarterly Leave Report'!$BF$59:$BG$63</definedName>
    <definedName name="_MAL35">'[3]Quarterly Leave Report'!$BF$65:$BG$67</definedName>
    <definedName name="_MAL36">'[3]Quarterly Leave Report'!$BF$69:$BG$70</definedName>
    <definedName name="_MAL37">'[3]Quarterly Leave Report'!$BF$72:$BG$74</definedName>
    <definedName name="_MAL38">'[3]Quarterly Leave Report'!$BF$76:$BG$83</definedName>
    <definedName name="_MAL39">'[3]Quarterly Leave Report'!$BF$85:$BG$86</definedName>
    <definedName name="_MAL4">'[3]Quarterly Leave Report'!$DU$6</definedName>
    <definedName name="_MAL41">'[3]Quarterly Leave Report'!$BP$10:$BQ$15</definedName>
    <definedName name="_MAL410">'[3]Quarterly Leave Report'!#REF!</definedName>
    <definedName name="_MAL42">'[3]Quarterly Leave Report'!$BP$17:$BQ$32</definedName>
    <definedName name="_MAL43">'[3]Quarterly Leave Report'!$BP$34:$BQ$57</definedName>
    <definedName name="_MAL44">'[3]Quarterly Leave Report'!$BP$59:$BQ$63</definedName>
    <definedName name="_MAL45">'[3]Quarterly Leave Report'!$BP$65:$BQ$67</definedName>
    <definedName name="_MAL46">'[3]Quarterly Leave Report'!$BP$69:$BQ$70</definedName>
    <definedName name="_MAL47">'[3]Quarterly Leave Report'!$BP$72:$BQ$74</definedName>
    <definedName name="_MAL48">'[3]Quarterly Leave Report'!$BP$76:$BQ$83</definedName>
    <definedName name="_MAL49">'[3]Quarterly Leave Report'!$BP$85:$BQ$86</definedName>
    <definedName name="_MatMult_A" localSheetId="4" hidden="1">#REF!</definedName>
    <definedName name="_MatMult_A" localSheetId="10" hidden="1">#REF!</definedName>
    <definedName name="_MatMult_A" localSheetId="2" hidden="1">#REF!</definedName>
    <definedName name="_MatMult_A" hidden="1">#REF!</definedName>
    <definedName name="_MatMult_B" localSheetId="4" hidden="1">#REF!</definedName>
    <definedName name="_MatMult_B" localSheetId="10" hidden="1">#REF!</definedName>
    <definedName name="_MatMult_B" localSheetId="2" hidden="1">#REF!</definedName>
    <definedName name="_MatMult_B" hidden="1">#REF!</definedName>
    <definedName name="_MG3">#REF!</definedName>
    <definedName name="_MG4">#REF!</definedName>
    <definedName name="_MG5">#REF!</definedName>
    <definedName name="_MG6">#REF!</definedName>
    <definedName name="_MG7">#REF!</definedName>
    <definedName name="_MG8">#REF!</definedName>
    <definedName name="_MSL1">'[3]Quarterly Leave Report'!$DD$6</definedName>
    <definedName name="_MSL11">'[3]Quarterly Leave Report'!$AN$10:$AO$15</definedName>
    <definedName name="_MSL110">'[3]Quarterly Leave Report'!#REF!</definedName>
    <definedName name="_MSL12">'[3]Quarterly Leave Report'!$AN$17:$AO$32</definedName>
    <definedName name="_MSL13">'[3]Quarterly Leave Report'!$AN$34:$AO$57</definedName>
    <definedName name="_MSL14">'[3]Quarterly Leave Report'!$AN$59:$AO$63</definedName>
    <definedName name="_MSL15">'[3]Quarterly Leave Report'!$AN$65:$AO$67</definedName>
    <definedName name="_MSL16">'[3]Quarterly Leave Report'!$AN$69:$AO$70</definedName>
    <definedName name="_MSL17">'[3]Quarterly Leave Report'!$AN$72:$AO$74</definedName>
    <definedName name="_MSL18">'[3]Quarterly Leave Report'!$AN$76:$AO$83</definedName>
    <definedName name="_MSL19">'[3]Quarterly Leave Report'!$AN$85:$AO$86</definedName>
    <definedName name="_MSL2">'[3]Quarterly Leave Report'!$DJ$6</definedName>
    <definedName name="_MSL21">'[3]Quarterly Leave Report'!$AX$10:$AY$15</definedName>
    <definedName name="_MSL210">'[3]Quarterly Leave Report'!#REF!</definedName>
    <definedName name="_MSL22">'[3]Quarterly Leave Report'!$AX$17:$AY$32</definedName>
    <definedName name="_MSL23">'[3]Quarterly Leave Report'!$AX$34:$AY$57</definedName>
    <definedName name="_MSL24">'[3]Quarterly Leave Report'!$AX$59:$AY$63</definedName>
    <definedName name="_MSL25">'[3]Quarterly Leave Report'!$AX$65:$AY$67</definedName>
    <definedName name="_MSL26">'[3]Quarterly Leave Report'!$AX$69:$AY$70</definedName>
    <definedName name="_MSL27">'[3]Quarterly Leave Report'!$AX$72:$AY$74</definedName>
    <definedName name="_MSL28">'[3]Quarterly Leave Report'!$AX$76:$AY$83</definedName>
    <definedName name="_MSL29">'[3]Quarterly Leave Report'!$AX$85:$AY$86</definedName>
    <definedName name="_MSL3">'[3]Quarterly Leave Report'!$DP$6</definedName>
    <definedName name="_MSL31">'[3]Quarterly Leave Report'!$BH$10:$BI$15</definedName>
    <definedName name="_MSL310">'[3]Quarterly Leave Report'!#REF!</definedName>
    <definedName name="_MSL32">'[3]Quarterly Leave Report'!$BH$17:$BI$32</definedName>
    <definedName name="_MSL33">'[3]Quarterly Leave Report'!$BH$34:$BI$57</definedName>
    <definedName name="_MSL34">'[3]Quarterly Leave Report'!$BH$59:$BI$63</definedName>
    <definedName name="_MSL35">'[3]Quarterly Leave Report'!$BH$65:$BI$67</definedName>
    <definedName name="_MSL36">'[3]Quarterly Leave Report'!$BH$69:$BI$70</definedName>
    <definedName name="_MSL37">'[3]Quarterly Leave Report'!$BH$72:$BI$74</definedName>
    <definedName name="_MSL38">'[3]Quarterly Leave Report'!$BH$76:$BI$83</definedName>
    <definedName name="_MSL39">'[3]Quarterly Leave Report'!$BH$85:$BI$86</definedName>
    <definedName name="_MSL4">'[3]Quarterly Leave Report'!$DV$6</definedName>
    <definedName name="_MSL41">'[3]Quarterly Leave Report'!$BR$10:$BS$15</definedName>
    <definedName name="_MSL410">'[3]Quarterly Leave Report'!#REF!</definedName>
    <definedName name="_MSL42">'[3]Quarterly Leave Report'!$BR$17:$BS$32</definedName>
    <definedName name="_MSL43">'[3]Quarterly Leave Report'!$BR$34:$BS$57</definedName>
    <definedName name="_MSL44">'[3]Quarterly Leave Report'!$BR$59:$BS$63</definedName>
    <definedName name="_MSL45">'[3]Quarterly Leave Report'!$BR$65:$BS$67</definedName>
    <definedName name="_MSL46">'[3]Quarterly Leave Report'!$BR$69:$BS$70</definedName>
    <definedName name="_MSL47">'[3]Quarterly Leave Report'!$BR$72:$BS$74</definedName>
    <definedName name="_MSL48">'[3]Quarterly Leave Report'!$BR$76:$BS$83</definedName>
    <definedName name="_MSL49">'[3]Quarterly Leave Report'!$BR$85:$BS$86</definedName>
    <definedName name="_NT2">#REF!</definedName>
    <definedName name="_Oo62">#REF!</definedName>
    <definedName name="_Order1" hidden="1">255</definedName>
    <definedName name="_Order2" hidden="1">255</definedName>
    <definedName name="_QEE123">#REF!</definedName>
    <definedName name="_RSE1">#REF!</definedName>
    <definedName name="_RSE2">#REF!</definedName>
    <definedName name="_SAV" localSheetId="4">#REF!</definedName>
    <definedName name="_SAV" localSheetId="10">#REF!</definedName>
    <definedName name="_SAV" localSheetId="2">#REF!</definedName>
    <definedName name="_SAV">#REF!</definedName>
    <definedName name="_SEC107" localSheetId="4">#REF!</definedName>
    <definedName name="_SEC107" localSheetId="10">#REF!</definedName>
    <definedName name="_SEC107" localSheetId="2">#REF!</definedName>
    <definedName name="_SEC107">#REF!</definedName>
    <definedName name="_sh2">#REF!</definedName>
    <definedName name="_sh3">#REF!</definedName>
    <definedName name="_Sort" localSheetId="9" hidden="1">'[6]F&amp;F'!#REF!</definedName>
    <definedName name="_Sort" localSheetId="25" hidden="1">#REF!</definedName>
    <definedName name="_Sort" localSheetId="11" hidden="1">#REF!</definedName>
    <definedName name="_Sort" localSheetId="4" hidden="1">#REF!</definedName>
    <definedName name="_Sort" localSheetId="16" hidden="1">'[2]F&amp;F'!#REF!</definedName>
    <definedName name="_Sort" localSheetId="10" hidden="1">#REF!</definedName>
    <definedName name="_Sort" localSheetId="2" hidden="1">#REF!</definedName>
    <definedName name="_Sort" localSheetId="5" hidden="1">'[2]F&amp;F'!#REF!</definedName>
    <definedName name="_Sort" hidden="1">#REF!</definedName>
    <definedName name="A" localSheetId="9">[12]ADJUSTMENTS!$C$355</definedName>
    <definedName name="A" localSheetId="16">#REF!</definedName>
    <definedName name="A" localSheetId="5">#REF!</definedName>
    <definedName name="A">#N/A</definedName>
    <definedName name="A_S_Communication">#REF!</definedName>
    <definedName name="A_U_Communication">#REF!</definedName>
    <definedName name="aa" localSheetId="16">'[2]F&amp;F'!#REF!</definedName>
    <definedName name="aa" localSheetId="5">'[2]F&amp;F'!#REF!</definedName>
    <definedName name="aa" hidden="1">{#N/A,#N/A,FALSE,"Sensitivity"}</definedName>
    <definedName name="aaa">#REF!</definedName>
    <definedName name="AAAA">'[13]G-017-01'!#REF!</definedName>
    <definedName name="aaaaaa">[14]Notes!#REF!</definedName>
    <definedName name="AAAAAAA">'[15]CASH-BOOK'!#REF!</definedName>
    <definedName name="AASSALSKSA">#REF!</definedName>
    <definedName name="ab" localSheetId="4">#REF!</definedName>
    <definedName name="ab" localSheetId="10">#REF!</definedName>
    <definedName name="ab" localSheetId="2">#REF!</definedName>
    <definedName name="ab">#REF!</definedName>
    <definedName name="ABA">[16]MAIN!#REF!</definedName>
    <definedName name="Abbasi_World">#REF!</definedName>
    <definedName name="abc" localSheetId="9">[17]MAIN!#REF!</definedName>
    <definedName name="abc" localSheetId="4">#REF!</definedName>
    <definedName name="abc" localSheetId="10">#REF!</definedName>
    <definedName name="abc" localSheetId="2">#REF!</definedName>
    <definedName name="abc">#REF!</definedName>
    <definedName name="abccc" localSheetId="16" hidden="1">{#N/A,#N/A,FALSE,"Sensitivity"}</definedName>
    <definedName name="abccc" localSheetId="5" hidden="1">{#N/A,#N/A,FALSE,"Sensitivity"}</definedName>
    <definedName name="abccc" hidden="1">{#N/A,#N/A,FALSE,"Sensitivity"}</definedName>
    <definedName name="abccee" localSheetId="16" hidden="1">{#N/A,#N/A,FALSE,"Sensitivity"}</definedName>
    <definedName name="abccee" hidden="1">{#N/A,#N/A,FALSE,"Sensitivity"}</definedName>
    <definedName name="ABCD">#REF!</definedName>
    <definedName name="Abdara">#REF!</definedName>
    <definedName name="abdullah" localSheetId="25">DATE(YEAR('D.tax 20'!Loan_Start),MONTH('D.tax 20'!Loan_Start)+Payment_Number,DAY('D.tax 20'!Loan_Start))</definedName>
    <definedName name="abdullah" localSheetId="11">#N/A</definedName>
    <definedName name="abdullah" localSheetId="16">#N/A</definedName>
    <definedName name="abdullah">DATE(YEAR('D.tax 20'!Loan_Start),MONTH('D.tax 20'!Loan_Start)+Payment_Number,DAY('D.tax 20'!Loan_Start))</definedName>
    <definedName name="abdullah_Telecom">#REF!</definedName>
    <definedName name="acccccc" hidden="1">{#N/A,#N/A,FALSE,"Sensitivity"}</definedName>
    <definedName name="Access___Recharge_admin._Fees">[18]Sheet1!$A$87</definedName>
    <definedName name="Accessories">[18]Sheet1!$A$148</definedName>
    <definedName name="AccountedPeriodType1">#REF!</definedName>
    <definedName name="Accrued_liabilities">[19]LEDGER!#REF!</definedName>
    <definedName name="Accumulated_Depreciation">[19]LEDGER!#REF!</definedName>
    <definedName name="Ace_quality">#REF!</definedName>
    <definedName name="Activation" localSheetId="5">#REF!</definedName>
    <definedName name="Activation">#REF!</definedName>
    <definedName name="Activation_Fee">[18]Sheet1!$A$77</definedName>
    <definedName name="ACTURIAL_VALUATION">#REF!</definedName>
    <definedName name="ad" hidden="1">{#N/A,#N/A,FALSE,"Sensitivity"}</definedName>
    <definedName name="ADDITIONS" localSheetId="4">#REF!</definedName>
    <definedName name="ADDITIONS" localSheetId="10">#REF!</definedName>
    <definedName name="ADDITIONS" localSheetId="2">#REF!</definedName>
    <definedName name="ADDITIONS">#REF!</definedName>
    <definedName name="adjustit" localSheetId="4">#REF!</definedName>
    <definedName name="adjustit" localSheetId="10">#REF!</definedName>
    <definedName name="adjustit" localSheetId="2">#REF!</definedName>
    <definedName name="adjustit">#REF!</definedName>
    <definedName name="admin" localSheetId="4">#REF!</definedName>
    <definedName name="admin" localSheetId="10">#REF!</definedName>
    <definedName name="admin" localSheetId="2">#REF!</definedName>
    <definedName name="admin">#REF!</definedName>
    <definedName name="aduit">#REF!</definedName>
    <definedName name="ADV" localSheetId="4">#REF!</definedName>
    <definedName name="ADV" localSheetId="10">#REF!</definedName>
    <definedName name="ADV" localSheetId="2">#REF!</definedName>
    <definedName name="ADV">#REF!</definedName>
    <definedName name="ADVANCES" localSheetId="4">#REF!</definedName>
    <definedName name="ADVANCES" localSheetId="10">#REF!</definedName>
    <definedName name="ADVANCES" localSheetId="2">#REF!</definedName>
    <definedName name="ADVANCES">#REF!</definedName>
    <definedName name="AdvMonth">#REF!</definedName>
    <definedName name="AdvPendingGrant">#REF!</definedName>
    <definedName name="AdvPendingMonth">#REF!</definedName>
    <definedName name="AFG">#REF!</definedName>
    <definedName name="AFG00ACATEGORIES_13">#REF!</definedName>
    <definedName name="AFG36ACATEGORIES">#REF!</definedName>
    <definedName name="AFG36ACATEGORIES_12">#REF!</definedName>
    <definedName name="AFG36ACATEGORIES_13">#REF!</definedName>
    <definedName name="AFG36ACATEGORIES_14">#REF!</definedName>
    <definedName name="AFG36ACATEGORIES_15">#REF!</definedName>
    <definedName name="AFG36ACATEGORIES_16">#REF!</definedName>
    <definedName name="AFG36ACATEGORIES_17">#REF!</definedName>
    <definedName name="AFG36ACATEGORIES_18">#REF!</definedName>
    <definedName name="AFG36ACATEGORIES_20">#REF!</definedName>
    <definedName name="AFG36BCATEGORIES">#REF!</definedName>
    <definedName name="AFG36BCATEGORIES_12">#REF!</definedName>
    <definedName name="AFG36BCATEGORIES_13">#REF!</definedName>
    <definedName name="AFG36BCATEGORIES_14">#REF!</definedName>
    <definedName name="AFG36BCATEGORIES_15">#REF!</definedName>
    <definedName name="AFG36BCATEGORIES_16">#REF!</definedName>
    <definedName name="AFG36BCATEGORIES_17">#REF!</definedName>
    <definedName name="AFG36BCATEGORIES_18">#REF!</definedName>
    <definedName name="AFG36BCATEGORIES_20">#REF!</definedName>
    <definedName name="Afzal_Shahid">#REF!</definedName>
    <definedName name="ahsan">#REF!</definedName>
    <definedName name="Air_Weapon">#REF!</definedName>
    <definedName name="al" localSheetId="16" hidden="1">{#N/A,#N/A,FALSE,"Sensitivity"}</definedName>
    <definedName name="al" hidden="1">{#N/A,#N/A,FALSE,"Sensitivity"}</definedName>
    <definedName name="Al_Hamd">#REF!</definedName>
    <definedName name="Al_Hujar">#REF!</definedName>
    <definedName name="Al_Khalil">#REF!</definedName>
    <definedName name="Alam_Communication">#REF!</definedName>
    <definedName name="alhuda_Technologies">#REF!</definedName>
    <definedName name="Ali_Zain">#REF!</definedName>
    <definedName name="ALIST">'[3]2. Staff Profile Information'!$B$1111:$B$1191</definedName>
    <definedName name="All_amounts_in_Rs.">[19]LEDGER!#REF!</definedName>
    <definedName name="ALOFT1">'[3]Monthly Leave Report'!$AK$10:$AL$15</definedName>
    <definedName name="ALOFT10">'[3]Monthly Leave Report'!#REF!</definedName>
    <definedName name="ALOFT18">'[3]Monthly Leave Report'!$AK$78:$AL$85</definedName>
    <definedName name="ALOFT2">'[3]Monthly Leave Report'!$AK$17:$AL$33</definedName>
    <definedName name="ALOFT3">'[3]Monthly Leave Report'!$AK$35:$AL$59</definedName>
    <definedName name="ALOFT4">'[3]Monthly Leave Report'!$AK$61:$AL$65</definedName>
    <definedName name="ALOFT5">'[3]Monthly Leave Report'!$AK$67:$AL$69</definedName>
    <definedName name="ALOFT6">'[3]Monthly Leave Report'!$AK$71:$AL$72</definedName>
    <definedName name="ALOFT7">'[3]Monthly Leave Report'!$AK$74:$AL$76</definedName>
    <definedName name="ALOFT9">'[3]Monthly Leave Report'!$AK$87:$AL$88</definedName>
    <definedName name="AmtPendingNoAdv">#REF!</definedName>
    <definedName name="AmtReimNoAdv">#REF!</definedName>
    <definedName name="Anawa">#REF!</definedName>
    <definedName name="Anum_Communication">#REF!</definedName>
    <definedName name="Anwar_Ali">#REF!</definedName>
    <definedName name="aodf">#REF!</definedName>
    <definedName name="AppsUsername1">#REF!</definedName>
    <definedName name="Arabic_Comm">#REF!</definedName>
    <definedName name="Arise_Communication">#REF!</definedName>
    <definedName name="Ark_Telecom">#REF!</definedName>
    <definedName name="Arrow_Communicaiton">#REF!</definedName>
    <definedName name="Arsalan_Communication">#REF!</definedName>
    <definedName name="Arshia_Qamar">#REF!</definedName>
    <definedName name="as">#REF!</definedName>
    <definedName name="AS2DocOpenMode" hidden="1">"AS2DocumentEdit"</definedName>
    <definedName name="AS2NamedRange" hidden="1">5</definedName>
    <definedName name="AS2ReportLS" hidden="1">1</definedName>
    <definedName name="AS2SyncStepLS" hidden="1">0</definedName>
    <definedName name="AS2TickmarkLS" hidden="1">#REF!</definedName>
    <definedName name="AS2VersionLS" hidden="1">300</definedName>
    <definedName name="asd">#N/A</definedName>
    <definedName name="asdfa" localSheetId="4">#REF!</definedName>
    <definedName name="asdfa" localSheetId="10">#REF!</definedName>
    <definedName name="asdfa" localSheetId="2">#REF!</definedName>
    <definedName name="asdfa">#REF!</definedName>
    <definedName name="asfasf">[20]Projections!#REF!</definedName>
    <definedName name="ashkjdsgghdsfgfdsag" localSheetId="16" hidden="1">{#N/A,#N/A,FALSE,"Sensitivity"}</definedName>
    <definedName name="ashkjdsgghdsfgfdsag" hidden="1">{#N/A,#N/A,FALSE,"Sensitivity"}</definedName>
    <definedName name="asim">#REF!</definedName>
    <definedName name="ASSETS" localSheetId="19">[21]Accts!#REF!</definedName>
    <definedName name="ASSETS" localSheetId="4">[21]Accts!#REF!</definedName>
    <definedName name="ASSETS" localSheetId="10">[21]Accts!#REF!</definedName>
    <definedName name="ASSETS" localSheetId="2">[21]Accts!#REF!</definedName>
    <definedName name="ASSETS">[21]Accts!#REF!</definedName>
    <definedName name="Attock_Telecom">#REF!</definedName>
    <definedName name="audit">#REF!</definedName>
    <definedName name="Avg_Sub" localSheetId="5">#REF!</definedName>
    <definedName name="Avg_Sub">#REF!</definedName>
    <definedName name="avs" localSheetId="16" hidden="1">{#N/A,#N/A,FALSE,"Sensitivity"}</definedName>
    <definedName name="avs" hidden="1">{#N/A,#N/A,FALSE,"Sensitivity"}</definedName>
    <definedName name="Awval_Telecom">#REF!</definedName>
    <definedName name="Azaan_telecom">#REF!</definedName>
    <definedName name="Azeem_enterprise">#REF!</definedName>
    <definedName name="Azeem_NEw">#REF!</definedName>
    <definedName name="Azeem_New_3">#REF!</definedName>
    <definedName name="Azmat_Broth">#REF!</definedName>
    <definedName name="B" localSheetId="16">'[22]Budget RS'!$B$2:$S$84</definedName>
    <definedName name="B" localSheetId="5">'[22]Budget RS'!$B$2:$S$84</definedName>
    <definedName name="B">#N/A</definedName>
    <definedName name="B_B">#REF!</definedName>
    <definedName name="Baat_Telecom">'[23]Easy Call 2'!$I$144</definedName>
    <definedName name="Babu_Jee">#REF!</definedName>
    <definedName name="Balance" localSheetId="16">[1]BS!#REF!</definedName>
    <definedName name="Balance" localSheetId="10">#REF!</definedName>
    <definedName name="Balance" localSheetId="2">#REF!</definedName>
    <definedName name="Balance" localSheetId="5">[1]BS!#REF!</definedName>
    <definedName name="Balance">#REF!</definedName>
    <definedName name="balance_sheet">#REF!</definedName>
    <definedName name="BalanceSheetDates">#REF!</definedName>
    <definedName name="Balcom_telecom">#REF!</definedName>
    <definedName name="BalSheet" localSheetId="16">#REF!</definedName>
    <definedName name="BalSheet" localSheetId="5">#REF!</definedName>
    <definedName name="Balsheet">"""#REF!$B$1:$G$37"""</definedName>
    <definedName name="bank" localSheetId="4">#REF!</definedName>
    <definedName name="bank" localSheetId="10">#REF!</definedName>
    <definedName name="bank" localSheetId="2">#REF!</definedName>
    <definedName name="bank">#REF!</definedName>
    <definedName name="Bank_charges">[19]LEDGER!#REF!</definedName>
    <definedName name="bareeze_telecom">#REF!</definedName>
    <definedName name="Bashir_Co">#REF!</definedName>
    <definedName name="Basil_Enterprises">#REF!</definedName>
    <definedName name="BayanO">#REF!</definedName>
    <definedName name="bb" localSheetId="16" hidden="1">{#N/A,#N/A,FALSE,"Sensitivity"}</definedName>
    <definedName name="bb" hidden="1">{#N/A,#N/A,FALSE,"Sensitivity"}</definedName>
    <definedName name="BBB" localSheetId="16" hidden="1">{#N/A,#N/A,FALSE,"Sensitivity"}</definedName>
    <definedName name="BBB" hidden="1">{#N/A,#N/A,FALSE,"Sensitivity"}</definedName>
    <definedName name="bbbbbbbb" hidden="1">{#N/A,#N/A,FALSE,"Sensitivity"}</definedName>
    <definedName name="BD_In_Cairo_Rt">[24]Assumptions!#REF!</definedName>
    <definedName name="BD_Out_Cairo_Rt">[24]Assumptions!#REF!</definedName>
    <definedName name="Beep_Bell">#REF!</definedName>
    <definedName name="Beg_Bal" localSheetId="25">#REF!</definedName>
    <definedName name="Beg_Bal" localSheetId="11">#REF!</definedName>
    <definedName name="Beg_Bal">#REF!</definedName>
    <definedName name="Bell_Tell">#REF!</definedName>
    <definedName name="BG_Del" hidden="1">15</definedName>
    <definedName name="BG_Ins" hidden="1">4</definedName>
    <definedName name="BG_Mod" hidden="1">6</definedName>
    <definedName name="Bhatti_telecom">#REF!</definedName>
    <definedName name="Bilal_ihsan">#REF!</definedName>
    <definedName name="BJJNKLHJN" localSheetId="4">#REF!</definedName>
    <definedName name="BJJNKLHJN" localSheetId="10">#REF!</definedName>
    <definedName name="BJJNKLHJN" localSheetId="2">#REF!</definedName>
    <definedName name="BJJNKLHJN">#REF!</definedName>
    <definedName name="Blue_Bell">#REF!</definedName>
    <definedName name="Boom_international">#REF!</definedName>
    <definedName name="bs" localSheetId="4">#REF!</definedName>
    <definedName name="bs" localSheetId="10">#REF!</definedName>
    <definedName name="bs" localSheetId="2">#REF!</definedName>
    <definedName name="bs">#REF!</definedName>
    <definedName name="bsfore">#REF!</definedName>
    <definedName name="BSHEETALL" localSheetId="5">#REF!</definedName>
    <definedName name="BSHEETALL">#REF!</definedName>
    <definedName name="BUD">'[25]GENERAL SUIVI BUDGET EURO'!$A$4:$AF$172</definedName>
    <definedName name="budinforeuro">'[25]GENERAL SUIVI BUDGET EURO'!$B$4:$AF$175</definedName>
    <definedName name="budthb">'[25]SUIVI BUDGET IN THB ONLY'!$B$1:$AH$175</definedName>
    <definedName name="build_bal">'[2]F&amp;F'!#REF!</definedName>
    <definedName name="Burk_Communication">#REF!</definedName>
    <definedName name="burnrate">#REF!</definedName>
    <definedName name="Burraq_Telecom">#REF!</definedName>
    <definedName name="Busniess_Promoters">#REF!</definedName>
    <definedName name="Busy_communication">#REF!</definedName>
    <definedName name="Butt_commnication">#REF!</definedName>
    <definedName name="button_area_1">#REF!</definedName>
    <definedName name="C.Flow" localSheetId="4">#REF!</definedName>
    <definedName name="C.Flow" localSheetId="10">#REF!</definedName>
    <definedName name="C.Flow" localSheetId="2">#REF!</definedName>
    <definedName name="C.Flow">#REF!</definedName>
    <definedName name="C_" localSheetId="16">#REF!</definedName>
    <definedName name="C_" localSheetId="5">#REF!</definedName>
    <definedName name="C_">#N/A</definedName>
    <definedName name="C_AAA">'[26]Sub HMC'!#REF!</definedName>
    <definedName name="Cable_Guys">#REF!</definedName>
    <definedName name="CAF">#REF!</definedName>
    <definedName name="Caje" localSheetId="25">#REF!</definedName>
    <definedName name="Caje" localSheetId="11">#REF!</definedName>
    <definedName name="Caje">#REF!</definedName>
    <definedName name="Call_House">#REF!</definedName>
    <definedName name="Call_Link">#REF!</definedName>
    <definedName name="Call_plus">#REF!</definedName>
    <definedName name="Call_tel">#REF!</definedName>
    <definedName name="call_time">#REF!</definedName>
    <definedName name="Cap.exp" localSheetId="4">#REF!</definedName>
    <definedName name="Cap.exp" localSheetId="10">#REF!</definedName>
    <definedName name="Cap.exp" localSheetId="2">#REF!</definedName>
    <definedName name="Cap.exp">#REF!</definedName>
    <definedName name="CAP.PROD" localSheetId="4">#REF!</definedName>
    <definedName name="CAP.PROD" localSheetId="10">#REF!</definedName>
    <definedName name="CAP.PROD" localSheetId="2">#REF!</definedName>
    <definedName name="CAP.PROD">#REF!</definedName>
    <definedName name="Caprice">#REF!</definedName>
    <definedName name="Carrier_Telephone">#REF!</definedName>
    <definedName name="CASH_BOOK_for_the_month_of__NOVEMBER_1997">'[15]CASH-BOOK'!#REF!</definedName>
    <definedName name="CASH_BOOK_for_the_month_of_APRIL_1997">'[15]CASH-BOOK'!#REF!</definedName>
    <definedName name="CASH_BOOK_for_the_month_of_AUGUST_1997">'[15]CASH-BOOK'!#REF!</definedName>
    <definedName name="CASH_BOOK_for_the_month_of_FEBRUARY_1997">'[15]CASH-BOOK'!#REF!</definedName>
    <definedName name="CASH_BOOK_for_the_month_of_JULY_1997">'[15]CASH-BOOK'!#REF!</definedName>
    <definedName name="CASH_BOOK_for_the_month_of_JUNE_1997">'[15]CASH-BOOK'!#REF!</definedName>
    <definedName name="CASH_BOOK_for_the_month_of_MARCH_1997">'[15]CASH-BOOK'!#REF!</definedName>
    <definedName name="CASH_BOOK_for_the_month_of_MAY_1997">'[15]CASH-BOOK'!#REF!</definedName>
    <definedName name="CASH_BOOK_for_the_month_of_OCTOBER_1997">'[15]CASH-BOOK'!#REF!</definedName>
    <definedName name="CASH_BOOK_for_the_month_of_SEPTEMBER_1997">'[15]CASH-BOOK'!#REF!</definedName>
    <definedName name="Cash_Flow_Check" localSheetId="4">#REF!</definedName>
    <definedName name="Cash_Flow_Check" localSheetId="10">#REF!</definedName>
    <definedName name="Cash_Flow_Check" localSheetId="2">#REF!</definedName>
    <definedName name="Cash_Flow_Check">#REF!</definedName>
    <definedName name="CASH_FLOW_USD">#REF!</definedName>
    <definedName name="Cash_in_hand">[19]LEDGER!#REF!</definedName>
    <definedName name="CASH_INFLOW_INR">#REF!</definedName>
    <definedName name="Cash_Paid_on_Account_of">#REF!</definedName>
    <definedName name="cash_Receipt">#REF!</definedName>
    <definedName name="CashFlow" localSheetId="25">#REF!</definedName>
    <definedName name="CashFlow" localSheetId="11">#REF!</definedName>
    <definedName name="Cashflow" localSheetId="4">#REF!</definedName>
    <definedName name="Cashflow" localSheetId="10">#REF!</definedName>
    <definedName name="Cashflow" localSheetId="2">#REF!</definedName>
    <definedName name="Cashflow">#REF!</definedName>
    <definedName name="CASHFLOWALL" localSheetId="5">#REF!</definedName>
    <definedName name="CASHFLOWALL">#REF!</definedName>
    <definedName name="cashflowINR">#REF!</definedName>
    <definedName name="category">#REF!</definedName>
    <definedName name="cb">#REF!</definedName>
    <definedName name="ccc" localSheetId="4">#REF!</definedName>
    <definedName name="ccc" localSheetId="10">#REF!</definedName>
    <definedName name="ccc" localSheetId="2">#REF!</definedName>
    <definedName name="ccc">#REF!</definedName>
    <definedName name="cd" localSheetId="16" hidden="1">{#N/A,#N/A,FALSE,"Sensitivity"}</definedName>
    <definedName name="cd" hidden="1">{#N/A,#N/A,FALSE,"Sensitivity"}</definedName>
    <definedName name="cdd" localSheetId="16" hidden="1">{#N/A,#N/A,FALSE,"Sensitivity"}</definedName>
    <definedName name="cdd">#REF!</definedName>
    <definedName name="CE.DIR." localSheetId="4">#REF!</definedName>
    <definedName name="CE.DIR." localSheetId="10">#REF!</definedName>
    <definedName name="CE.DIR." localSheetId="2">#REF!</definedName>
    <definedName name="CE.DIR.">#REF!</definedName>
    <definedName name="celltips_area">#REF!</definedName>
    <definedName name="cent11">'[27]Policy notes'!#REF!</definedName>
    <definedName name="cent4">'[27]Policy notes'!#REF!</definedName>
    <definedName name="cent5">'[27]Policy notes'!#REF!</definedName>
    <definedName name="cent8">'[27]Policy notes'!#REF!</definedName>
    <definedName name="cent9">'[27]Policy notes'!#REF!</definedName>
    <definedName name="Century_communication">#REF!</definedName>
    <definedName name="CF" localSheetId="19">[28]pkage01!#REF!</definedName>
    <definedName name="CF" localSheetId="4">[28]pkage01!#REF!</definedName>
    <definedName name="CF" localSheetId="10">[28]pkage01!#REF!</definedName>
    <definedName name="CF" localSheetId="2">[28]pkage01!#REF!</definedName>
    <definedName name="CF">[28]pkage01!#REF!</definedName>
    <definedName name="CF.OPER." localSheetId="4">#REF!</definedName>
    <definedName name="CF.OPER." localSheetId="10">#REF!</definedName>
    <definedName name="CF.OPER." localSheetId="2">#REF!</definedName>
    <definedName name="CF.OPER.">#REF!</definedName>
    <definedName name="CF.WORK" localSheetId="4">#REF!</definedName>
    <definedName name="CF.WORK" localSheetId="10">#REF!</definedName>
    <definedName name="CF.WORK" localSheetId="2">#REF!</definedName>
    <definedName name="CF.WORK">#REF!</definedName>
    <definedName name="ch" localSheetId="4">#REF!</definedName>
    <definedName name="ch" localSheetId="10">#REF!</definedName>
    <definedName name="ch" localSheetId="2">#REF!</definedName>
    <definedName name="ch">#REF!</definedName>
    <definedName name="CH.IN.EQUIT" localSheetId="4">#REF!</definedName>
    <definedName name="CH.IN.EQUIT" localSheetId="10">#REF!</definedName>
    <definedName name="CH.IN.EQUIT" localSheetId="2">#REF!</definedName>
    <definedName name="CH.IN.EQUIT">#REF!</definedName>
    <definedName name="change_1" localSheetId="16">[20]Projections!#REF!</definedName>
    <definedName name="change_1" localSheetId="5">[20]Projections!#REF!</definedName>
    <definedName name="change_1">[20]Projections!#REF!</definedName>
    <definedName name="change_1_scn1" localSheetId="16">[29]Projections!#REF!</definedName>
    <definedName name="change_1_scn1" localSheetId="5">[29]Projections!#REF!</definedName>
    <definedName name="change_1_scn1">[30]Projections!#REF!</definedName>
    <definedName name="change_1_scn2" localSheetId="16">[29]Projections!#REF!</definedName>
    <definedName name="change_1_scn2" localSheetId="5">[29]Projections!#REF!</definedName>
    <definedName name="change_1_scn2">[30]Projections!#REF!</definedName>
    <definedName name="change_1_scn3" localSheetId="16">[29]Projections!#REF!</definedName>
    <definedName name="change_1_scn3" localSheetId="5">[29]Projections!#REF!</definedName>
    <definedName name="change_1_scn3">[30]Projections!#REF!</definedName>
    <definedName name="change_1_scn4" localSheetId="16">[29]Projections!#REF!</definedName>
    <definedName name="change_1_scn4" localSheetId="5">[29]Projections!#REF!</definedName>
    <definedName name="change_1_scn4">[30]Projections!#REF!</definedName>
    <definedName name="change_1_scn5" localSheetId="16">[29]Projections!#REF!</definedName>
    <definedName name="change_1_scn5" localSheetId="5">[29]Projections!#REF!</definedName>
    <definedName name="change_1_scn5">[30]Projections!#REF!</definedName>
    <definedName name="Changes_in_equity">#REF!</definedName>
    <definedName name="ChartOfAccountsID1">#REF!</definedName>
    <definedName name="Check" localSheetId="4">#REF!</definedName>
    <definedName name="Check" localSheetId="10">#REF!</definedName>
    <definedName name="Check" localSheetId="2">#REF!</definedName>
    <definedName name="Check">#REF!</definedName>
    <definedName name="CHECK_CASH" localSheetId="4">#REF!</definedName>
    <definedName name="CHECK_CASH" localSheetId="10">#REF!</definedName>
    <definedName name="CHECK_CASH" localSheetId="2">#REF!</definedName>
    <definedName name="CHECK_CASH">#REF!</definedName>
    <definedName name="checks" localSheetId="4">#REF!</definedName>
    <definedName name="checks" localSheetId="10">#REF!</definedName>
    <definedName name="checks" localSheetId="2">#REF!</definedName>
    <definedName name="checks">#REF!</definedName>
    <definedName name="Cheif_excutive_note">#REF!</definedName>
    <definedName name="cheque_Reg">#REF!</definedName>
    <definedName name="chk" localSheetId="4">#REF!</definedName>
    <definedName name="chk" localSheetId="10">#REF!</definedName>
    <definedName name="chk" localSheetId="2">#REF!</definedName>
    <definedName name="chk">#REF!</definedName>
    <definedName name="chr">#REF!</definedName>
    <definedName name="chu" localSheetId="4">#REF!</definedName>
    <definedName name="chu" localSheetId="10">#REF!</definedName>
    <definedName name="chu" localSheetId="2">#REF!</definedName>
    <definedName name="chu">#REF!</definedName>
    <definedName name="Churn" localSheetId="5">#REF!</definedName>
    <definedName name="Churn">#REF!</definedName>
    <definedName name="churn1" localSheetId="5">#REF!</definedName>
    <definedName name="churn1">#REF!</definedName>
    <definedName name="CHW_Bal" localSheetId="16">'[2]F&amp;F'!#REF!</definedName>
    <definedName name="CHW_Bal" localSheetId="5">'[2]F&amp;F'!#REF!</definedName>
    <definedName name="CHW_Bal">'[6]F&amp;F'!#REF!</definedName>
    <definedName name="City_Telecom">#REF!</definedName>
    <definedName name="CIV_F" localSheetId="5">#REF!</definedName>
    <definedName name="CIV_F">#REF!</definedName>
    <definedName name="CIVR" localSheetId="5">#REF!</definedName>
    <definedName name="CIVR">#REF!</definedName>
    <definedName name="Click_Recov_Dbt">[24]Assumptions!#REF!</definedName>
    <definedName name="Click_Recov_ThreeMnth_Dbt">[24]Assumptions!#REF!</definedName>
    <definedName name="CNB" localSheetId="4">#REF!</definedName>
    <definedName name="CNB" localSheetId="10">#REF!</definedName>
    <definedName name="CNB" localSheetId="2">#REF!</definedName>
    <definedName name="CNB">#REF!</definedName>
    <definedName name="CNC" localSheetId="4">#REF!</definedName>
    <definedName name="CNC" localSheetId="10">#REF!</definedName>
    <definedName name="CNC" localSheetId="2">#REF!</definedName>
    <definedName name="CNC">#REF!</definedName>
    <definedName name="COA_GROUPING" localSheetId="16">'[31]Grouping MGT'!$B$29:$B$774</definedName>
    <definedName name="COA_GROUPING">'[32]Grouping MGT'!$B$29:$B$774</definedName>
    <definedName name="COA_STA" localSheetId="16">'[31]Grouping Audit'!$B$10:$B$3943</definedName>
    <definedName name="COA_STA">'[32]Grouping Audit'!$B$10:$B$3943</definedName>
    <definedName name="COA_TB" localSheetId="16">[31]TB!$B$7:$B$4153</definedName>
    <definedName name="COA_TB">[32]TB!$B$7:$B$4153</definedName>
    <definedName name="COGS" localSheetId="4">#REF!</definedName>
    <definedName name="COGS" localSheetId="10">#REF!</definedName>
    <definedName name="COGS" localSheetId="2">#REF!</definedName>
    <definedName name="COGS">#REF!</definedName>
    <definedName name="Collect_Incent">[24]Assumptions!#REF!</definedName>
    <definedName name="ColorNames">#REF!</definedName>
    <definedName name="COLUMN_A_TO_Z" localSheetId="25">#REF!</definedName>
    <definedName name="COLUMN_A_TO_Z" localSheetId="11">#REF!</definedName>
    <definedName name="COLUMN_A_TO_Z">#REF!</definedName>
    <definedName name="Com_Care">#REF!</definedName>
    <definedName name="Combine_Comm_3">#REF!</definedName>
    <definedName name="combine_communication\">#REF!</definedName>
    <definedName name="Combine_Communication_New">#REF!</definedName>
    <definedName name="COMP_OF_INCOME" localSheetId="4">#REF!</definedName>
    <definedName name="COMP_OF_INCOME" localSheetId="10">#REF!</definedName>
    <definedName name="COMP_OF_INCOME" localSheetId="2">#REF!</definedName>
    <definedName name="COMP_OF_INCOME">#REF!</definedName>
    <definedName name="companies">#REF!</definedName>
    <definedName name="company_name">[33]Summary!$A$6</definedName>
    <definedName name="con" localSheetId="5">#REF!</definedName>
    <definedName name="con">#REF!</definedName>
    <definedName name="Concept_creators">#REF!</definedName>
    <definedName name="ConnectString1">#REF!</definedName>
    <definedName name="Continantal_Telecom">#REF!</definedName>
    <definedName name="CONTROL" localSheetId="4">#REF!</definedName>
    <definedName name="CONTROL" localSheetId="10">#REF!</definedName>
    <definedName name="CONTROL" localSheetId="2">#REF!</definedName>
    <definedName name="CONTROL">#REF!</definedName>
    <definedName name="Controlbs" localSheetId="4">#REF!</definedName>
    <definedName name="Controlbs" localSheetId="10">#REF!</definedName>
    <definedName name="Controlbs" localSheetId="2">#REF!</definedName>
    <definedName name="Controlbs">#REF!</definedName>
    <definedName name="controlpl" localSheetId="4">#REF!</definedName>
    <definedName name="controlpl" localSheetId="10">#REF!</definedName>
    <definedName name="controlpl" localSheetId="2">#REF!</definedName>
    <definedName name="controlpl">#REF!</definedName>
    <definedName name="Conventions">#REF!</definedName>
    <definedName name="COR_F">#REF!</definedName>
    <definedName name="CORR">#REF!</definedName>
    <definedName name="CORTEEEE" localSheetId="16" hidden="1">{#N/A,#N/A,FALSE,"Sensitivity"}</definedName>
    <definedName name="CORTEEEE" hidden="1">{#N/A,#N/A,FALSE,"Sensitivity"}</definedName>
    <definedName name="cosmos_communication">#REF!</definedName>
    <definedName name="COUNT1">'[3]Monthly Leave Report'!$Q$10:$Q$15</definedName>
    <definedName name="COUNT10">'[3]Monthly Leave Report'!#REF!</definedName>
    <definedName name="COUNT2">'[3]Monthly Leave Report'!$Q$17:$Q$33</definedName>
    <definedName name="COUNT3">'[3]Monthly Leave Report'!$Q$35:$Q$59</definedName>
    <definedName name="COUNT4">'[3]Monthly Leave Report'!$Q$61:$Q$65</definedName>
    <definedName name="COUNT5">'[3]Monthly Leave Report'!$Q$67:$Q$69</definedName>
    <definedName name="COUNT6">'[3]Monthly Leave Report'!$Q$71:$Q$72</definedName>
    <definedName name="COUNT7">'[3]Monthly Leave Report'!$Q$74:$Q$76</definedName>
    <definedName name="COUNT8">'[3]Monthly Leave Report'!$Q$78:$Q$85</definedName>
    <definedName name="COUNT9">'[3]Monthly Leave Report'!$Q$87:$Q$88</definedName>
    <definedName name="country_tel">#REF!</definedName>
    <definedName name="CRED." localSheetId="4">#REF!</definedName>
    <definedName name="CRED." localSheetId="10">#REF!</definedName>
    <definedName name="CRED." localSheetId="2">#REF!</definedName>
    <definedName name="CRED.">#REF!</definedName>
    <definedName name="Cricul">#REF!</definedName>
    <definedName name="crosscheck">#REF!</definedName>
    <definedName name="CS_Bal" localSheetId="16">'[2]F&amp;F'!#REF!</definedName>
    <definedName name="CS_Bal" localSheetId="5">'[2]F&amp;F'!#REF!</definedName>
    <definedName name="CS_Bal">'[6]F&amp;F'!#REF!</definedName>
    <definedName name="currencyfactor" localSheetId="16">'[29]BASIC ASSUMPTIONS'!$C$2</definedName>
    <definedName name="currencyfactor" localSheetId="5">'[29]BASIC ASSUMPTIONS'!$C$2</definedName>
    <definedName name="currencyfactor">'[30]BASIC ASSUMPTIONS'!$C$2</definedName>
    <definedName name="currentScenario" localSheetId="16">[20]Projections!#REF!</definedName>
    <definedName name="currentScenario">[20]Projections!#REF!</definedName>
    <definedName name="Custom_Rate" localSheetId="16">[34]Parameters!#REF!</definedName>
    <definedName name="Custom_Rate">[34]Parameters!#REF!</definedName>
    <definedName name="CWIP" localSheetId="4">#REF!</definedName>
    <definedName name="CWIP" localSheetId="10">#REF!</definedName>
    <definedName name="CWIP" localSheetId="2">#REF!</definedName>
    <definedName name="CWIP">#REF!</definedName>
    <definedName name="cwnt">'[27]Policy notes'!#REF!</definedName>
    <definedName name="CY_lik_Equity">#REF!</definedName>
    <definedName name="CY_lik_Income">#REF!</definedName>
    <definedName name="CY_lik_Liabs">#REF!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Income">#REF!</definedName>
    <definedName name="CY_tx_lik_Liabs">#REF!</definedName>
    <definedName name="CY_tx_lik_RetEarn_bf">#REF!</definedName>
    <definedName name="cycle">#REF!</definedName>
    <definedName name="d" localSheetId="9" hidden="1">{"'Rates'!$A$1:$D$31"}</definedName>
    <definedName name="D" localSheetId="16">#REF!</definedName>
    <definedName name="D" localSheetId="5">#REF!</definedName>
    <definedName name="D">#N/A</definedName>
    <definedName name="D34." localSheetId="16">[35]Notes!#REF!</definedName>
    <definedName name="D34.">[36]Notes!#REF!</definedName>
    <definedName name="dad">#REF!</definedName>
    <definedName name="Dais_perdais">#REF!</definedName>
    <definedName name="Dancom_com">#REF!</definedName>
    <definedName name="dasd" hidden="1">'[2]F&amp;F'!#REF!</definedName>
    <definedName name="Data" localSheetId="25">#REF!</definedName>
    <definedName name="Data" localSheetId="11">#REF!</definedName>
    <definedName name="Data">#REF!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_xlnm.Database" localSheetId="9">#REF!</definedName>
    <definedName name="_xlnm.Database" localSheetId="16">[37]TRIL9900!$A$5:$E$2096</definedName>
    <definedName name="_xlnm.Database" localSheetId="5">[37]TRIL9900!$A$5:$E$2096</definedName>
    <definedName name="_xlnm.Database">[38]TRIL9900!$A$5:$E$2096</definedName>
    <definedName name="date" localSheetId="4">#REF!</definedName>
    <definedName name="date" localSheetId="10">#REF!</definedName>
    <definedName name="date" localSheetId="2">#REF!</definedName>
    <definedName name="date">#REF!</definedName>
    <definedName name="Dates">#REF!</definedName>
    <definedName name="DatesMonday">#REF!</definedName>
    <definedName name="DBDECIMALPOINT1">#REF!</definedName>
    <definedName name="DBName1">#REF!</definedName>
    <definedName name="DBTHOUSANDSSEPARATOR1">#REF!</definedName>
    <definedName name="DBUsername1">#REF!</definedName>
    <definedName name="ddd" localSheetId="19">[39]pkage98!#REF!</definedName>
    <definedName name="ddd" localSheetId="4">[39]pkage98!#REF!</definedName>
    <definedName name="ddd" localSheetId="10">[39]pkage98!#REF!</definedName>
    <definedName name="ddd" localSheetId="2">[39]pkage98!#REF!</definedName>
    <definedName name="ddd">[39]pkage98!#REF!</definedName>
    <definedName name="dddd" localSheetId="4">IF(grouping!Loan_Amount*grouping!Interest_Rate*grouping!Loan_Years*grouping!Loan_Start&gt;0,1,0)</definedName>
    <definedName name="dddd" localSheetId="10">#N/A</definedName>
    <definedName name="dddd" localSheetId="2">#N/A</definedName>
    <definedName name="dddd">IF(grouping!Loan_Amount*grouping!Interest_Rate*grouping!Loan_Years*grouping!Loan_Start&gt;0,1,0)</definedName>
    <definedName name="Dealer_Commission">[18]Sheet1!$A$167</definedName>
    <definedName name="Debali">#REF!</definedName>
    <definedName name="DEC">#REF!</definedName>
    <definedName name="DecimalWords">#REF!</definedName>
    <definedName name="DEF.LIA" localSheetId="4">#REF!</definedName>
    <definedName name="DEF.LIA" localSheetId="10">#REF!</definedName>
    <definedName name="DEF.LIA" localSheetId="2">#REF!</definedName>
    <definedName name="DEF.LIA">#REF!</definedName>
    <definedName name="DEFAULTACTIVITY1">#REF!</definedName>
    <definedName name="deferred">#REF!</definedName>
    <definedName name="deffff">#REF!</definedName>
    <definedName name="DELETIONS" localSheetId="4">#REF!</definedName>
    <definedName name="DELETIONS" localSheetId="10">#REF!</definedName>
    <definedName name="DELETIONS" localSheetId="2">#REF!</definedName>
    <definedName name="DELETIONS">#REF!</definedName>
    <definedName name="Delphi_com\">#REF!</definedName>
    <definedName name="Delta_Phone_Sahiwal">#REF!</definedName>
    <definedName name="Delta_phones">#REF!</definedName>
    <definedName name="DEP">#REF!</definedName>
    <definedName name="Deposit_account">[19]LEDGER!#REF!</definedName>
    <definedName name="deprecation" localSheetId="10" hidden="1">#REF!</definedName>
    <definedName name="deprecation" localSheetId="2" hidden="1">#REF!</definedName>
    <definedName name="deprecation" hidden="1">#REF!</definedName>
    <definedName name="Depreciation">[19]LEDGER!#REF!</definedName>
    <definedName name="df" localSheetId="21">IF(grouping!Loan_Amount*grouping!Interest_Rate*grouping!Loan_Years*grouping!Loan_Start&gt;0,1,0)</definedName>
    <definedName name="df" localSheetId="7">IF(grouping!Loan_Amount*grouping!Interest_Rate*grouping!Loan_Years*grouping!Loan_Start&gt;0,1,0)</definedName>
    <definedName name="df" localSheetId="22">IF(grouping!Loan_Amount*grouping!Interest_Rate*grouping!Loan_Years*grouping!Loan_Start&gt;0,1,0)</definedName>
    <definedName name="df" localSheetId="19">IF(grouping!Loan_Amount*grouping!Interest_Rate*grouping!Loan_Years*grouping!Loan_Start&gt;0,1,0)</definedName>
    <definedName name="df" localSheetId="4">IF(grouping!Loan_Amount*grouping!Interest_Rate*grouping!Loan_Years*grouping!Loan_Start&gt;0,1,0)</definedName>
    <definedName name="df" localSheetId="13">IF(grouping!Loan_Amount*grouping!Interest_Rate*grouping!Loan_Years*grouping!Loan_Start&gt;0,1,0)</definedName>
    <definedName name="df" localSheetId="8">IF(grouping!Loan_Amount*grouping!Interest_Rate*grouping!Loan_Years*grouping!Loan_Start&gt;0,1,0)</definedName>
    <definedName name="df" localSheetId="10">#N/A</definedName>
    <definedName name="df" localSheetId="6">IF(grouping!Loan_Amount*grouping!Interest_Rate*grouping!Loan_Years*grouping!Loan_Start&gt;0,1,0)</definedName>
    <definedName name="df" localSheetId="23">IF(grouping!Loan_Amount*grouping!Interest_Rate*grouping!Loan_Years*grouping!Loan_Start&gt;0,1,0)</definedName>
    <definedName name="df" localSheetId="2">#N/A</definedName>
    <definedName name="df">IF(grouping!Loan_Amount*grouping!Interest_Rate*grouping!Loan_Years*grouping!Loan_Start&gt;0,1,0)</definedName>
    <definedName name="dfja">#REF!</definedName>
    <definedName name="dflt4">'[40]Customize Your Invoice'!$E$26</definedName>
    <definedName name="dflt5">'[40]Customize Your Invoice'!$E$27</definedName>
    <definedName name="dflt6">'[40]Customize Your Invoice'!$D$28</definedName>
    <definedName name="direcotors" localSheetId="16" hidden="1">{#N/A,#N/A,FALSE,"Sensitivity"}</definedName>
    <definedName name="direcotors" hidden="1">{#N/A,#N/A,FALSE,"Sensitivity"}</definedName>
    <definedName name="DISPOSAL" localSheetId="16" hidden="1">{#N/A,#N/A,FALSE,"Sensitivity"}</definedName>
    <definedName name="DISPOSAL" hidden="1">{#N/A,#N/A,FALSE,"Sensitivity"}</definedName>
    <definedName name="DISPOSALNOTE">#REF!</definedName>
    <definedName name="DISTRIBUTION_CHANNEL">[18]Sheet1!$A$57</definedName>
    <definedName name="DON" localSheetId="19">#REF!</definedName>
    <definedName name="DON" localSheetId="4">#REF!</definedName>
    <definedName name="DON" localSheetId="10">#REF!</definedName>
    <definedName name="DON" localSheetId="2">#REF!</definedName>
    <definedName name="DON">#REF!</definedName>
    <definedName name="Donation_to_Golf_Club">[19]LEDGER!#REF!</definedName>
    <definedName name="drate" localSheetId="16">[41]working!$C$2</definedName>
    <definedName name="drate">[41]working!$C$2</definedName>
    <definedName name="DTOIL1">'[3]Monthly Leave Report'!$AO$10:$AP$15</definedName>
    <definedName name="DTOIL10">'[3]Monthly Leave Report'!#REF!</definedName>
    <definedName name="DTOIL2">'[3]Monthly Leave Report'!$AO$17:$AP$33</definedName>
    <definedName name="DTOIL3">'[3]Monthly Leave Report'!$AO$35:$AP$59</definedName>
    <definedName name="DTOIL4">'[3]Monthly Leave Report'!$AO$61:$AP$65</definedName>
    <definedName name="DTOIL5">'[3]Monthly Leave Report'!$AO$67:$AP$69</definedName>
    <definedName name="DTOIL6">'[3]Monthly Leave Report'!$AO$71:$AP$72</definedName>
    <definedName name="DTOIL7">'[3]Monthly Leave Report'!$AO$74:$AP$76</definedName>
    <definedName name="DTOIL8">'[3]Monthly Leave Report'!$AO$78:$AP$85</definedName>
    <definedName name="DTOIL9">'[3]Monthly Leave Report'!$AO$87:$AP$88</definedName>
    <definedName name="Duty_free">#REF!</definedName>
    <definedName name="e" localSheetId="9">#REF!</definedName>
    <definedName name="E" localSheetId="16">#REF!</definedName>
    <definedName name="E" localSheetId="5">#REF!</definedName>
    <definedName name="E">#N/A</definedName>
    <definedName name="eee" localSheetId="4">#REF!</definedName>
    <definedName name="eee" localSheetId="10">#REF!</definedName>
    <definedName name="eee" localSheetId="2">#REF!</definedName>
    <definedName name="eee">#REF!</definedName>
    <definedName name="EILIST">'[3]Employmee Information (A)'!$AU$88:$AU$203</definedName>
    <definedName name="ELIST">'[3]1. Employmee Information'!$B$3:$B$294</definedName>
    <definedName name="End_Bal" localSheetId="25">'[42]AEX-091'!$I$18:$I$377</definedName>
    <definedName name="End_Bal" localSheetId="11">'[42]AEX-091'!$I$18:$I$377</definedName>
    <definedName name="End_Bal" localSheetId="4">'[43]AEX-091'!$I$18:$I$377</definedName>
    <definedName name="End_Bal" localSheetId="16">'[44]Amortization Table'!$I$18:$I$380</definedName>
    <definedName name="End_Bal">'[45]AEX-091'!$I$18:$I$377</definedName>
    <definedName name="Equity" localSheetId="4">#REF!</definedName>
    <definedName name="Equity" localSheetId="10">#REF!</definedName>
    <definedName name="Equity" localSheetId="2">#REF!</definedName>
    <definedName name="Equity">#REF!</definedName>
    <definedName name="ert" localSheetId="16" hidden="1">'[2]F&amp;F'!#REF!</definedName>
    <definedName name="ert" localSheetId="5" hidden="1">'[2]F&amp;F'!#REF!</definedName>
    <definedName name="ert" hidden="1">'[6]F&amp;F'!#REF!</definedName>
    <definedName name="ESTT">#REF!</definedName>
    <definedName name="ExactAddinConnection" hidden="1">"204"</definedName>
    <definedName name="ExactAddinConnection.204" hidden="1">"SEMED04;204 Medair;kol14996n;1"</definedName>
    <definedName name="ExactAddinReports" hidden="1">1</definedName>
    <definedName name="ExemptIncome" localSheetId="4">#REF!</definedName>
    <definedName name="ExemptIncome" localSheetId="10">#REF!</definedName>
    <definedName name="ExemptIncome" localSheetId="6">#REF!</definedName>
    <definedName name="ExemptIncome" localSheetId="2">#REF!</definedName>
    <definedName name="ExemptIncome">#REF!</definedName>
    <definedName name="ExpGrowthRate">#REF!</definedName>
    <definedName name="extra" localSheetId="25">#REF!</definedName>
    <definedName name="extra">[46]G!#REF!</definedName>
    <definedName name="Extra_Pay" localSheetId="25">#REF!</definedName>
    <definedName name="Extra_Pay" localSheetId="11">#REF!</definedName>
    <definedName name="Extra_Pay">#REF!</definedName>
    <definedName name="F" localSheetId="16">#REF!</definedName>
    <definedName name="F" localSheetId="5">#REF!</definedName>
    <definedName name="F">#N/A</definedName>
    <definedName name="F18.">[19]TRIAL!#REF!</definedName>
    <definedName name="F1f3" localSheetId="25">#REF!</definedName>
    <definedName name="F1f3" localSheetId="11">#REF!</definedName>
    <definedName name="F1f3">#REF!</definedName>
    <definedName name="FA" localSheetId="4">#REF!</definedName>
    <definedName name="FA" localSheetId="10">#REF!</definedName>
    <definedName name="FA" localSheetId="2">#REF!</definedName>
    <definedName name="FA">#REF!</definedName>
    <definedName name="far">#REF!</definedName>
    <definedName name="FAS_new" localSheetId="25">#REF!</definedName>
    <definedName name="FAS_new" localSheetId="11">#REF!</definedName>
    <definedName name="FAS_new">#REF!</definedName>
    <definedName name="FASST">'[26]Sub HMC'!#REF!</definedName>
    <definedName name="FC" localSheetId="4">[28]pkage01!#REF!</definedName>
    <definedName name="FC" localSheetId="10">[28]pkage01!#REF!</definedName>
    <definedName name="FC" localSheetId="2">[28]pkage01!#REF!</definedName>
    <definedName name="FC">[28]pkage01!#REF!</definedName>
    <definedName name="fdf" hidden="1">'[2]F&amp;F'!#REF!</definedName>
    <definedName name="fdsfdsfsdg" localSheetId="16" hidden="1">{#N/A,#N/A,FALSE,"Sensitivity"}</definedName>
    <definedName name="fdsfdsfsdg" hidden="1">{#N/A,#N/A,FALSE,"Sensitivity"}</definedName>
    <definedName name="Fee" localSheetId="5">#REF!</definedName>
    <definedName name="Fee">#REF!</definedName>
    <definedName name="FF_Bal">'[2]F&amp;F'!#REF!</definedName>
    <definedName name="FFAbove1_1">#REF!</definedName>
    <definedName name="FFAbove2_1">#REF!</definedName>
    <definedName name="FFAbove3_1">#REF!</definedName>
    <definedName name="FFAbove4_1">#REF!</definedName>
    <definedName name="FFAbove5_1">#REF!</definedName>
    <definedName name="FFAbove6_1">#REF!</definedName>
    <definedName name="FFAbove7_1">#REF!</definedName>
    <definedName name="FFAbove8_1">#REF!</definedName>
    <definedName name="FFAppColName1_1">#REF!</definedName>
    <definedName name="FFAppColName2_1">#REF!</definedName>
    <definedName name="FFAppColName3_1">#REF!</definedName>
    <definedName name="FFAppColName4_1">#REF!</definedName>
    <definedName name="FFAppColName5_1">#REF!</definedName>
    <definedName name="FFAppColName6_1">#REF!</definedName>
    <definedName name="FFAppColName7_1">#REF!</definedName>
    <definedName name="FFAppColName8_1">#REF!</definedName>
    <definedName name="FFDisplay1_1">#REF!</definedName>
    <definedName name="FFDisplay2_1">#REF!</definedName>
    <definedName name="FFDisplay3_1">#REF!</definedName>
    <definedName name="FFDisplay4_1">#REF!</definedName>
    <definedName name="FFDisplay5_1">#REF!</definedName>
    <definedName name="FFDisplay6_1">#REF!</definedName>
    <definedName name="FFDisplay7_1">#REF!</definedName>
    <definedName name="FFDisplay8_1">#REF!</definedName>
    <definedName name="fff" localSheetId="4">#REF!</definedName>
    <definedName name="fff" localSheetId="16" hidden="1">{#N/A,#N/A,FALSE,"Sensitivity"}</definedName>
    <definedName name="fff" localSheetId="10">#REF!</definedName>
    <definedName name="fff" localSheetId="2">#REF!</definedName>
    <definedName name="fff" localSheetId="5" hidden="1">{#N/A,#N/A,FALSE,"Sensitivity"}</definedName>
    <definedName name="fff">#REF!</definedName>
    <definedName name="FFMaximum1_1">#REF!</definedName>
    <definedName name="FFMaximum2_1">#REF!</definedName>
    <definedName name="FFMaximum3_1">#REF!</definedName>
    <definedName name="FFMaximum4_1">#REF!</definedName>
    <definedName name="FFMaximum5_1">#REF!</definedName>
    <definedName name="FFMaximum6_1">#REF!</definedName>
    <definedName name="FFMaximum7_1">#REF!</definedName>
    <definedName name="FFMaximum8_1">#REF!</definedName>
    <definedName name="FFSegment1_1">#REF!</definedName>
    <definedName name="FFSegment2_1">#REF!</definedName>
    <definedName name="FFSegment3_1">#REF!</definedName>
    <definedName name="FFSegment4_1">#REF!</definedName>
    <definedName name="FFSegment5_1">#REF!</definedName>
    <definedName name="FFSegment6_1">#REF!</definedName>
    <definedName name="FFSegment7_1">#REF!</definedName>
    <definedName name="FFSegment8_1">#REF!</definedName>
    <definedName name="FFSegSeparator1">#REF!</definedName>
    <definedName name="FIN.ASSETS" localSheetId="4">#REF!</definedName>
    <definedName name="FIN.ASSETS" localSheetId="10">#REF!</definedName>
    <definedName name="FIN.ASSETS" localSheetId="2">#REF!</definedName>
    <definedName name="FIN.ASSETS">#REF!</definedName>
    <definedName name="FIN.CHARGE" localSheetId="4">#REF!</definedName>
    <definedName name="FIN.CHARGE" localSheetId="10">#REF!</definedName>
    <definedName name="FIN.CHARGE" localSheetId="2">#REF!</definedName>
    <definedName name="FIN.CHARGE">#REF!</definedName>
    <definedName name="FIN_INSTRUMENTS">#REF!</definedName>
    <definedName name="finan">#REF!</definedName>
    <definedName name="finance" localSheetId="4">#REF!</definedName>
    <definedName name="finance" localSheetId="10">#REF!</definedName>
    <definedName name="finance" localSheetId="2">#REF!</definedName>
    <definedName name="finance">#REF!</definedName>
    <definedName name="FINASSET" localSheetId="4">#REF!</definedName>
    <definedName name="FINASSET" localSheetId="10">#REF!</definedName>
    <definedName name="FINASSET" localSheetId="2">#REF!</definedName>
    <definedName name="FINASSET">#REF!</definedName>
    <definedName name="finchg">[46]G!#REF!</definedName>
    <definedName name="FIX.ASSETS" localSheetId="4">#REF!</definedName>
    <definedName name="FIX.ASSETS" localSheetId="10">#REF!</definedName>
    <definedName name="FIX.ASSETS" localSheetId="2">#REF!</definedName>
    <definedName name="FIX.ASSETS">#REF!</definedName>
    <definedName name="Fixed_Assets_Reg">#REF!</definedName>
    <definedName name="Fixedassets" localSheetId="10">#REF!</definedName>
    <definedName name="Fixedassets" localSheetId="2">#REF!</definedName>
    <definedName name="Fixedassets">#REF!</definedName>
    <definedName name="FIXEDAST">[47]ASSETS!#REF!</definedName>
    <definedName name="FLC">[48]CHALLAN!#REF!</definedName>
    <definedName name="FLC.">[48]CHALLAN!#REF!</definedName>
    <definedName name="FNDNAM1">#REF!</definedName>
    <definedName name="FNDUserID1">#REF!</definedName>
    <definedName name="For_December_2004.">#REF!</definedName>
    <definedName name="from">#REF!</definedName>
    <definedName name="Full_Print" localSheetId="25">#REF!</definedName>
    <definedName name="Full_Print" localSheetId="11">#REF!</definedName>
    <definedName name="Full_Print">#REF!</definedName>
    <definedName name="G" localSheetId="16">#REF!</definedName>
    <definedName name="G" localSheetId="5">#REF!</definedName>
    <definedName name="G">#N/A</definedName>
    <definedName name="gfdhdfh" localSheetId="16" hidden="1">{#N/A,#N/A,FALSE,"Sensitivity"}</definedName>
    <definedName name="gfdhdfh" hidden="1">{#N/A,#N/A,FALSE,"Sensitivity"}</definedName>
    <definedName name="GFJFGJ">'[2]F&amp;F'!#REF!</definedName>
    <definedName name="ggg" localSheetId="4" hidden="1">[11]Acct!#REF!</definedName>
    <definedName name="ggg" localSheetId="10">#REF!</definedName>
    <definedName name="ggg" localSheetId="2">#REF!</definedName>
    <definedName name="ggg">#REF!</definedName>
    <definedName name="Ghareebnawaz" localSheetId="10">#REF!</definedName>
    <definedName name="Ghareebnawaz" localSheetId="2">#REF!</definedName>
    <definedName name="Ghareebnawaz">#REF!</definedName>
    <definedName name="grantadv">#REF!</definedName>
    <definedName name="GranteeDetail">#REF!</definedName>
    <definedName name="graph1">#REF!</definedName>
    <definedName name="graph2">#REF!</definedName>
    <definedName name="Grouping" localSheetId="16">[49]Grouping!$B$3:$B$2999</definedName>
    <definedName name="Grouping" localSheetId="5">[49]Grouping!$B$3:$B$2999</definedName>
    <definedName name="Grouping">[50]Grouping!$B$3:$B$2999</definedName>
    <definedName name="GrpA_Collect_Dur">[24]Assumptions!#REF!</definedName>
    <definedName name="GrpA_Collect_Strm">[24]Assumptions!#REF!</definedName>
    <definedName name="GrpANew_Collect_Dur">[24]Assumptions!#REF!</definedName>
    <definedName name="GrpANew_Collect_Strm">[24]Assumptions!#REF!</definedName>
    <definedName name="GrpB_Collect_Dur">[24]Assumptions!#REF!</definedName>
    <definedName name="GrpB_Collect_Strm">[24]Assumptions!#REF!</definedName>
    <definedName name="GrpB_Recov_Dbt">[24]Assumptions!#REF!</definedName>
    <definedName name="GrpC_Collect_Dur">[24]Assumptions!#REF!</definedName>
    <definedName name="GrpC_Recov_Dbt">[24]Assumptions!#REF!</definedName>
    <definedName name="gsdgdsg" localSheetId="16" hidden="1">{#N/A,#N/A,FALSE,"Sensitivity"}</definedName>
    <definedName name="gsdgdsg" hidden="1">{#N/A,#N/A,FALSE,"Sensitivity"}</definedName>
    <definedName name="gsgds" hidden="1">{#N/A,#N/A,FALSE,"Sensitivity"}</definedName>
    <definedName name="Gulbahar">#REF!</definedName>
    <definedName name="GWYUID1">#REF!</definedName>
    <definedName name="H" localSheetId="5">#REF!</definedName>
    <definedName name="H">#REF!</definedName>
    <definedName name="H.B.L.__Current_account">[19]LEDGER!#REF!</definedName>
    <definedName name="habib">#REF!</definedName>
    <definedName name="Handsets">[18]Sheet1!$A$143</definedName>
    <definedName name="Header_Row" localSheetId="25">ROW('[42]AEX-091'!$A$17:$IV$17)</definedName>
    <definedName name="Header_Row" localSheetId="11">ROW('[42]AEX-091'!$A$17:$IV$17)</definedName>
    <definedName name="Header_Row" localSheetId="4">ROW('[43]AEX-091'!$A$17:$IV$17)</definedName>
    <definedName name="Header_Row" localSheetId="16">ROW('[44]Amortization Table'!$A$17:$IV$17)</definedName>
    <definedName name="Header_Row">ROW('[45]AEX-091'!$A$17:$IV$17)</definedName>
    <definedName name="Header1">'[3]Monthly Leave Report'!$B$3</definedName>
    <definedName name="Header2">'[3]Monthly Leave Report'!$B$4</definedName>
    <definedName name="Header3">'[3]Quarterly Leave Report'!$B$3</definedName>
    <definedName name="Header4">'[3]Quarterly Leave Report'!$B$4</definedName>
    <definedName name="hj" localSheetId="10">#REF!</definedName>
    <definedName name="hj" localSheetId="2">#REF!</definedName>
    <definedName name="hj">#REF!</definedName>
    <definedName name="hjhjhj" localSheetId="16" hidden="1">{#N/A,#N/A,FALSE,"Sensitivity"}</definedName>
    <definedName name="hjhjhj" hidden="1">{#N/A,#N/A,FALSE,"Sensitivity"}</definedName>
    <definedName name="ho">[51]Others!#REF!</definedName>
    <definedName name="Holiday_Network">#REF!</definedName>
    <definedName name="HTML_CodePage" hidden="1">1252</definedName>
    <definedName name="HTML_Control" hidden="1">{"'Rates'!$A$1:$D$31"}</definedName>
    <definedName name="HTML_Description" hidden="1">""</definedName>
    <definedName name="HTML_Email" hidden="1">""</definedName>
    <definedName name="HTML_Header" hidden="1">"Rates"</definedName>
    <definedName name="HTML_LastUpdate" hidden="1">"26/11/99"</definedName>
    <definedName name="HTML_LineAfter" hidden="1">FALSE</definedName>
    <definedName name="HTML_LineBefore" hidden="1">FALSE</definedName>
    <definedName name="HTML_Name" hidden="1">"EHTSHAM UL ISLAM"</definedName>
    <definedName name="HTML_OBDlg2" hidden="1">TRUE</definedName>
    <definedName name="HTML_OBDlg4" hidden="1">TRUE</definedName>
    <definedName name="HTML_OS" hidden="1">0</definedName>
    <definedName name="HTML_PathFile" hidden="1">"E:\rates.htm"</definedName>
    <definedName name="HTML_Title" hidden="1">"Official Rates for the year 1999"</definedName>
    <definedName name="HUX_F" localSheetId="5">#REF!</definedName>
    <definedName name="HUX_F">#REF!</definedName>
    <definedName name="HUXR" localSheetId="5">#REF!</definedName>
    <definedName name="HUXR">#REF!</definedName>
    <definedName name="hyiugigt" localSheetId="4">#REF!</definedName>
    <definedName name="hyiugigt" localSheetId="10">#REF!</definedName>
    <definedName name="hyiugigt" localSheetId="2">#REF!</definedName>
    <definedName name="hyiugigt">#REF!</definedName>
    <definedName name="I" localSheetId="5">#REF!</definedName>
    <definedName name="I">#REF!</definedName>
    <definedName name="iiiii">'[2]F&amp;F'!#REF!</definedName>
    <definedName name="INCOME">#REF!</definedName>
    <definedName name="income_exp">#REF!</definedName>
    <definedName name="IncomeStatementDates">#REF!</definedName>
    <definedName name="Int" localSheetId="25">#REF!</definedName>
    <definedName name="Int" localSheetId="11">#REF!</definedName>
    <definedName name="Int">#REF!</definedName>
    <definedName name="Interconnect_Cost">[18]Sheet1!$A$172</definedName>
    <definedName name="Interconnect_Paid_Rate">#N/A</definedName>
    <definedName name="Interconnect_Sharing">[18]Sheet1!$A$98</definedName>
    <definedName name="Interest">#REF!</definedName>
    <definedName name="Interest_Rate" localSheetId="25">'[42]AEX-091'!$D$7</definedName>
    <definedName name="Interest_Rate" localSheetId="11">'[42]AEX-091'!$D$7</definedName>
    <definedName name="Interest_Rate" localSheetId="4">'[43]AEX-091'!$D$7</definedName>
    <definedName name="Interest_Rate" localSheetId="16">'[44]Amortization Table'!$D$7</definedName>
    <definedName name="Interest_Rate">'[45]AEX-091'!$D$7</definedName>
    <definedName name="intinc" localSheetId="25">#REF!</definedName>
    <definedName name="intinc">[46]G!#REF!</definedName>
    <definedName name="INVEST" localSheetId="4">#REF!</definedName>
    <definedName name="INVEST" localSheetId="10">#REF!</definedName>
    <definedName name="INVEST" localSheetId="2">#REF!</definedName>
    <definedName name="INVEST">#REF!</definedName>
    <definedName name="investment" localSheetId="4">#REF!</definedName>
    <definedName name="investment" localSheetId="10">#REF!</definedName>
    <definedName name="investment" localSheetId="2">#REF!</definedName>
    <definedName name="investment">#REF!</definedName>
    <definedName name="InvPer">#REF!</definedName>
    <definedName name="InvPerNoAdv">#REF!</definedName>
    <definedName name="invtype">#REF!</definedName>
    <definedName name="J" localSheetId="5">#REF!</definedName>
    <definedName name="J">#REF!</definedName>
    <definedName name="james" localSheetId="5">#REF!</definedName>
    <definedName name="james">#REF!</definedName>
    <definedName name="JH" localSheetId="10">#REF!</definedName>
    <definedName name="JH" localSheetId="2">#REF!</definedName>
    <definedName name="JH">#REF!</definedName>
    <definedName name="jjjj" localSheetId="4">#REF!</definedName>
    <definedName name="jjjj" localSheetId="10">#REF!</definedName>
    <definedName name="jjjj" localSheetId="2">#REF!</definedName>
    <definedName name="jjjj">#REF!</definedName>
    <definedName name="JSaraj">#REF!</definedName>
    <definedName name="JUNE">[52]applicant!#REF!</definedName>
    <definedName name="K" localSheetId="5">#REF!</definedName>
    <definedName name="K">#REF!</definedName>
    <definedName name="khalid">#REF!</definedName>
    <definedName name="KHY_F" localSheetId="5">#REF!</definedName>
    <definedName name="KHY_F">#REF!</definedName>
    <definedName name="KHYR" localSheetId="5">#REF!</definedName>
    <definedName name="KHYR">#REF!</definedName>
    <definedName name="kli">'[2]F&amp;F'!#REF!</definedName>
    <definedName name="L" localSheetId="16">#REF!</definedName>
    <definedName name="L" localSheetId="5">#REF!</definedName>
    <definedName name="L">#N/A</definedName>
    <definedName name="l_12">#REF!</definedName>
    <definedName name="l_13">#REF!</definedName>
    <definedName name="l_14">#REF!</definedName>
    <definedName name="l_15">#REF!</definedName>
    <definedName name="l_16">#REF!</definedName>
    <definedName name="l_17">#REF!</definedName>
    <definedName name="l_18">#REF!</definedName>
    <definedName name="l_19">#REF!</definedName>
    <definedName name="l_20">#REF!</definedName>
    <definedName name="l_5">#REF!</definedName>
    <definedName name="lahdsfasdj" localSheetId="4">#REF!</definedName>
    <definedName name="lahdsfasdj" localSheetId="10">#REF!</definedName>
    <definedName name="lahdsfasdj" localSheetId="2">#REF!</definedName>
    <definedName name="lahdsfasdj">#REF!</definedName>
    <definedName name="LanguageComment" localSheetId="25">[53]CHALLAN!#REF!</definedName>
    <definedName name="LanguageComment">[48]CHALLAN!#REF!</definedName>
    <definedName name="Last_Row" localSheetId="21">IF('C.tax computation'!Values_Entered,Header_Row+'C.tax computation'!Number_of_Payments,Header_Row)</definedName>
    <definedName name="Last_Row" localSheetId="7">IF('CASH FLOW'!Values_Entered,Header_Row+'CASH FLOW'!Number_of_Payments,Header_Row)</definedName>
    <definedName name="Last_Row" localSheetId="22">IF('Def tax'!Values_Entered,Header_Row+'Def tax'!Number_of_Payments,Header_Row)</definedName>
    <definedName name="Last_Row" localSheetId="19">IF('FIXED ASSETS'!Values_Entered,Header_Row+'FIXED ASSETS'!Number_of_Payments,Header_Row)</definedName>
    <definedName name="Last_Row" localSheetId="4">#N/A</definedName>
    <definedName name="Last_Row" localSheetId="13">IF(NOTES!Values_Entered,Header_Row+NOTES!Number_of_Payments,Header_Row)</definedName>
    <definedName name="Last_Row" localSheetId="8">IF('P &amp; L'!Values_Entered,Header_Row+'P &amp; L'!Number_of_Payments,Header_Row)</definedName>
    <definedName name="Last_Row" localSheetId="10">IF('Policies FC'!Values_Entered,[54]!Header_Row+'Policies FC'!Number_of_Payments,[54]!Header_Row)</definedName>
    <definedName name="Last_Row" localSheetId="6">IF(SOFP!Values_Entered,Header_Row+SOFP!Number_of_Payments,Header_Row)</definedName>
    <definedName name="Last_Row" localSheetId="23">IF('Tax dep'!Values_Entered,Header_Row+'Tax dep'!Number_of_Payments,Header_Row)</definedName>
    <definedName name="Last_Row">#N/A</definedName>
    <definedName name="LastInv">#REF!</definedName>
    <definedName name="lastinvoice">#REF!</definedName>
    <definedName name="LC_921471" localSheetId="19">[55]lc921471!#REF!</definedName>
    <definedName name="LC_921471" localSheetId="4">[55]lc921471!#REF!</definedName>
    <definedName name="LC_921471" localSheetId="10">[55]lc921471!#REF!</definedName>
    <definedName name="LC_921471" localSheetId="2">[55]lc921471!#REF!</definedName>
    <definedName name="LC_921471">[55]lc921471!#REF!</definedName>
    <definedName name="LC_980502" localSheetId="19">#REF!</definedName>
    <definedName name="LC_980502" localSheetId="4">#REF!</definedName>
    <definedName name="LC_980502" localSheetId="10">#REF!</definedName>
    <definedName name="LC_980502" localSheetId="2">#REF!</definedName>
    <definedName name="LC_980502">#REF!</definedName>
    <definedName name="LCAL">'[3]Monthly Leave Report'!$F$5</definedName>
    <definedName name="ldg">#N/A</definedName>
    <definedName name="LEASED.ASSETS" localSheetId="19">#REF!</definedName>
    <definedName name="LEASED.ASSETS" localSheetId="4">#REF!</definedName>
    <definedName name="LEASED.ASSETS" localSheetId="10">#REF!</definedName>
    <definedName name="LEASED.ASSETS" localSheetId="2">#REF!</definedName>
    <definedName name="LEASED.ASSETS">#REF!</definedName>
    <definedName name="Legal___professional_charges">[19]LEDGER!#REF!</definedName>
    <definedName name="LHimp_Bal">'[2]F&amp;F'!#REF!</definedName>
    <definedName name="LIA.FIN.LEAS" localSheetId="19">#REF!</definedName>
    <definedName name="LIA.FIN.LEAS" localSheetId="4">#REF!</definedName>
    <definedName name="LIA.FIN.LEAS" localSheetId="10">#REF!</definedName>
    <definedName name="LIA.FIN.LEAS" localSheetId="2">#REF!</definedName>
    <definedName name="LIA.FIN.LEAS">#REF!</definedName>
    <definedName name="ljkasdg">#REF!</definedName>
    <definedName name="lkl">#REF!</definedName>
    <definedName name="lll" localSheetId="16" hidden="1">{#N/A,#N/A,FALSE,"Sensitivity"}</definedName>
    <definedName name="lll" hidden="1">{#N/A,#N/A,FALSE,"Sensitivity"}</definedName>
    <definedName name="llllll">#REF!</definedName>
    <definedName name="Loan__Amount">'[56]Amortization Table'!$D$6</definedName>
    <definedName name="Loan_Amount" localSheetId="25">'[42]AEX-091'!$D$6</definedName>
    <definedName name="Loan_Amount" localSheetId="11">'[42]AEX-091'!$D$6</definedName>
    <definedName name="Loan_Amount" localSheetId="4">'[43]AEX-091'!$D$6</definedName>
    <definedName name="Loan_Amount" localSheetId="16">'[44]Amortization Table'!$D$6</definedName>
    <definedName name="Loan_Amount">'[45]AEX-091'!$D$6</definedName>
    <definedName name="Loan_Start" localSheetId="25">'[42]AEX-091'!$D$10</definedName>
    <definedName name="Loan_Start" localSheetId="11">'[42]AEX-091'!$D$10</definedName>
    <definedName name="Loan_Start" localSheetId="4">'[43]AEX-091'!$D$10</definedName>
    <definedName name="Loan_Start" localSheetId="16">'[44]Amortization Table'!$D$10</definedName>
    <definedName name="Loan_Start">'[45]AEX-091'!$D$10</definedName>
    <definedName name="Loan_Years" localSheetId="25">'[42]AEX-091'!$D$8</definedName>
    <definedName name="Loan_Years" localSheetId="11">'[42]AEX-091'!$D$8</definedName>
    <definedName name="Loan_Years" localSheetId="4">'[43]AEX-091'!$D$8</definedName>
    <definedName name="Loan_Years" localSheetId="16">'[44]Amortization Table'!$D$8</definedName>
    <definedName name="Loan_Years">'[45]AEX-091'!$D$8</definedName>
    <definedName name="LOANS" localSheetId="4">[28]pkage01!#REF!</definedName>
    <definedName name="LOANS" localSheetId="16">#REF!</definedName>
    <definedName name="LOANS" localSheetId="10">[28]pkage01!#REF!</definedName>
    <definedName name="LOANS" localSheetId="2">[28]pkage01!#REF!</definedName>
    <definedName name="LOANS" localSheetId="5">#REF!</definedName>
    <definedName name="LOANS">[28]pkage01!#REF!</definedName>
    <definedName name="lookup" localSheetId="16">'[57]BPHS Detail'!$G$10:$AA$3665</definedName>
    <definedName name="lookup">'[58]BPHS Detail'!$G$10:$AA$3665</definedName>
    <definedName name="lookup_12">#REF!</definedName>
    <definedName name="lookup_13">#REF!</definedName>
    <definedName name="lookup_14">#REF!</definedName>
    <definedName name="lookup_15">#REF!</definedName>
    <definedName name="lookup_16">#REF!</definedName>
    <definedName name="lookup_17">#REF!</definedName>
    <definedName name="lookup_18">#REF!</definedName>
    <definedName name="lookup_19">#REF!</definedName>
    <definedName name="lookup_20">#REF!</definedName>
    <definedName name="lookup_21">#REF!</definedName>
    <definedName name="lookup_5">#REF!</definedName>
    <definedName name="lookup_6">#REF!</definedName>
    <definedName name="lookup2">#REF!</definedName>
    <definedName name="lookup3">#REF!</definedName>
    <definedName name="lookup4">#REF!</definedName>
    <definedName name="lstGrpeDim_ORGA" localSheetId="16">'[59]Dimension Groups'!$B$4:$B$108</definedName>
    <definedName name="lstGrpeDim_ORGA">'[60]Dimension Groups'!$B$4:$B$108</definedName>
    <definedName name="LT.DEPOSITS" localSheetId="4">#REF!</definedName>
    <definedName name="LT.DEPOSITS" localSheetId="10">#REF!</definedName>
    <definedName name="LT.DEPOSITS" localSheetId="2">#REF!</definedName>
    <definedName name="LT.DEPOSITS">#REF!</definedName>
    <definedName name="LT.INVEST" localSheetId="4">#REF!</definedName>
    <definedName name="LT.INVEST" localSheetId="10">#REF!</definedName>
    <definedName name="LT.INVEST" localSheetId="2">#REF!</definedName>
    <definedName name="LT.INVEST">#REF!</definedName>
    <definedName name="LTL" localSheetId="4">#REF!</definedName>
    <definedName name="LTL" localSheetId="10">#REF!</definedName>
    <definedName name="LTL" localSheetId="2">#REF!</definedName>
    <definedName name="LTL">#REF!</definedName>
    <definedName name="LTL.HEDGE" localSheetId="4">#REF!</definedName>
    <definedName name="LTL.HEDGE" localSheetId="10">#REF!</definedName>
    <definedName name="LTL.HEDGE" localSheetId="2">#REF!</definedName>
    <definedName name="LTL.HEDGE">#REF!</definedName>
    <definedName name="LTLoans" localSheetId="4">#REF!</definedName>
    <definedName name="LTLoans" localSheetId="10">#REF!</definedName>
    <definedName name="LTLoans" localSheetId="2">#REF!</definedName>
    <definedName name="LTLoans">#REF!</definedName>
    <definedName name="m" localSheetId="5">#REF!</definedName>
    <definedName name="M">#REF!</definedName>
    <definedName name="Manag">#REF!</definedName>
    <definedName name="Management">#REF!</definedName>
    <definedName name="MAR_F" localSheetId="5">#REF!</definedName>
    <definedName name="MAR_F">#REF!</definedName>
    <definedName name="MARKETING07" localSheetId="5">#REF!</definedName>
    <definedName name="MARKETING07">#REF!</definedName>
    <definedName name="MARKETING98">#REF!</definedName>
    <definedName name="MARKETINGALL">#REF!</definedName>
    <definedName name="MARR">#REF!</definedName>
    <definedName name="Materiality">#REF!</definedName>
    <definedName name="MATOIL1">'[3]Quarterly Leave Report'!$DF$6</definedName>
    <definedName name="MATOIL2">'[3]Quarterly Leave Report'!$DL$6</definedName>
    <definedName name="MATOIL3">'[3]Quarterly Leave Report'!$DR$6</definedName>
    <definedName name="MATOIL4">'[3]Quarterly Leave Report'!$DX$6</definedName>
    <definedName name="MCOUNT1">'[3]Monthly Leave Report'!$Q$10:$Q$15</definedName>
    <definedName name="MDTOIL1">'[3]Quarterly Leave Report'!$DE$6</definedName>
    <definedName name="MDTOIL11">'[3]Quarterly Leave Report'!$AP$10:$AQ$15</definedName>
    <definedName name="MDTOIL110">'[3]Quarterly Leave Report'!#REF!</definedName>
    <definedName name="MDTOIL12">'[3]Quarterly Leave Report'!$AP$17:$AQ$32</definedName>
    <definedName name="MDTOIL13">'[3]Quarterly Leave Report'!$AP$34:$AQ$57</definedName>
    <definedName name="MDTOIL14">'[3]Quarterly Leave Report'!$AP$59:$AQ$63</definedName>
    <definedName name="MDTOIL15">'[3]Quarterly Leave Report'!$AP$65:$AQ$67</definedName>
    <definedName name="MDTOIL16">'[3]Quarterly Leave Report'!$AP$69:$AQ$70</definedName>
    <definedName name="MDTOIL17">'[3]Quarterly Leave Report'!$AP$72:$AQ$74</definedName>
    <definedName name="MDTOIL18">'[3]Quarterly Leave Report'!$AP$76:$AQ$83</definedName>
    <definedName name="MDTOIL19">'[3]Quarterly Leave Report'!$AP$85:$AQ$86</definedName>
    <definedName name="MDTOIL2">'[3]Quarterly Leave Report'!$DK$6</definedName>
    <definedName name="MDTOIL21">'[3]Quarterly Leave Report'!$AZ$10:$BA$15</definedName>
    <definedName name="MDTOIl210">'[3]Quarterly Leave Report'!#REF!</definedName>
    <definedName name="MDTOIL22">'[3]Quarterly Leave Report'!$AZ$17:$BA$32</definedName>
    <definedName name="MDTOIL23">'[3]Quarterly Leave Report'!$AZ$34:$BA$57</definedName>
    <definedName name="MDTOIL24">'[3]Quarterly Leave Report'!$AZ$59:$BA$63</definedName>
    <definedName name="MDTOIL25">'[3]Quarterly Leave Report'!$AZ$65:$BA$67</definedName>
    <definedName name="MDTOIL26">'[3]Quarterly Leave Report'!$AZ$69:$BA$70</definedName>
    <definedName name="MDTOIl27">'[3]Quarterly Leave Report'!$AZ$72:$BA$74</definedName>
    <definedName name="MDTOIL28">'[3]Quarterly Leave Report'!$AZ$76:$BA$83</definedName>
    <definedName name="MDTOIL29">'[3]Quarterly Leave Report'!$AZ$85:$BA$86</definedName>
    <definedName name="MDTOIL3">'[3]Quarterly Leave Report'!$DQ$6</definedName>
    <definedName name="MDTOIL31">'[3]Quarterly Leave Report'!$BJ$10:$BK$15</definedName>
    <definedName name="MDTOIL310">'[3]Quarterly Leave Report'!#REF!</definedName>
    <definedName name="MDTOIL32">'[3]Quarterly Leave Report'!$BJ$17:$BK$32</definedName>
    <definedName name="MDTOIL33">'[3]Quarterly Leave Report'!$BJ$34:$BK$57</definedName>
    <definedName name="MDTOIL34">'[3]Quarterly Leave Report'!$BJ$59:$BK$63</definedName>
    <definedName name="MDTOIL35">'[3]Quarterly Leave Report'!$BJ$65:$BK$67</definedName>
    <definedName name="MDTOIl36">'[3]Quarterly Leave Report'!$BJ$69:$BK$70</definedName>
    <definedName name="MDTOIL37">'[3]Quarterly Leave Report'!$BJ$72:$BK$74</definedName>
    <definedName name="MDTOIL38">'[3]Quarterly Leave Report'!$BJ$76:$BK$83</definedName>
    <definedName name="MDTOIL39">'[3]Quarterly Leave Report'!$BJ$85:$BK$86</definedName>
    <definedName name="MDTOIL4">'[3]Quarterly Leave Report'!$DW$6</definedName>
    <definedName name="MDTOIL41">'[3]Quarterly Leave Report'!$BT$10:$BU$15</definedName>
    <definedName name="MDTOIL410">'[3]Quarterly Leave Report'!#REF!</definedName>
    <definedName name="MDTOIL42">'[3]Quarterly Leave Report'!$BT$17:$BU$32</definedName>
    <definedName name="MDTOIL43">'[3]Quarterly Leave Report'!$BT$34:$BU$57</definedName>
    <definedName name="MDTOIL44">'[3]Quarterly Leave Report'!$BT$59:$BU$63</definedName>
    <definedName name="MDTOIL45">'[3]Quarterly Leave Report'!$BT$65:$BU$67</definedName>
    <definedName name="MDTOIL46">'[3]Quarterly Leave Report'!$BT$69:$BU$70</definedName>
    <definedName name="MDTOIL47">'[3]Quarterly Leave Report'!$BT$72:$BU$74</definedName>
    <definedName name="MDTOIL48">'[3]Quarterly Leave Report'!$BT$76:$BU$83</definedName>
    <definedName name="MDTOIL49">'[3]Quarterly Leave Report'!$BT$85:$BU$86</definedName>
    <definedName name="Medical_Expenses">[19]LEDGER!#REF!</definedName>
    <definedName name="MEH_F" localSheetId="5">#REF!</definedName>
    <definedName name="MEH_F">#REF!</definedName>
    <definedName name="MEHR" localSheetId="5">#REF!</definedName>
    <definedName name="MEHR">#REF!</definedName>
    <definedName name="mem">#REF!</definedName>
    <definedName name="MEMO">#REF!</definedName>
    <definedName name="Menu_Level">#REF!</definedName>
    <definedName name="Method_abbrev">'[61]Depreciation Methods'!$A$2:$A$4</definedName>
    <definedName name="mmmmmmm" localSheetId="16">[62]DTAX!$G$3</definedName>
    <definedName name="mmmmmmm" localSheetId="5">[62]DTAX!$G$3</definedName>
    <definedName name="mmmmmmm">[63]DTAX!$G$3</definedName>
    <definedName name="Mobi_Tel">#REF!</definedName>
    <definedName name="mois">[64]MOIS!$K$15</definedName>
    <definedName name="Monetary_Precision">#REF!</definedName>
    <definedName name="Monthly_Collect">[24]Assumptions!#REF!</definedName>
    <definedName name="Monthly_Mob_Rev">[24]Assumptions!#REF!</definedName>
    <definedName name="monthpaid">#REF!</definedName>
    <definedName name="Months">#REF!</definedName>
    <definedName name="MONTHS_Y">#REF!</definedName>
    <definedName name="Montly_Rev">[24]Assumptions!#REF!</definedName>
    <definedName name="Murid_Hussain">#REF!</definedName>
    <definedName name="MyF2W">#REF!</definedName>
    <definedName name="MyWord2Go">#REF!</definedName>
    <definedName name="mywords">#REF!</definedName>
    <definedName name="N" localSheetId="5">#REF!</definedName>
    <definedName name="N">#REF!</definedName>
    <definedName name="NAEEM" localSheetId="4">#REF!</definedName>
    <definedName name="NAEEM" localSheetId="10">#REF!</definedName>
    <definedName name="NAEEM" localSheetId="2">#REF!</definedName>
    <definedName name="NAEEM">#REF!</definedName>
    <definedName name="Neat">#REF!</definedName>
    <definedName name="Neat_09">'[65]Neat 9'!$O$114</definedName>
    <definedName name="NET_WEALTH">#REF!</definedName>
    <definedName name="New" localSheetId="4">#REF!</definedName>
    <definedName name="NEW" localSheetId="10">#REF!</definedName>
    <definedName name="NEW" localSheetId="2">#REF!</definedName>
    <definedName name="NEW">#REF!</definedName>
    <definedName name="nn">#REF!</definedName>
    <definedName name="NNN">#REF!</definedName>
    <definedName name="nnnnnnnn" localSheetId="16">'[2]F&amp;F'!#REF!</definedName>
    <definedName name="nnnnnnnn" localSheetId="5">'[2]F&amp;F'!#REF!</definedName>
    <definedName name="nnnnnnnn">'[6]F&amp;F'!#REF!</definedName>
    <definedName name="No.TNR">#REF!</definedName>
    <definedName name="No.TNS">#REF!</definedName>
    <definedName name="NOMEANING1">#REF!</definedName>
    <definedName name="NoOfFFSegments1">#REF!</definedName>
    <definedName name="Northern_Enterprises">#REF!</definedName>
    <definedName name="NOT1_7" localSheetId="4">#REF!</definedName>
    <definedName name="NOT1_7" localSheetId="10">#REF!</definedName>
    <definedName name="NOT1_7" localSheetId="2">#REF!</definedName>
    <definedName name="NOT1_7">#REF!</definedName>
    <definedName name="note">#REF!</definedName>
    <definedName name="Note1" localSheetId="4">#REF!</definedName>
    <definedName name="Note1" localSheetId="10">#REF!</definedName>
    <definedName name="Note1" localSheetId="2">#REF!</definedName>
    <definedName name="Note1">#REF!</definedName>
    <definedName name="Note10" localSheetId="4">#REF!</definedName>
    <definedName name="Note10" localSheetId="10">#REF!</definedName>
    <definedName name="Note10" localSheetId="2">#REF!</definedName>
    <definedName name="Note10">#REF!</definedName>
    <definedName name="Note11" localSheetId="4">#REF!</definedName>
    <definedName name="Note11" localSheetId="10">#REF!</definedName>
    <definedName name="Note11" localSheetId="2">#REF!</definedName>
    <definedName name="Note11">#REF!</definedName>
    <definedName name="Note12" localSheetId="4">#REF!</definedName>
    <definedName name="Note12" localSheetId="10">#REF!</definedName>
    <definedName name="Note12" localSheetId="2">#REF!</definedName>
    <definedName name="Note12">#REF!</definedName>
    <definedName name="Note15" localSheetId="4">#REF!</definedName>
    <definedName name="Note15" localSheetId="10">#REF!</definedName>
    <definedName name="Note15" localSheetId="2">#REF!</definedName>
    <definedName name="Note15">#REF!</definedName>
    <definedName name="Note16" localSheetId="4">#REF!</definedName>
    <definedName name="Note16" localSheetId="10">#REF!</definedName>
    <definedName name="Note16" localSheetId="2">#REF!</definedName>
    <definedName name="Note16">#REF!</definedName>
    <definedName name="Note17" localSheetId="4">#REF!</definedName>
    <definedName name="Note17" localSheetId="10">#REF!</definedName>
    <definedName name="Note17" localSheetId="2">#REF!</definedName>
    <definedName name="Note17">#REF!</definedName>
    <definedName name="Note18" localSheetId="4">#REF!</definedName>
    <definedName name="Note18" localSheetId="10">#REF!</definedName>
    <definedName name="Note18" localSheetId="2">#REF!</definedName>
    <definedName name="Note18">#REF!</definedName>
    <definedName name="Note19" localSheetId="4">#REF!</definedName>
    <definedName name="Note19" localSheetId="10">#REF!</definedName>
    <definedName name="Note19" localSheetId="2">#REF!</definedName>
    <definedName name="Note19">#REF!</definedName>
    <definedName name="Note2" localSheetId="4">#REF!</definedName>
    <definedName name="Note2" localSheetId="10">#REF!</definedName>
    <definedName name="Note2" localSheetId="2">#REF!</definedName>
    <definedName name="Note2">#REF!</definedName>
    <definedName name="Note2.1" localSheetId="4">#REF!</definedName>
    <definedName name="Note2.1" localSheetId="10">#REF!</definedName>
    <definedName name="Note2.1" localSheetId="2">#REF!</definedName>
    <definedName name="Note2.1">#REF!</definedName>
    <definedName name="Note2.10" localSheetId="4">#REF!</definedName>
    <definedName name="Note2.10" localSheetId="10">#REF!</definedName>
    <definedName name="Note2.10" localSheetId="2">#REF!</definedName>
    <definedName name="Note2.10">#REF!</definedName>
    <definedName name="Note2.11" localSheetId="4">#REF!</definedName>
    <definedName name="Note2.11" localSheetId="10">#REF!</definedName>
    <definedName name="Note2.11" localSheetId="2">#REF!</definedName>
    <definedName name="Note2.11">#REF!</definedName>
    <definedName name="Note2.12" localSheetId="4">#REF!</definedName>
    <definedName name="Note2.12" localSheetId="10">#REF!</definedName>
    <definedName name="Note2.12" localSheetId="2">#REF!</definedName>
    <definedName name="Note2.12">#REF!</definedName>
    <definedName name="Note2.13" localSheetId="4">#REF!</definedName>
    <definedName name="Note2.13" localSheetId="10">#REF!</definedName>
    <definedName name="Note2.13" localSheetId="2">#REF!</definedName>
    <definedName name="Note2.13">#REF!</definedName>
    <definedName name="Note2.14" localSheetId="4">#REF!</definedName>
    <definedName name="Note2.14" localSheetId="10">#REF!</definedName>
    <definedName name="Note2.14" localSheetId="2">#REF!</definedName>
    <definedName name="Note2.14">#REF!</definedName>
    <definedName name="Note2.15" localSheetId="4">#REF!</definedName>
    <definedName name="Note2.15" localSheetId="10">#REF!</definedName>
    <definedName name="Note2.15" localSheetId="2">#REF!</definedName>
    <definedName name="Note2.15">#REF!</definedName>
    <definedName name="Note2.16" localSheetId="4">#REF!</definedName>
    <definedName name="Note2.16" localSheetId="10">#REF!</definedName>
    <definedName name="Note2.16" localSheetId="2">#REF!</definedName>
    <definedName name="Note2.16">#REF!</definedName>
    <definedName name="Note2.17" localSheetId="4">#REF!</definedName>
    <definedName name="Note2.17" localSheetId="10">#REF!</definedName>
    <definedName name="Note2.17" localSheetId="2">#REF!</definedName>
    <definedName name="Note2.17">#REF!</definedName>
    <definedName name="Note2.18" localSheetId="4">#REF!</definedName>
    <definedName name="Note2.18" localSheetId="10">#REF!</definedName>
    <definedName name="Note2.18" localSheetId="2">#REF!</definedName>
    <definedName name="Note2.18">#REF!</definedName>
    <definedName name="Note2.19" localSheetId="4">#REF!</definedName>
    <definedName name="Note2.19" localSheetId="10">#REF!</definedName>
    <definedName name="Note2.19" localSheetId="2">#REF!</definedName>
    <definedName name="Note2.19">#REF!</definedName>
    <definedName name="Note2.2" localSheetId="4">#REF!</definedName>
    <definedName name="Note2.2" localSheetId="10">#REF!</definedName>
    <definedName name="Note2.2" localSheetId="2">#REF!</definedName>
    <definedName name="Note2.2">#REF!</definedName>
    <definedName name="Note2.3" localSheetId="4">#REF!</definedName>
    <definedName name="Note2.3" localSheetId="10">#REF!</definedName>
    <definedName name="Note2.3" localSheetId="2">#REF!</definedName>
    <definedName name="Note2.3">#REF!</definedName>
    <definedName name="Note2.4" localSheetId="4">#REF!</definedName>
    <definedName name="Note2.4" localSheetId="10">#REF!</definedName>
    <definedName name="Note2.4" localSheetId="2">#REF!</definedName>
    <definedName name="Note2.4">#REF!</definedName>
    <definedName name="Note2.5" localSheetId="4">#REF!</definedName>
    <definedName name="Note2.5" localSheetId="10">#REF!</definedName>
    <definedName name="Note2.5" localSheetId="2">#REF!</definedName>
    <definedName name="Note2.5">#REF!</definedName>
    <definedName name="Note2.6" localSheetId="4">#REF!</definedName>
    <definedName name="Note2.6" localSheetId="10">#REF!</definedName>
    <definedName name="Note2.6" localSheetId="2">#REF!</definedName>
    <definedName name="Note2.6">#REF!</definedName>
    <definedName name="Note2.7" localSheetId="4">#REF!</definedName>
    <definedName name="Note2.7" localSheetId="10">#REF!</definedName>
    <definedName name="Note2.7" localSheetId="2">#REF!</definedName>
    <definedName name="Note2.7">#REF!</definedName>
    <definedName name="Note2.8" localSheetId="4">#REF!</definedName>
    <definedName name="Note2.8" localSheetId="10">#REF!</definedName>
    <definedName name="Note2.8" localSheetId="2">#REF!</definedName>
    <definedName name="Note2.8">#REF!</definedName>
    <definedName name="Note2.9" localSheetId="4">#REF!</definedName>
    <definedName name="Note2.9" localSheetId="10">#REF!</definedName>
    <definedName name="Note2.9" localSheetId="2">#REF!</definedName>
    <definedName name="Note2.9">#REF!</definedName>
    <definedName name="Note20" localSheetId="4">#REF!</definedName>
    <definedName name="Note20" localSheetId="10">#REF!</definedName>
    <definedName name="Note20" localSheetId="2">#REF!</definedName>
    <definedName name="Note20">#REF!</definedName>
    <definedName name="Note21" localSheetId="4">#REF!</definedName>
    <definedName name="Note21" localSheetId="10">#REF!</definedName>
    <definedName name="Note21" localSheetId="2">#REF!</definedName>
    <definedName name="Note21">#REF!</definedName>
    <definedName name="Note22" localSheetId="4">#REF!</definedName>
    <definedName name="Note22" localSheetId="10">#REF!</definedName>
    <definedName name="Note22" localSheetId="2">#REF!</definedName>
    <definedName name="Note22">#REF!</definedName>
    <definedName name="Note23" localSheetId="4">#REF!</definedName>
    <definedName name="Note23" localSheetId="10">#REF!</definedName>
    <definedName name="Note23" localSheetId="2">#REF!</definedName>
    <definedName name="Note23">#REF!</definedName>
    <definedName name="Note3" localSheetId="4">#REF!</definedName>
    <definedName name="Note3" localSheetId="10">#REF!</definedName>
    <definedName name="Note3" localSheetId="2">#REF!</definedName>
    <definedName name="Note3">#REF!</definedName>
    <definedName name="Note4" localSheetId="4">#REF!</definedName>
    <definedName name="Note4" localSheetId="10">#REF!</definedName>
    <definedName name="Note4" localSheetId="2">#REF!</definedName>
    <definedName name="Note4">#REF!</definedName>
    <definedName name="Note5" localSheetId="4">#REF!</definedName>
    <definedName name="Note5" localSheetId="10">#REF!</definedName>
    <definedName name="Note5" localSheetId="2">#REF!</definedName>
    <definedName name="Note5">#REF!</definedName>
    <definedName name="Note6" localSheetId="4">#REF!</definedName>
    <definedName name="Note6" localSheetId="10">#REF!</definedName>
    <definedName name="Note6" localSheetId="2">#REF!</definedName>
    <definedName name="Note6">#REF!</definedName>
    <definedName name="Note7" localSheetId="4">#REF!</definedName>
    <definedName name="Note7" localSheetId="10">#REF!</definedName>
    <definedName name="Note7" localSheetId="2">#REF!</definedName>
    <definedName name="Note7">#REF!</definedName>
    <definedName name="Note8" localSheetId="4">#REF!</definedName>
    <definedName name="Note8" localSheetId="10">#REF!</definedName>
    <definedName name="Note8" localSheetId="2">#REF!</definedName>
    <definedName name="Note8">#REF!</definedName>
    <definedName name="NOTE8_14" localSheetId="4">#REF!</definedName>
    <definedName name="NOTE8_14" localSheetId="10">#REF!</definedName>
    <definedName name="NOTE8_14" localSheetId="2">#REF!</definedName>
    <definedName name="NOTE8_14">#REF!</definedName>
    <definedName name="Note9" localSheetId="4">#REF!</definedName>
    <definedName name="Note9" localSheetId="10">#REF!</definedName>
    <definedName name="Note9" localSheetId="2">#REF!</definedName>
    <definedName name="Note9">#REF!</definedName>
    <definedName name="NOTES" localSheetId="4">[28]pkage01!#REF!</definedName>
    <definedName name="notes" localSheetId="16">#REF!</definedName>
    <definedName name="NOTES" localSheetId="10">[28]pkage01!#REF!</definedName>
    <definedName name="NOTES" localSheetId="2">[28]pkage01!#REF!</definedName>
    <definedName name="NOTES">[28]pkage01!#REF!</definedName>
    <definedName name="NTCL">#N/A</definedName>
    <definedName name="Num_Pmt_Per_Year" localSheetId="25">#REF!</definedName>
    <definedName name="Num_Pmt_Per_Year" localSheetId="11">#REF!</definedName>
    <definedName name="Num_Pmt_Per_Year">#REF!</definedName>
    <definedName name="Number_of_Payments" localSheetId="21">MATCH(0.01,End_Bal,-1)+1</definedName>
    <definedName name="Number_of_Payments" localSheetId="7">MATCH(0.01,End_Bal,-1)+1</definedName>
    <definedName name="Number_of_Payments" localSheetId="25">MATCH(0.01,'D.tax 20'!End_Bal,-1)+1</definedName>
    <definedName name="Number_of_Payments" localSheetId="22">MATCH(0.01,End_Bal,-1)+1</definedName>
    <definedName name="Number_of_Payments" localSheetId="11">MATCH(0.01,'FA-04'!End_Bal,-1)+1</definedName>
    <definedName name="Number_of_Payments" localSheetId="19">MATCH(0.01,End_Bal,-1)+1</definedName>
    <definedName name="Number_of_Payments" localSheetId="4">MATCH(0.01,grouping!End_Bal,-1)+1</definedName>
    <definedName name="Number_of_Payments" localSheetId="16">#N/A</definedName>
    <definedName name="Number_of_Payments" localSheetId="13">MATCH(0.01,End_Bal,-1)+1</definedName>
    <definedName name="Number_of_Payments" localSheetId="8">MATCH(0.01,End_Bal,-1)+1</definedName>
    <definedName name="Number_of_Payments" localSheetId="10">MATCH(0.01,[54]!End_Bal,-1)+1</definedName>
    <definedName name="Number_of_Payments" localSheetId="6">MATCH(0.01,End_Bal,-1)+1</definedName>
    <definedName name="Number_of_Payments" localSheetId="23">MATCH(0.01,End_Bal,-1)+1</definedName>
    <definedName name="Number_of_Payments" localSheetId="2">MATCH(0.01,End_Bal,-1)+1</definedName>
    <definedName name="Number_of_Payments">MATCH(0.01,End_Bal,-1)+1</definedName>
    <definedName name="Number_of_Selections">#REF!</definedName>
    <definedName name="O" localSheetId="5">#REF!</definedName>
    <definedName name="O">#REF!</definedName>
    <definedName name="O.CHARGES" localSheetId="4">#REF!</definedName>
    <definedName name="O.CHARGES" localSheetId="10">#REF!</definedName>
    <definedName name="O.CHARGES" localSheetId="2">#REF!</definedName>
    <definedName name="O.CHARGES">#REF!</definedName>
    <definedName name="O.INCOME" localSheetId="4">#REF!</definedName>
    <definedName name="O.INCOME" localSheetId="10">#REF!</definedName>
    <definedName name="O.INCOME" localSheetId="2">#REF!</definedName>
    <definedName name="O.INCOME">#REF!</definedName>
    <definedName name="OBLIG">#REF!</definedName>
    <definedName name="od">[66]Assumptions!$L$23</definedName>
    <definedName name="OE_Bal">'[2]F&amp;F'!#REF!</definedName>
    <definedName name="oi" localSheetId="16">[62]DTAX!$G$3</definedName>
    <definedName name="oi" localSheetId="5">[62]DTAX!$G$3</definedName>
    <definedName name="oi">[63]DTAX!$G$3</definedName>
    <definedName name="ONE">#REF!</definedName>
    <definedName name="oooo">'[2]F&amp;F'!#REF!</definedName>
    <definedName name="Op_OtherExp_Rt">[24]Assumptions!#REF!</definedName>
    <definedName name="operating" localSheetId="4">[67]note!#REF!</definedName>
    <definedName name="operating" localSheetId="10">[67]note!#REF!</definedName>
    <definedName name="operating" localSheetId="2">[67]note!#REF!</definedName>
    <definedName name="operating">[67]note!#REF!</definedName>
    <definedName name="Operations" localSheetId="19">#REF!</definedName>
    <definedName name="Operations" localSheetId="4">#REF!</definedName>
    <definedName name="Operations" localSheetId="10">#REF!</definedName>
    <definedName name="Operations" localSheetId="2">#REF!</definedName>
    <definedName name="Operations">#REF!</definedName>
    <definedName name="opertion_revenue">[18]Sheet1!$B$11:$M$11,[18]Sheet1!$B$19:$M$19,[18]Sheet1!$B$27:$M$27</definedName>
    <definedName name="Other_receivables">[19]LEDGER!#REF!</definedName>
    <definedName name="Other_Rev_Rt">[24]Assumptions!#REF!</definedName>
    <definedName name="Other_Serv_Rev_Rt">[68]Assumptions!#REF!</definedName>
    <definedName name="othinc" localSheetId="25">#REF!</definedName>
    <definedName name="othinc">[46]G!#REF!</definedName>
    <definedName name="P" localSheetId="5">#REF!</definedName>
    <definedName name="P">#REF!</definedName>
    <definedName name="P_F" localSheetId="5">#REF!</definedName>
    <definedName name="P_F">#REF!</definedName>
    <definedName name="P_MEMO">#REF!</definedName>
    <definedName name="Pack" localSheetId="4">[28]pkage01!#REF!</definedName>
    <definedName name="Pack" localSheetId="10">[28]pkage01!#REF!</definedName>
    <definedName name="Pack" localSheetId="2">[28]pkage01!#REF!</definedName>
    <definedName name="Pack">[28]pkage01!#REF!</definedName>
    <definedName name="Paje" localSheetId="25">#REF!</definedName>
    <definedName name="Paje" localSheetId="11">#REF!</definedName>
    <definedName name="Paje">#REF!</definedName>
    <definedName name="Pay_Date" localSheetId="25">#REF!</definedName>
    <definedName name="Pay_Date" localSheetId="11">#REF!</definedName>
    <definedName name="Pay_Date">#REF!</definedName>
    <definedName name="Pay_Num" localSheetId="25">#REF!</definedName>
    <definedName name="Pay_Num" localSheetId="11">#REF!</definedName>
    <definedName name="Pay_Num">#REF!</definedName>
    <definedName name="Payment_Date" localSheetId="25">DATE(YEAR('D.tax 20'!Loan_Start),MONTH('D.tax 20'!Loan_Start)+Payment_Number,DAY('D.tax 20'!Loan_Start))</definedName>
    <definedName name="Payment_Date" localSheetId="11">DATE(YEAR('FA-04'!Loan_Start),MONTH('FA-04'!Loan_Start)+Payment_Number,DAY('FA-04'!Loan_Start))</definedName>
    <definedName name="Payment_Date" localSheetId="16">#N/A</definedName>
    <definedName name="Payment_Date">DATE(YEAR([54]!Loan_Start),MONTH([54]!Loan_Start)+Payment_Number,DAY([54]!Loan_Start))</definedName>
    <definedName name="Payments" localSheetId="4">#REF!</definedName>
    <definedName name="Payments" localSheetId="10">#REF!</definedName>
    <definedName name="Payments" localSheetId="2">#REF!</definedName>
    <definedName name="Payments">#REF!</definedName>
    <definedName name="pcr">#REF!</definedName>
    <definedName name="pcv">#REF!</definedName>
    <definedName name="peinta" hidden="1">#REF!</definedName>
    <definedName name="pending">#REF!</definedName>
    <definedName name="pendingadv">#REF!</definedName>
    <definedName name="PeriodSetName1">#REF!</definedName>
    <definedName name="PeriodsInYear" localSheetId="4">#REF!</definedName>
    <definedName name="PeriodsInYear" localSheetId="10">#REF!</definedName>
    <definedName name="PeriodsInYear" localSheetId="2">#REF!</definedName>
    <definedName name="PeriodsInYear">#REF!</definedName>
    <definedName name="periodsinyeer" localSheetId="4">#REF!</definedName>
    <definedName name="periodsinyeer" localSheetId="10">#REF!</definedName>
    <definedName name="periodsinyeer" localSheetId="2">#REF!</definedName>
    <definedName name="periodsinyeer">#REF!</definedName>
    <definedName name="Permanent_investment">[19]LEDGER!#REF!</definedName>
    <definedName name="Petty_Cash_Reg">#REF!</definedName>
    <definedName name="petty_Voucher">#REF!</definedName>
    <definedName name="Phase1">[18]Sheet1!$C$64</definedName>
    <definedName name="pine">#REF!</definedName>
    <definedName name="PL" localSheetId="4">#REF!</definedName>
    <definedName name="PL" localSheetId="16">'[69]Balance Sheet'!#REF!</definedName>
    <definedName name="PL" localSheetId="10">#REF!</definedName>
    <definedName name="PL" localSheetId="2">#REF!</definedName>
    <definedName name="PL">#REF!</definedName>
    <definedName name="po">#REF!</definedName>
    <definedName name="POlicy" localSheetId="4">#REF!</definedName>
    <definedName name="POlicy" localSheetId="10">#REF!</definedName>
    <definedName name="POlicy" localSheetId="2">#REF!</definedName>
    <definedName name="POlicy">#REF!</definedName>
    <definedName name="POSTPAID_RATE_PER_MINUTE">[18]Sheet1!$A$100</definedName>
    <definedName name="Postpaid_Subscribers">[18]Sheet1!$A$17</definedName>
    <definedName name="Postpaid_Usage">[18]Sheet1!$A$37</definedName>
    <definedName name="POT_F" localSheetId="5">#REF!</definedName>
    <definedName name="POT_F">#REF!</definedName>
    <definedName name="POTR" localSheetId="5">#REF!</definedName>
    <definedName name="POTR">#REF!</definedName>
    <definedName name="pp_memo">#REF!</definedName>
    <definedName name="ppepp">[14]Notes!#REF!</definedName>
    <definedName name="ppp" localSheetId="16">'[2]F&amp;F'!#REF!</definedName>
    <definedName name="ppp" localSheetId="5">'[2]F&amp;F'!#REF!</definedName>
    <definedName name="ppp">'[6]F&amp;F'!#REF!</definedName>
    <definedName name="pppp" localSheetId="16">'[62]Depreciation '!$F$9</definedName>
    <definedName name="pppp" localSheetId="5">'[62]Depreciation '!$F$9</definedName>
    <definedName name="pppp">'[63]Depreciation '!$F$9</definedName>
    <definedName name="PR" localSheetId="5">#REF!</definedName>
    <definedName name="PR">#REF!</definedName>
    <definedName name="Pre_tax_materiality">#REF!</definedName>
    <definedName name="PREPAID_RATE_PER_MINUTE">[18]Sheet1!$A$120</definedName>
    <definedName name="Prepaid_Subscribers">[18]Sheet1!$A$25</definedName>
    <definedName name="Prepaid_Usage">[18]Sheet1!$A$46</definedName>
    <definedName name="Princ" localSheetId="25">#REF!</definedName>
    <definedName name="Princ" localSheetId="11">#REF!</definedName>
    <definedName name="Princ">#REF!</definedName>
    <definedName name="Print_1">'[70]Wstat 96'!$A$1:$K$59</definedName>
    <definedName name="Print_2">'[70]Wstat 96'!$M$1:$X$61</definedName>
    <definedName name="Print_3">'[70]Wstat 96'!$A$62:$K$107</definedName>
    <definedName name="Print_4">'[70]Wstat 96'!$A$123:$K$142</definedName>
    <definedName name="_xlnm.Print_Area" localSheetId="1">'Adj entry 13'!$A$1:$E$40</definedName>
    <definedName name="_xlnm.Print_Area" localSheetId="3">'Adj entry 19'!$A$1:$F$46</definedName>
    <definedName name="_xlnm.Print_Area" localSheetId="21">'C.tax computation'!$A$1:$K$49</definedName>
    <definedName name="_xlnm.Print_Area" localSheetId="7">'CASH FLOW'!$A$1:$J$54</definedName>
    <definedName name="_xlnm.Print_Area" localSheetId="9">'Cash Flows'!$A$1:$N$51</definedName>
    <definedName name="_xlnm.Print_Area" localSheetId="25">'D.tax 20'!$A$1:$H$36</definedName>
    <definedName name="_xlnm.Print_Area" localSheetId="22">'Def tax'!$A$1:$H$64</definedName>
    <definedName name="_xlnm.Print_Area" localSheetId="28">'Entries - 20'!$A$1:$G$55</definedName>
    <definedName name="_xlnm.Print_Area" localSheetId="11">'FA-04'!$A$1:$L$205</definedName>
    <definedName name="_xlnm.Print_Area" localSheetId="19">'FIXED ASSETS'!$A$1:$AE$25</definedName>
    <definedName name="_xlnm.Print_Area" localSheetId="20">'Fixed Assets A '!$A$1:$S$56</definedName>
    <definedName name="_xlnm.Print_Area" localSheetId="27">'GI Summary'!$A$1:$F$178</definedName>
    <definedName name="_xlnm.Print_Area" localSheetId="4">grouping!$A$1:$F$844</definedName>
    <definedName name="_xlnm.Print_Area" localSheetId="16">'Note 5'!$A$1:$J$32</definedName>
    <definedName name="_xlnm.Print_Area" localSheetId="13">NOTES!$A$1:$O$384</definedName>
    <definedName name="_xlnm.Print_Area" localSheetId="8">'P &amp; L'!$A$1:$M$51</definedName>
    <definedName name="_xlnm.Print_Area" localSheetId="10">'Policies FC'!$A$1:$N$157</definedName>
    <definedName name="_xlnm.Print_Area" localSheetId="6">SOFP!$A$1:$G$72</definedName>
    <definedName name="_xlnm.Print_Area" localSheetId="23">'Tax dep'!$A$1:$P$28</definedName>
    <definedName name="_xlnm.Print_Area" localSheetId="26">'Tax Dep. Sch-20'!$A$1:$L$28</definedName>
    <definedName name="_xlnm.Print_Area" localSheetId="2">'Trial Combine 19'!$A$1:$J$412</definedName>
    <definedName name="_xlnm.Print_Area" localSheetId="5">Win!$A$1:$K$37</definedName>
    <definedName name="_xlnm.Print_Area">#REF!</definedName>
    <definedName name="PRINT_AREA_MI" localSheetId="19">#REF!</definedName>
    <definedName name="PRINT_AREA_MI" localSheetId="4">#REF!</definedName>
    <definedName name="PRINT_AREA_MI" localSheetId="10">#REF!</definedName>
    <definedName name="PRINT_AREA_MI" localSheetId="2">#REF!</definedName>
    <definedName name="PRINT_AREA_MI" localSheetId="5">#REF!</definedName>
    <definedName name="PRINT_AREA_MI">#REF!</definedName>
    <definedName name="Print_Area_Reset" localSheetId="25">OFFSET('D.tax 20'!Full_Print,0,0,[54]!Last_Row)</definedName>
    <definedName name="Print_Area_Reset" localSheetId="11">OFFSET('FA-04'!Full_Print,0,0,[54]!Last_Row)</definedName>
    <definedName name="Print_Area_Reset" localSheetId="16">#N/A</definedName>
    <definedName name="Print_Area_Reset">OFFSET(Full_Print,0,0,[54]!Last_Row)</definedName>
    <definedName name="Print_Area1">#REF!</definedName>
    <definedName name="PRINT_DEF_TAX" localSheetId="19">#REF!</definedName>
    <definedName name="PRINT_DEF_TAX" localSheetId="4">#REF!</definedName>
    <definedName name="PRINT_DEF_TAX" localSheetId="10">#REF!</definedName>
    <definedName name="PRINT_DEF_TAX" localSheetId="2">#REF!</definedName>
    <definedName name="PRINT_DEF_TAX">#REF!</definedName>
    <definedName name="PRINT_DETAILS" localSheetId="4">#REF!</definedName>
    <definedName name="PRINT_DETAILS" localSheetId="10">#REF!</definedName>
    <definedName name="PRINT_DETAILS" localSheetId="2">#REF!</definedName>
    <definedName name="PRINT_DETAILS">#REF!</definedName>
    <definedName name="_xlnm.Print_Titles" localSheetId="25">#REF!</definedName>
    <definedName name="_xlnm.Print_Titles" localSheetId="4">grouping!$1:$2</definedName>
    <definedName name="_xlnm.Print_Titles" localSheetId="13">NOTES!$1:$3</definedName>
    <definedName name="_xlnm.Print_Titles" localSheetId="10">'Policies FC'!$2:$4</definedName>
    <definedName name="_xlnm.Print_Titles" localSheetId="2">'Trial Combine 19'!$6:$7</definedName>
    <definedName name="_xlnm.Print_Titles">#REF!</definedName>
    <definedName name="Print_Titles_MI" localSheetId="4">#REF!</definedName>
    <definedName name="Print_Titles_MI" localSheetId="10">#REF!</definedName>
    <definedName name="Print_Titles_MI" localSheetId="2">#REF!</definedName>
    <definedName name="Print_Titles_MI">#REF!</definedName>
    <definedName name="Prje" localSheetId="25">#REF!</definedName>
    <definedName name="Prje" localSheetId="11">#REF!</definedName>
    <definedName name="Prje">#REF!</definedName>
    <definedName name="production" hidden="1">{#N/A,#N/A,FALSE,"Sensitivity"}</definedName>
    <definedName name="PROF.SER" localSheetId="4">#REF!</definedName>
    <definedName name="PROF.SER" localSheetId="10">#REF!</definedName>
    <definedName name="PROF.SER" localSheetId="2">#REF!</definedName>
    <definedName name="PROF.SER">#REF!</definedName>
    <definedName name="PROFIT_SPLITUP" localSheetId="4">[71]JV!#REF!</definedName>
    <definedName name="PROFIT_SPLITUP" localSheetId="10">[71]JV!#REF!</definedName>
    <definedName name="PROFIT_SPLITUP" localSheetId="2">[71]JV!#REF!</definedName>
    <definedName name="PROFIT_SPLITUP">[71]JV!#REF!</definedName>
    <definedName name="PROFITALL" localSheetId="5">#REF!</definedName>
    <definedName name="PROFITALL">#REF!</definedName>
    <definedName name="prov\">'[6]F&amp;F'!#REF!</definedName>
    <definedName name="province">#REF!</definedName>
    <definedName name="Prvs_Yr_BD_Amt">[24]Assumptions!#REF!</definedName>
    <definedName name="Prvs_Yr_Recov_Dbt">[24]Assumptions!#REF!</definedName>
    <definedName name="PTA">#REF!</definedName>
    <definedName name="pur">#REF!</definedName>
    <definedName name="Purchases">#REF!</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 localSheetId="9">#REF!</definedName>
    <definedName name="Q" localSheetId="16">#REF!</definedName>
    <definedName name="Q" localSheetId="5">#REF!</definedName>
    <definedName name="Q">#N/A</definedName>
    <definedName name="QCOUNT1">'[3]Quarterly Leave Report'!$Q$10:$Q$15</definedName>
    <definedName name="QCOUNT10">'[3]Quarterly Leave Report'!#REF!</definedName>
    <definedName name="QCOUNT2">'[3]Quarterly Leave Report'!$Q$17:$Q$32</definedName>
    <definedName name="QCOUNT3">'[3]Quarterly Leave Report'!$Q$34:$Q$57</definedName>
    <definedName name="QCOUNT4">'[3]Quarterly Leave Report'!$Q$59:$Q$63</definedName>
    <definedName name="QCOUNT5">'[3]Quarterly Leave Report'!$Q$65:$Q$67</definedName>
    <definedName name="QCOUNT6">'[3]Quarterly Leave Report'!$Q$69:$Q$70</definedName>
    <definedName name="QCOUNT7">'[3]Quarterly Leave Report'!$Q$72:$Q$74</definedName>
    <definedName name="QCOUNT8">'[3]Quarterly Leave Report'!$Q$76:$Q$83</definedName>
    <definedName name="QCOUNT9">'[3]Quarterly Leave Report'!$Q$85:$Q$86</definedName>
    <definedName name="qq" localSheetId="16" hidden="1">'[2]F&amp;F'!#REF!</definedName>
    <definedName name="qq" localSheetId="5" hidden="1">'[2]F&amp;F'!#REF!</definedName>
    <definedName name="qq" hidden="1">'[6]F&amp;F'!#REF!</definedName>
    <definedName name="qwe">#REF!</definedName>
    <definedName name="R.analysis">#REF!</definedName>
    <definedName name="R_" localSheetId="5">#REF!</definedName>
    <definedName name="R_">#REF!</definedName>
    <definedName name="RANG">#REF!</definedName>
    <definedName name="range">#REF!</definedName>
    <definedName name="RANGE1">#REF!</definedName>
    <definedName name="range2">#REF!</definedName>
    <definedName name="RANGE3">#REF!</definedName>
    <definedName name="rate">#REF!</definedName>
    <definedName name="RATE.EXC" localSheetId="4">#REF!</definedName>
    <definedName name="RATE.EXC" localSheetId="10">#REF!</definedName>
    <definedName name="RATE.EXC" localSheetId="2">#REF!</definedName>
    <definedName name="RATE.EXC">#REF!</definedName>
    <definedName name="ratios">#REF!</definedName>
    <definedName name="RE" localSheetId="25" hidden="1">'[5]Revised Budget as per CNPP'!#REF!</definedName>
    <definedName name="RE" localSheetId="16" hidden="1">'[5]Revised Budget as per CNPP'!#REF!</definedName>
    <definedName name="RE" hidden="1">'[5]Revised Budget as per CNPP'!#REF!</definedName>
    <definedName name="Recharge___SIM">[18]Sheet1!$A$137</definedName>
    <definedName name="Red.Cap" localSheetId="4">#REF!</definedName>
    <definedName name="Red.Cap" localSheetId="10">#REF!</definedName>
    <definedName name="Red.Cap" localSheetId="2">#REF!</definedName>
    <definedName name="Red.Cap">#REF!</definedName>
    <definedName name="REDCAP" localSheetId="4">#REF!</definedName>
    <definedName name="REDCAP" localSheetId="10">#REF!</definedName>
    <definedName name="REDCAP" localSheetId="2">#REF!</definedName>
    <definedName name="REDCAP">#REF!</definedName>
    <definedName name="Ref">[18]Sheet1!#REF!</definedName>
    <definedName name="Ref_1">#REF!</definedName>
    <definedName name="Ref_2">#REF!</definedName>
    <definedName name="Ref_3">#REF!</definedName>
    <definedName name="Ref_4">#REF!</definedName>
    <definedName name="ReimbCat">#REF!</definedName>
    <definedName name="RELOC" localSheetId="25">#REF!</definedName>
    <definedName name="RELOC" localSheetId="11">#REF!</definedName>
    <definedName name="RELOC">#REF!</definedName>
    <definedName name="Repatriable_working_capital_loan">[19]LEDGER!#REF!</definedName>
    <definedName name="repayment">'[33]loan 1'!$D$11</definedName>
    <definedName name="repdate">#REF!</definedName>
    <definedName name="RES" localSheetId="4">[28]pkage01!#REF!</definedName>
    <definedName name="RES" localSheetId="10">[28]pkage01!#REF!</definedName>
    <definedName name="RES" localSheetId="2">[28]pkage01!#REF!</definedName>
    <definedName name="RES">[28]pkage01!#REF!</definedName>
    <definedName name="REserv" localSheetId="4">#REF!</definedName>
    <definedName name="REserv" localSheetId="10">#REF!</definedName>
    <definedName name="REserv" localSheetId="2">#REF!</definedName>
    <definedName name="REserv">#REF!</definedName>
    <definedName name="ResponsibilityApplicationID1">#REF!</definedName>
    <definedName name="ResponsibilityID1">#REF!</definedName>
    <definedName name="ResponsibilityName1">#REF!</definedName>
    <definedName name="results_1" localSheetId="16">[20]Projections!#REF!</definedName>
    <definedName name="results_1" localSheetId="5">[20]Projections!#REF!</definedName>
    <definedName name="results_1">[20]Projections!#REF!</definedName>
    <definedName name="results_1_compare" localSheetId="16">[29]Projections!#REF!</definedName>
    <definedName name="results_1_compare" localSheetId="5">[29]Projections!#REF!</definedName>
    <definedName name="results_1_compare">[30]Projections!#REF!</definedName>
    <definedName name="RF" localSheetId="4">[28]pkage01!#REF!</definedName>
    <definedName name="RF" localSheetId="10">[28]pkage01!#REF!</definedName>
    <definedName name="RF" localSheetId="2">[28]pkage01!#REF!</definedName>
    <definedName name="RF">[28]pkage01!#REF!</definedName>
    <definedName name="rozan1">[72]INV!$A$7:$I$72</definedName>
    <definedName name="RUN.FIN" localSheetId="4">#REF!</definedName>
    <definedName name="RUN.FIN" localSheetId="10">#REF!</definedName>
    <definedName name="RUN.FIN" localSheetId="2">#REF!</definedName>
    <definedName name="RUN.FIN">#REF!</definedName>
    <definedName name="s" localSheetId="9">[16]MAIN!#REF!</definedName>
    <definedName name="s" localSheetId="25">#REF!</definedName>
    <definedName name="s" localSheetId="11">#REF!</definedName>
    <definedName name="s" localSheetId="5">#REF!</definedName>
    <definedName name="s">#REF!</definedName>
    <definedName name="SAFASF">[20]Projections!#REF!</definedName>
    <definedName name="sal">#REF!</definedName>
    <definedName name="SALARY_PAYABLE" localSheetId="10">#REF!</definedName>
    <definedName name="SALARY_PAYABLE" localSheetId="2">#REF!</definedName>
    <definedName name="SALARY_PAYABLE">#REF!</definedName>
    <definedName name="SALE_FIG" localSheetId="4">#REF!</definedName>
    <definedName name="SALE_FIG" localSheetId="10">#REF!</definedName>
    <definedName name="SALE_FIG" localSheetId="2">#REF!</definedName>
    <definedName name="SALE_FIG">#REF!</definedName>
    <definedName name="SALES" localSheetId="4">#REF!</definedName>
    <definedName name="SALES" localSheetId="10">#REF!</definedName>
    <definedName name="SALES" localSheetId="2">#REF!</definedName>
    <definedName name="SALES">#REF!</definedName>
    <definedName name="SalesGrowthRate">#REF!</definedName>
    <definedName name="SAVE" localSheetId="4">#REF!</definedName>
    <definedName name="SAVE" localSheetId="10">#REF!</definedName>
    <definedName name="SAVE" localSheetId="2">#REF!</definedName>
    <definedName name="SAVE">#REF!</definedName>
    <definedName name="SC" localSheetId="4">[28]pkage01!#REF!</definedName>
    <definedName name="SC" localSheetId="10">[28]pkage01!#REF!</definedName>
    <definedName name="SC" localSheetId="2">[28]pkage01!#REF!</definedName>
    <definedName name="SC">[28]pkage01!#REF!</definedName>
    <definedName name="scenarios" localSheetId="5">#REF!</definedName>
    <definedName name="scenarios">#REF!</definedName>
    <definedName name="Sched_Pay" localSheetId="25">#REF!</definedName>
    <definedName name="Sched_Pay" localSheetId="11">#REF!</definedName>
    <definedName name="Sched_Pay">#REF!</definedName>
    <definedName name="Scheduled_Extra_Payments" localSheetId="25">#REF!</definedName>
    <definedName name="Scheduled_Extra_Payments" localSheetId="11">#REF!</definedName>
    <definedName name="Scheduled_Extra_Payments">#REF!</definedName>
    <definedName name="Scheduled_Interest_Rate" localSheetId="25">#REF!</definedName>
    <definedName name="Scheduled_Interest_Rate" localSheetId="11">#REF!</definedName>
    <definedName name="Scheduled_Interest_Rate">#REF!</definedName>
    <definedName name="Scheduled_Monthly_Payment" localSheetId="25">#REF!</definedName>
    <definedName name="Scheduled_Monthly_Payment" localSheetId="11">#REF!</definedName>
    <definedName name="Scheduled_Monthly_Payment">#REF!</definedName>
    <definedName name="sdadasd" localSheetId="16" hidden="1">{#N/A,#N/A,FALSE,"Sensitivity"}</definedName>
    <definedName name="sdadasd" hidden="1">{#N/A,#N/A,FALSE,"Sensitivity"}</definedName>
    <definedName name="sdesdes" localSheetId="4">#REF!</definedName>
    <definedName name="sdesdes" localSheetId="10">#REF!</definedName>
    <definedName name="sdesdes" localSheetId="2">#REF!</definedName>
    <definedName name="sdesdes">#REF!</definedName>
    <definedName name="sdf" localSheetId="25">#REF!</definedName>
    <definedName name="sdf" localSheetId="11">#REF!</definedName>
    <definedName name="sdf">#REF!</definedName>
    <definedName name="sdfasfas" localSheetId="4">#REF!</definedName>
    <definedName name="sdfasfas" localSheetId="10">#REF!</definedName>
    <definedName name="sdfasfas" localSheetId="2">#REF!</definedName>
    <definedName name="sdfasfas">#REF!</definedName>
    <definedName name="sdfg" localSheetId="9" hidden="1">'[6]F&amp;F'!#REF!</definedName>
    <definedName name="sdfg" localSheetId="4">[73]Acct!#REF!</definedName>
    <definedName name="sdfg" localSheetId="16" hidden="1">'[2]F&amp;F'!#REF!</definedName>
    <definedName name="sdfg" localSheetId="10">[73]Acct!#REF!</definedName>
    <definedName name="sdfg" localSheetId="2">[73]Acct!#REF!</definedName>
    <definedName name="sdfg" localSheetId="5" hidden="1">'[2]F&amp;F'!#REF!</definedName>
    <definedName name="sdfg">[73]Acct!#REF!</definedName>
    <definedName name="sdgsdgsg" localSheetId="16" hidden="1">{#N/A,#N/A,FALSE,"Sensitivity"}</definedName>
    <definedName name="sdgsdgsg" hidden="1">{#N/A,#N/A,FALSE,"Sensitivity"}</definedName>
    <definedName name="sdjhaskd">#REF!</definedName>
    <definedName name="sdsdw">#REF!</definedName>
    <definedName name="sectionNames">#REF!</definedName>
    <definedName name="Security_deposits">[19]LEDGER!#REF!</definedName>
    <definedName name="selling" localSheetId="19">#REF!</definedName>
    <definedName name="selling" localSheetId="4">#REF!</definedName>
    <definedName name="selling" localSheetId="10">#REF!</definedName>
    <definedName name="selling" localSheetId="2">#REF!</definedName>
    <definedName name="selling">#REF!</definedName>
    <definedName name="SetOfBooksID1">#REF!</definedName>
    <definedName name="SetOfBooksName1">#REF!</definedName>
    <definedName name="Sh.Cap" localSheetId="19">#REF!</definedName>
    <definedName name="Sh.Cap" localSheetId="4">#REF!</definedName>
    <definedName name="Sh.Cap" localSheetId="10">#REF!</definedName>
    <definedName name="Sh.Cap" localSheetId="2">#REF!</definedName>
    <definedName name="Sh.Cap">#REF!</definedName>
    <definedName name="sharecapital" localSheetId="19">#REF!</definedName>
    <definedName name="sharecapital" localSheetId="4">#REF!</definedName>
    <definedName name="sharecapital" localSheetId="10">#REF!</definedName>
    <definedName name="sharecapital" localSheetId="2">#REF!</definedName>
    <definedName name="sharecapital">#REF!</definedName>
    <definedName name="Sheet_Index">#REF!</definedName>
    <definedName name="sheet1">#REF!</definedName>
    <definedName name="SHEETA" localSheetId="25">#REF!</definedName>
    <definedName name="SHEETA" localSheetId="11">#REF!</definedName>
    <definedName name="SHEETA">#REF!</definedName>
    <definedName name="SHEETB" localSheetId="25">#REF!</definedName>
    <definedName name="SHEETB" localSheetId="11">#REF!</definedName>
    <definedName name="SHEETB">#REF!</definedName>
    <definedName name="SHEETC" localSheetId="25">#REF!</definedName>
    <definedName name="SHEETC" localSheetId="11">#REF!</definedName>
    <definedName name="SHEETC">#REF!</definedName>
    <definedName name="Sherkat">#REF!</definedName>
    <definedName name="ShowSeparator1">#REF!</definedName>
    <definedName name="SIG_CONTROLE" hidden="1">#REF!</definedName>
    <definedName name="SIG_DERNIERECOLONNE" hidden="1">#REF!</definedName>
    <definedName name="SIG_LG11_firstLine" hidden="1">#REF!</definedName>
    <definedName name="SIG_LG11_H349" hidden="1">#REF!</definedName>
    <definedName name="SIG_LG11_H353" hidden="1">#REF!</definedName>
    <definedName name="SIG_LG11_H354" hidden="1">#REF!</definedName>
    <definedName name="SIG_LG11_H357" hidden="1">#REF!</definedName>
    <definedName name="SIG_LG11_H358" hidden="1">#REF!</definedName>
    <definedName name="SIG_LG11_H359" hidden="1">#REF!</definedName>
    <definedName name="SIG_LG11_H388" hidden="1">#REF!</definedName>
    <definedName name="SIG_LG11_H395" hidden="1">#REF!</definedName>
    <definedName name="SIG_LG11_IsControlOK" hidden="1">#REF!</definedName>
    <definedName name="SIG_LG11_lastLine" hidden="1">#REF!</definedName>
    <definedName name="SIG_LG11_ListeRangeMontant" hidden="1">#REF!</definedName>
    <definedName name="SIG_LG11_TITLECOL" hidden="1">#REF!</definedName>
    <definedName name="SIG_LG11_TITLELINE" hidden="1">#REF!</definedName>
    <definedName name="SIG_PTBD_LG11" hidden="1">#REF!</definedName>
    <definedName name="SIG_PTHG_LG11" hidden="1">#REF!</definedName>
    <definedName name="sigledev1">[74]renvoi!$A$5</definedName>
    <definedName name="sigledev1_19">#REF!</definedName>
    <definedName name="sigledev1_20">#REF!</definedName>
    <definedName name="sigledev4">[74]renvoi!$A$8</definedName>
    <definedName name="sigledev4_19">#REF!</definedName>
    <definedName name="sigledev4_20">#REF!</definedName>
    <definedName name="SLOF4">'[3]Monthly Leave Report'!$AM$61:$AN$65</definedName>
    <definedName name="SLOFT1">'[3]Monthly Leave Report'!$AM$10:$AN$15</definedName>
    <definedName name="SLOFT10">'[3]Monthly Leave Report'!#REF!</definedName>
    <definedName name="SLOFT2">'[3]Monthly Leave Report'!$AM$17:$AN$33</definedName>
    <definedName name="SLOFT3">'[3]Monthly Leave Report'!$AM$35:$AN$59</definedName>
    <definedName name="SLOFT5">'[3]Monthly Leave Report'!$AM$67:$AN$69</definedName>
    <definedName name="SLOFT6">'[3]Monthly Leave Report'!$AM$71:$AN$72</definedName>
    <definedName name="SLOFT7">'[3]Monthly Leave Report'!$AM$74:$AN$76</definedName>
    <definedName name="SLOFT8">'[3]Monthly Leave Report'!$AM$78:$AN$85</definedName>
    <definedName name="SLOFT9">'[3]Monthly Leave Report'!$AM$87:$AN$88</definedName>
    <definedName name="SNA" localSheetId="4">#REF!</definedName>
    <definedName name="SNA" localSheetId="10">#REF!</definedName>
    <definedName name="SNA" localSheetId="2">#REF!</definedName>
    <definedName name="SNA">#REF!</definedName>
    <definedName name="SNS" localSheetId="4">[28]pkage01!#REF!</definedName>
    <definedName name="SNS" localSheetId="10">[28]pkage01!#REF!</definedName>
    <definedName name="SNS" localSheetId="2">[28]pkage01!#REF!</definedName>
    <definedName name="SNS">[28]pkage01!#REF!</definedName>
    <definedName name="so">'[51]Stancom 29'!#REF!</definedName>
    <definedName name="SOC" localSheetId="4">[28]pkage01!#REF!</definedName>
    <definedName name="SOC" localSheetId="10">[28]pkage01!#REF!</definedName>
    <definedName name="SOC" localSheetId="2">[28]pkage01!#REF!</definedName>
    <definedName name="SOC">[28]pkage01!#REF!</definedName>
    <definedName name="SOCE">#REF!</definedName>
    <definedName name="sort">#REF!</definedName>
    <definedName name="source" localSheetId="16">[75]Feuil2!$A$1:$IV$65536</definedName>
    <definedName name="source">[75]Feuil2!$A:$IV</definedName>
    <definedName name="spec" localSheetId="4">#REF!</definedName>
    <definedName name="spec" localSheetId="10">#REF!</definedName>
    <definedName name="spec" localSheetId="2">#REF!</definedName>
    <definedName name="spec">#REF!</definedName>
    <definedName name="ss" localSheetId="16" hidden="1">{#N/A,#N/A,FALSE,"Sensitivity"}</definedName>
    <definedName name="ss" hidden="1">{#N/A,#N/A,FALSE,"Sensitivity"}</definedName>
    <definedName name="SSK">#REF!</definedName>
    <definedName name="sss">[16]MAIN!#REF!</definedName>
    <definedName name="Staff" localSheetId="4">#REF!</definedName>
    <definedName name="Staff" localSheetId="10">#REF!</definedName>
    <definedName name="Staff" localSheetId="2">#REF!</definedName>
    <definedName name="Staff">#REF!</definedName>
    <definedName name="staffing" localSheetId="5">#REF!</definedName>
    <definedName name="staffing">#REF!</definedName>
    <definedName name="status">#REF!</definedName>
    <definedName name="status1validation">#REF!</definedName>
    <definedName name="status2validation">#REF!</definedName>
    <definedName name="STOCK.IN.TRADE" localSheetId="4">#REF!</definedName>
    <definedName name="STOCK.IN.TRADE" localSheetId="10">#REF!</definedName>
    <definedName name="STOCK.IN.TRADE" localSheetId="2">#REF!</definedName>
    <definedName name="STOCK.IN.TRADE">#REF!</definedName>
    <definedName name="SubCont_Com_Rt">[24]Assumptions!#REF!</definedName>
    <definedName name="SUFFIX" localSheetId="16">'[76]Employee Information Sheet'!$S$9:$S$44</definedName>
    <definedName name="SUFFIX">'[77]Employee Information Sheet'!$S$9:$S$44</definedName>
    <definedName name="SUPLEMENTARY">#REF!</definedName>
    <definedName name="SUPLEMENTARY1">#REF!</definedName>
    <definedName name="T" localSheetId="9">#REF!</definedName>
    <definedName name="t" localSheetId="4">#REF!</definedName>
    <definedName name="t" localSheetId="10">#REF!</definedName>
    <definedName name="t" localSheetId="2">#REF!</definedName>
    <definedName name="T" localSheetId="5">#REF!</definedName>
    <definedName name="t">#REF!</definedName>
    <definedName name="T.DEBTS" localSheetId="4">#REF!</definedName>
    <definedName name="T.DEBTS" localSheetId="10">#REF!</definedName>
    <definedName name="T.DEBTS" localSheetId="2">#REF!</definedName>
    <definedName name="T.DEBTS">#REF!</definedName>
    <definedName name="TableName">"Dummy"</definedName>
    <definedName name="tAX" localSheetId="4">[28]pkage01!#REF!</definedName>
    <definedName name="TAX" localSheetId="16">#REF!</definedName>
    <definedName name="tAX" localSheetId="10">[28]pkage01!#REF!</definedName>
    <definedName name="tAX" localSheetId="2">[28]pkage01!#REF!</definedName>
    <definedName name="TAX" localSheetId="5">#REF!</definedName>
    <definedName name="tAX">[28]pkage01!#REF!</definedName>
    <definedName name="Tax_deducted_at_source">[19]LEDGER!#REF!</definedName>
    <definedName name="Tax_Effect_Income">#REF!</definedName>
    <definedName name="Tax_Effect_Liabs">#REF!</definedName>
    <definedName name="Tax_Effect_RetEarn">#REF!</definedName>
    <definedName name="TAX_FIG" localSheetId="4">#REF!</definedName>
    <definedName name="TAX_FIG" localSheetId="10">#REF!</definedName>
    <definedName name="TAX_FIG" localSheetId="2">#REF!</definedName>
    <definedName name="TAX_FIG">#REF!</definedName>
    <definedName name="Tax_provision">[34]Parameters!#REF!</definedName>
    <definedName name="TAX_RATE" localSheetId="4">#REF!</definedName>
    <definedName name="TAX_RATE" localSheetId="10">#REF!</definedName>
    <definedName name="TAX_RATE" localSheetId="2">#REF!</definedName>
    <definedName name="TAX_RATE">#REF!</definedName>
    <definedName name="TAXATION" localSheetId="4">#REF!</definedName>
    <definedName name="TAXATION" localSheetId="10">#REF!</definedName>
    <definedName name="TAXATION" localSheetId="2">#REF!</definedName>
    <definedName name="TAXATION">#REF!</definedName>
    <definedName name="taxess">#REF!</definedName>
    <definedName name="TB" localSheetId="16">[31]TB!$B$7:$I$3452</definedName>
    <definedName name="TB">[32]TB!$B$7:$I$3452</definedName>
    <definedName name="TBC" localSheetId="16">[31]TB!$B$7:$K$3452</definedName>
    <definedName name="TBC">[32]TB!$B$7:$K$3452</definedName>
    <definedName name="Team1">'[3]Monthly Leave Report'!$D$9</definedName>
    <definedName name="Team10">'[3]Monthly Leave Report'!$D$89</definedName>
    <definedName name="Team11">'[3]Quarterly Leave Report'!$D$9</definedName>
    <definedName name="Team12">'[3]Quarterly Leave Report'!$D$16</definedName>
    <definedName name="Team13">'[3]Quarterly Leave Report'!$D$33</definedName>
    <definedName name="Team14">'[3]Quarterly Leave Report'!$D$58</definedName>
    <definedName name="Team15">'[3]Quarterly Leave Report'!$D$64</definedName>
    <definedName name="Team16">'[3]Quarterly Leave Report'!$D$68</definedName>
    <definedName name="Team17">'[3]Quarterly Leave Report'!$D$71</definedName>
    <definedName name="Team18">'[3]Quarterly Leave Report'!$D$75</definedName>
    <definedName name="Team19">'[3]Quarterly Leave Report'!$D$84</definedName>
    <definedName name="Team2">'[3]Monthly Leave Report'!$D$16</definedName>
    <definedName name="Team20">'[3]Quarterly Leave Report'!$D$88</definedName>
    <definedName name="Team3">'[3]Monthly Leave Report'!$D$34</definedName>
    <definedName name="Team4">'[3]Monthly Leave Report'!$D$60</definedName>
    <definedName name="Team5">'[3]Monthly Leave Report'!$D$66</definedName>
    <definedName name="Team6">'[3]Monthly Leave Report'!$D$70</definedName>
    <definedName name="Team7">'[3]Monthly Leave Report'!$D$73</definedName>
    <definedName name="Team8">'[3]Monthly Leave Report'!$D$77</definedName>
    <definedName name="Team9">'[3]Monthly Leave Report'!$D$86</definedName>
    <definedName name="Temp_Winner">#REF!</definedName>
    <definedName name="TEST0">#REF!</definedName>
    <definedName name="TESTHKEY">#REF!</definedName>
    <definedName name="TESTKEYS">#REF!</definedName>
    <definedName name="TESTVKEY">#REF!</definedName>
    <definedName name="TextRefCopy1" localSheetId="16">#REF!</definedName>
    <definedName name="TextRefCopy1">'[78]CMA debtors'!#REF!</definedName>
    <definedName name="TextRefCopy11">#REF!</definedName>
    <definedName name="TextRefCopy12">#REF!</definedName>
    <definedName name="TextRefCopy13">#REF!</definedName>
    <definedName name="TextRefCopy14" localSheetId="16">#REF!</definedName>
    <definedName name="TextRefCopy14">[79]Addition!$F$133</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0">#REF!</definedName>
    <definedName name="TextRefCopy21">#REF!</definedName>
    <definedName name="TextRefCopy22">#REF!</definedName>
    <definedName name="TextRefCopy23">'[80]Doubling chg rec. frm wvg'!$C$25</definedName>
    <definedName name="TextRefCopy24">#REF!</definedName>
    <definedName name="TextRefCopy26">'[81]Lead Sheet'!$I$30</definedName>
    <definedName name="TextRefCopy27">'[81]Lead Sheet'!$I$32</definedName>
    <definedName name="TextRefCopy29">#REF!</definedName>
    <definedName name="TextRefCopy3">#REF!</definedName>
    <definedName name="TextRefCopy31">'[82]Corroborative Enquiry'!#REF!</definedName>
    <definedName name="TextRefCopy33">'[82]Corroborative Enquiry'!#REF!</definedName>
    <definedName name="TextRefCopy34">#REF!</definedName>
    <definedName name="TextRefCopy36">#REF!</definedName>
    <definedName name="TextRefCopy37" localSheetId="16">'[14]Finished goods'!#REF!</definedName>
    <definedName name="TextRefCopy37">'[82]Corroborative Enquiry'!#REF!</definedName>
    <definedName name="TextRefCopy38">'[82]Corroborative Enquiry'!#REF!</definedName>
    <definedName name="TextRefCopy39">'[82]Corroborative Enquiry'!#REF!</definedName>
    <definedName name="TextRefCopy4" localSheetId="16">#REF!</definedName>
    <definedName name="TextRefCopy4">[83]Inquiry!#REF!</definedName>
    <definedName name="TextRefCopy40">'[82]Corroborative Enquiry'!#REF!</definedName>
    <definedName name="TextRefCopy41">'[82]Corroborative Enquiry'!#REF!</definedName>
    <definedName name="TextRefCopy42">'[82]Corroborative Enquiry'!#REF!</definedName>
    <definedName name="TextRefCopy44">'[82]Corroborative Enquiry'!#REF!</definedName>
    <definedName name="TextRefCopy45">'[82]Corroborative Enquiry'!#REF!</definedName>
    <definedName name="TextRefCopy46">'[82]Corroborative Enquiry'!#REF!</definedName>
    <definedName name="TextRefCopy47">'[82]Corroborative Enquiry'!#REF!</definedName>
    <definedName name="TextRefCopy48">'[82]Corroborative Enquiry'!#REF!</definedName>
    <definedName name="TextRefCopy5" localSheetId="16">#REF!</definedName>
    <definedName name="TextRefCopy5">[83]Inquiry!#REF!</definedName>
    <definedName name="TextRefCopy6" localSheetId="16">#REF!</definedName>
    <definedName name="TextRefCopy6">[83]Inquiry!#REF!</definedName>
    <definedName name="TextRefCopy7" localSheetId="16">#REF!</definedName>
    <definedName name="TextRefCopy7">[83]Inquiry!#REF!</definedName>
    <definedName name="TextRefCopy8" localSheetId="16">#REF!</definedName>
    <definedName name="TextRefCopy8">[83]Inquiry!#REF!</definedName>
    <definedName name="TextRefCopy9" localSheetId="16">[14]Notes!#REF!</definedName>
    <definedName name="TextRefCopy9">[84]Notes!#REF!</definedName>
    <definedName name="TextRefCopyRangeCount" localSheetId="16" hidden="1">17</definedName>
    <definedName name="TextRefCopyRangeCount" hidden="1">1</definedName>
    <definedName name="thk" localSheetId="16" hidden="1">{#N/A,#N/A,FALSE,"Sensitivity"}</definedName>
    <definedName name="thk" hidden="1">{#N/A,#N/A,FALSE,"Sensitivity"}</definedName>
    <definedName name="thk." localSheetId="16" hidden="1">{#N/A,#N/A,FALSE,"Sensitivity"}</definedName>
    <definedName name="thk." hidden="1">{#N/A,#N/A,FALSE,"Sensitivity"}</definedName>
    <definedName name="Three_Mnth_Collect_Rt">[24]Assumptions!#REF!</definedName>
    <definedName name="Title1">'[3]Quarterly Leave Report'!$AL$6</definedName>
    <definedName name="Title2">'[3]Quarterly Leave Report'!$AV$6</definedName>
    <definedName name="Title3">'[3]Quarterly Leave Report'!$BF$6</definedName>
    <definedName name="TItle4">'[3]Quarterly Leave Report'!$BP$6</definedName>
    <definedName name="TMP_AFN07_08">#REF!</definedName>
    <definedName name="TMP_AFN08_09">[85]TMP!$D$23</definedName>
    <definedName name="TMP_USD07_08">#REF!</definedName>
    <definedName name="TMP_USD08_09">[85]TMP!$I$23</definedName>
    <definedName name="TNR">#REF!</definedName>
    <definedName name="tnt">#REF!</definedName>
    <definedName name="TOP">#REF!</definedName>
    <definedName name="Tot_knw_Xfoot">#REF!</definedName>
    <definedName name="Tot_lik_Xfoot">#REF!</definedName>
    <definedName name="total">#REF!</definedName>
    <definedName name="Total_Amount">#REF!</definedName>
    <definedName name="Total_Interest" localSheetId="25">#REF!</definedName>
    <definedName name="Total_Interest" localSheetId="11">#REF!</definedName>
    <definedName name="Total_Interest">#REF!</definedName>
    <definedName name="Total_Pay" localSheetId="25">#REF!</definedName>
    <definedName name="Total_Pay" localSheetId="11">#REF!</definedName>
    <definedName name="Total_Pay">#REF!</definedName>
    <definedName name="Total_Payment" localSheetId="25">Scheduled_Payment+Extra_Payment</definedName>
    <definedName name="Total_Payment" localSheetId="11">Scheduled_Payment+Extra_Payment</definedName>
    <definedName name="Total_Payment" localSheetId="16">Scheduled_Payment+Extra_Payment</definedName>
    <definedName name="Total_Payment">Scheduled_Payment+Extra_Payment</definedName>
    <definedName name="total2">#REF!</definedName>
    <definedName name="tra">#REF!</definedName>
    <definedName name="Translational" localSheetId="16" hidden="1">{#N/A,#N/A,FALSE,"Sensitivity"}</definedName>
    <definedName name="Translational" localSheetId="5" hidden="1">{#N/A,#N/A,FALSE,"Sensitivity"}</definedName>
    <definedName name="Translational" hidden="1">{#N/A,#N/A,FALSE,"Sensitivity"}</definedName>
    <definedName name="trate" localSheetId="16">'[86]Def. Tax'!#REF!</definedName>
    <definedName name="trate">'[86]Def. Tax'!#REF!</definedName>
    <definedName name="Travelling___conveyance">[19]LEDGER!#REF!</definedName>
    <definedName name="try">#REF!</definedName>
    <definedName name="try_12">#REF!</definedName>
    <definedName name="try_13">#REF!</definedName>
    <definedName name="try_14">#REF!</definedName>
    <definedName name="try_15">#REF!</definedName>
    <definedName name="try_16">#REF!</definedName>
    <definedName name="try_17">#REF!</definedName>
    <definedName name="try_18">#REF!</definedName>
    <definedName name="try_19">#REF!</definedName>
    <definedName name="try_20">#REF!</definedName>
    <definedName name="try_5">#REF!</definedName>
    <definedName name="Turnover_Audit_Work_Done">[87]Q1!#REF!</definedName>
    <definedName name="Turnover_Conclusion">[87]Q1!#REF!</definedName>
    <definedName name="TWO">#REF!</definedName>
    <definedName name="tyui" localSheetId="16" hidden="1">'[2]F&amp;F'!#REF!</definedName>
    <definedName name="tyui" localSheetId="5" hidden="1">'[2]F&amp;F'!#REF!</definedName>
    <definedName name="tyui" hidden="1">'[6]F&amp;F'!#REF!</definedName>
    <definedName name="uiop" localSheetId="16">'[2]F&amp;F'!#REF!</definedName>
    <definedName name="uiop" localSheetId="5">'[2]F&amp;F'!#REF!</definedName>
    <definedName name="uiop">'[6]F&amp;F'!#REF!</definedName>
    <definedName name="umar">Scheduled_Payment+Extra_Payment</definedName>
    <definedName name="Units">#REF!</definedName>
    <definedName name="UPDATE" localSheetId="4">#REF!</definedName>
    <definedName name="UPDATE" localSheetId="10">#REF!</definedName>
    <definedName name="UPDATE" localSheetId="2">#REF!</definedName>
    <definedName name="UPDATE">#REF!</definedName>
    <definedName name="uuuuuuuuuuuuu" localSheetId="16">'[88]Tax Dep.'!$L$9</definedName>
    <definedName name="uuuuuuuuuuuuu">'[88]Tax Dep.'!$L$9</definedName>
    <definedName name="V_F" localSheetId="5">#REF!</definedName>
    <definedName name="V_F">#REF!</definedName>
    <definedName name="VALUE" localSheetId="25">#REF!</definedName>
    <definedName name="VALUE">#REF!</definedName>
    <definedName name="Value_Added_Service_as_a___of_Service_Rev.">[18]Sheet1!$A$166</definedName>
    <definedName name="Values_Entered" localSheetId="21">IF(Loan_Amount*Interest_Rate*Loan_Years*Loan_Start&gt;0,1,0)</definedName>
    <definedName name="Values_Entered" localSheetId="7">IF(Loan_Amount*Interest_Rate*Loan_Years*Loan_Start&gt;0,1,0)</definedName>
    <definedName name="Values_Entered" localSheetId="25">IF(Loan__Amount*'D.tax 20'!Interest_Rate*'D.tax 20'!Loan_Years*'D.tax 20'!Loan_Start&gt;0,1,0)</definedName>
    <definedName name="Values_Entered" localSheetId="22">IF(Loan_Amount*Interest_Rate*Loan_Years*Loan_Start&gt;0,1,0)</definedName>
    <definedName name="Values_Entered" localSheetId="11">IF(Loan__Amount*'FA-04'!Interest_Rate*'FA-04'!Loan_Years*'FA-04'!Loan_Start&gt;0,1,0)</definedName>
    <definedName name="Values_Entered" localSheetId="19">IF(Loan_Amount*Interest_Rate*Loan_Years*Loan_Start&gt;0,1,0)</definedName>
    <definedName name="Values_Entered" localSheetId="4">IF(grouping!Loan_Amount*grouping!Interest_Rate*grouping!Loan_Years*grouping!Loan_Start&gt;0,1,0)</definedName>
    <definedName name="Values_Entered" localSheetId="16">#N/A</definedName>
    <definedName name="Values_Entered" localSheetId="13">IF(Loan_Amount*Interest_Rate*Loan_Years*Loan_Start&gt;0,1,0)</definedName>
    <definedName name="Values_Entered" localSheetId="8">IF(Loan_Amount*Interest_Rate*Loan_Years*Loan_Start&gt;0,1,0)</definedName>
    <definedName name="Values_Entered" localSheetId="10">IF([54]!Loan_Amount*[54]!Interest_Rate*[54]!Loan_Years*[54]!Loan_Start&gt;0,1,0)</definedName>
    <definedName name="Values_Entered" localSheetId="6">IF(Loan_Amount*Interest_Rate*Loan_Years*Loan_Start&gt;0,1,0)</definedName>
    <definedName name="Values_Entered" localSheetId="23">IF(Loan_Amount*Interest_Rate*Loan_Years*Loan_Start&gt;0,1,0)</definedName>
    <definedName name="Values_Entered" localSheetId="2">IF(Loan_Amount*Interest_Rate*Loan_Years*Loan_Start&gt;0,1,0)</definedName>
    <definedName name="Values_Entered">IF(Loan_Amount*Interest_Rate*Loan_Years*Loan_Start&gt;0,1,0)</definedName>
    <definedName name="Veh_Bal">'[2]F&amp;F'!#REF!</definedName>
    <definedName name="vempire">[24]Assumptions!#REF!</definedName>
    <definedName name="vital5">'[40]Customize Your Invoice'!$E$15</definedName>
    <definedName name="VLOOKUP_TEST" localSheetId="25">#REF!</definedName>
    <definedName name="VLOOKUP_TEST" localSheetId="11">#REF!</definedName>
    <definedName name="VLOOKUP_TEST">#REF!</definedName>
    <definedName name="VR" localSheetId="5">#REF!</definedName>
    <definedName name="VR">#REF!</definedName>
    <definedName name="W" localSheetId="5">#REF!</definedName>
    <definedName name="W">#REF!</definedName>
    <definedName name="W.Capital" localSheetId="19">#REF!</definedName>
    <definedName name="W.Capital" localSheetId="4">#REF!</definedName>
    <definedName name="W.Capital" localSheetId="10">#REF!</definedName>
    <definedName name="W.Capital" localSheetId="2">#REF!</definedName>
    <definedName name="W.Capital">#REF!</definedName>
    <definedName name="wert" localSheetId="16" hidden="1">'[2]F&amp;F'!#REF!</definedName>
    <definedName name="wert" localSheetId="5" hidden="1">'[2]F&amp;F'!#REF!</definedName>
    <definedName name="wert" hidden="1">'[6]F&amp;F'!#REF!</definedName>
    <definedName name="with">#REF!</definedName>
    <definedName name="wordings">#REF!</definedName>
    <definedName name="Words">#REF!</definedName>
    <definedName name="Words2">#REF!</definedName>
    <definedName name="Work__in__Progress">[19]LEDGER!#REF!</definedName>
    <definedName name="working" localSheetId="19" hidden="1">[11]Acct!#REF!</definedName>
    <definedName name="working" localSheetId="4" hidden="1">[11]Acct!#REF!</definedName>
    <definedName name="working" localSheetId="10" hidden="1">[11]Acct!#REF!</definedName>
    <definedName name="working" localSheetId="2" hidden="1">[11]Acct!#REF!</definedName>
    <definedName name="working" hidden="1">[11]Acct!#REF!</definedName>
    <definedName name="WORKINGSALL" localSheetId="5">#REF!</definedName>
    <definedName name="WORKINGSALL">#REF!</definedName>
    <definedName name="World_Call">#REF!</definedName>
    <definedName name="WPPF" localSheetId="19">#REF!</definedName>
    <definedName name="WPPF" localSheetId="4">#REF!</definedName>
    <definedName name="WPPF" localSheetId="10">#REF!</definedName>
    <definedName name="WPPF" localSheetId="2">#REF!</definedName>
    <definedName name="WPPF">#REF!</definedName>
    <definedName name="wrn.Aging._.and._.Trend._.Analysis." localSheetId="16"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Sensitivity." localSheetId="16" hidden="1">{#N/A,#N/A,FALSE,"Sensitivity"}</definedName>
    <definedName name="wrn.Sensitivity." localSheetId="5" hidden="1">{#N/A,#N/A,FALSE,"Sensitivity"}</definedName>
    <definedName name="wrn.Sensitivity." hidden="1">{#N/A,#N/A,FALSE,"Sensitivity"}</definedName>
    <definedName name="www">#REF!</definedName>
    <definedName name="x" localSheetId="16" hidden="1">{#N/A,#N/A,FALSE,"Sensitivity"}</definedName>
    <definedName name="x" hidden="1">{#N/A,#N/A,FALSE,"Sensitivity"}</definedName>
    <definedName name="xlfct15" localSheetId="19">[89]Acct!#REF!</definedName>
    <definedName name="xlfct15" localSheetId="4">[89]Acct!#REF!</definedName>
    <definedName name="xlfct15" localSheetId="10">[89]Acct!#REF!</definedName>
    <definedName name="xlfct15" localSheetId="2">[89]Acct!#REF!</definedName>
    <definedName name="xlfct15">[89]Acct!#REF!</definedName>
    <definedName name="xlfct18.2" localSheetId="19">[89]Acct!#REF!</definedName>
    <definedName name="xlfct18.2" localSheetId="4">[89]Acct!#REF!</definedName>
    <definedName name="xlfct18.2" localSheetId="10">[89]Acct!#REF!</definedName>
    <definedName name="xlfct18.2" localSheetId="2">[89]Acct!#REF!</definedName>
    <definedName name="xlfct18.2">[89]Acct!#REF!</definedName>
    <definedName name="xlfct25a" localSheetId="19">[89]Acct!#REF!</definedName>
    <definedName name="xlfct25a" localSheetId="4">[89]Acct!#REF!</definedName>
    <definedName name="xlfct25a" localSheetId="10">[89]Acct!#REF!</definedName>
    <definedName name="xlfct25a" localSheetId="2">[89]Acct!#REF!</definedName>
    <definedName name="xlfct25a">[89]Acct!#REF!</definedName>
    <definedName name="xlfct8" localSheetId="19">[89]Acct!#REF!</definedName>
    <definedName name="xlfct8" localSheetId="4">[89]Acct!#REF!</definedName>
    <definedName name="xlfct8" localSheetId="10">[89]Acct!#REF!</definedName>
    <definedName name="xlfct8" localSheetId="2">[89]Acct!#REF!</definedName>
    <definedName name="xlfct8">[89]Acct!#REF!</definedName>
    <definedName name="xo">#REF!</definedName>
    <definedName name="year_end">[33]Summary!$B$8</definedName>
    <definedName name="yes">#REF!</definedName>
    <definedName name="YESMEANING1">#REF!</definedName>
    <definedName name="z" localSheetId="16">#REF!</definedName>
    <definedName name="z" localSheetId="5">#REF!</definedName>
    <definedName name="Z">#N/A</definedName>
    <definedName name="Zam">#REF!</definedName>
    <definedName name="zohaib">#REF!</definedName>
    <definedName name="zxcv" localSheetId="16" hidden="1">{#N/A,#N/A,FALSE,"Sensitivity"}</definedName>
    <definedName name="zxcv" hidden="1">{#N/A,#N/A,FALSE,"Sensitivity"}</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47" l="1"/>
  <c r="G20" i="46"/>
  <c r="C11" i="47"/>
  <c r="D10" i="47"/>
  <c r="L229" i="6"/>
  <c r="L318" i="6"/>
  <c r="J13" i="7"/>
  <c r="J14" i="7"/>
  <c r="C4" i="47"/>
  <c r="C9" i="47"/>
  <c r="D13" i="47"/>
  <c r="C8" i="47"/>
  <c r="C7" i="47"/>
  <c r="D22" i="8"/>
  <c r="C6" i="47"/>
  <c r="C18" i="47"/>
  <c r="C17" i="47"/>
  <c r="C16" i="47"/>
  <c r="D15" i="47"/>
  <c r="D14" i="47"/>
  <c r="L247" i="6"/>
  <c r="L251" i="6"/>
  <c r="D12" i="8"/>
  <c r="C13" i="46"/>
  <c r="A1" i="8"/>
  <c r="G46" i="30"/>
  <c r="F45" i="30"/>
  <c r="F38" i="30"/>
  <c r="G35" i="30"/>
  <c r="F34" i="30"/>
  <c r="J31" i="30"/>
  <c r="I31" i="30"/>
  <c r="G31" i="30"/>
  <c r="B30" i="30"/>
  <c r="B29" i="30"/>
  <c r="B28" i="30"/>
  <c r="B27" i="30"/>
  <c r="G25" i="30"/>
  <c r="F23" i="30"/>
  <c r="B23" i="30"/>
  <c r="F22" i="30"/>
  <c r="B22" i="30"/>
  <c r="F21" i="30"/>
  <c r="B21" i="30"/>
  <c r="F20" i="30"/>
  <c r="B20" i="30"/>
  <c r="F19" i="30"/>
  <c r="B19" i="30"/>
  <c r="F18" i="30"/>
  <c r="B18" i="30"/>
  <c r="F17" i="30"/>
  <c r="B17" i="30"/>
  <c r="F11" i="30"/>
  <c r="F8" i="30"/>
  <c r="H125" i="38"/>
  <c r="G122" i="38"/>
  <c r="L27" i="32"/>
  <c r="K27" i="32"/>
  <c r="J27" i="32"/>
  <c r="I27" i="32"/>
  <c r="G27" i="32"/>
  <c r="F27" i="32"/>
  <c r="E27" i="32"/>
  <c r="D27" i="32"/>
  <c r="C27" i="32"/>
  <c r="L25" i="32"/>
  <c r="K25" i="32"/>
  <c r="J25" i="32"/>
  <c r="G25" i="32"/>
  <c r="L23" i="32"/>
  <c r="K23" i="32"/>
  <c r="J23" i="32"/>
  <c r="I23" i="32"/>
  <c r="G23" i="32"/>
  <c r="E23" i="32"/>
  <c r="L21" i="32"/>
  <c r="K21" i="32"/>
  <c r="J21" i="32"/>
  <c r="G21" i="32"/>
  <c r="L19" i="32"/>
  <c r="K19" i="32"/>
  <c r="J19" i="32"/>
  <c r="I19" i="32"/>
  <c r="G19" i="32"/>
  <c r="L17" i="32"/>
  <c r="K17" i="32"/>
  <c r="J17" i="32"/>
  <c r="I17" i="32"/>
  <c r="G17" i="32"/>
  <c r="L15" i="32"/>
  <c r="K15" i="32"/>
  <c r="J15" i="32"/>
  <c r="I15" i="32"/>
  <c r="G15" i="32"/>
  <c r="L13" i="32"/>
  <c r="K13" i="32"/>
  <c r="J13" i="32"/>
  <c r="G13" i="32"/>
  <c r="L11" i="32"/>
  <c r="K11" i="32"/>
  <c r="J11" i="32"/>
  <c r="I11" i="32"/>
  <c r="G11" i="32"/>
  <c r="B2" i="32"/>
  <c r="X88" i="33"/>
  <c r="V88" i="33"/>
  <c r="X87" i="33"/>
  <c r="V85" i="33"/>
  <c r="V84" i="33"/>
  <c r="G84" i="33"/>
  <c r="X83" i="33"/>
  <c r="G83" i="33"/>
  <c r="X82" i="33"/>
  <c r="H79" i="33"/>
  <c r="G79" i="33"/>
  <c r="K78" i="33"/>
  <c r="M76" i="33"/>
  <c r="H76" i="33"/>
  <c r="E76" i="33"/>
  <c r="N75" i="33"/>
  <c r="M75" i="33"/>
  <c r="H75" i="33"/>
  <c r="E75" i="33"/>
  <c r="N74" i="33"/>
  <c r="M74" i="33"/>
  <c r="H74" i="33"/>
  <c r="E74" i="33"/>
  <c r="N73" i="33"/>
  <c r="M73" i="33"/>
  <c r="H73" i="33"/>
  <c r="E73" i="33"/>
  <c r="C73" i="33"/>
  <c r="N72" i="33"/>
  <c r="M72" i="33"/>
  <c r="H72" i="33"/>
  <c r="C72" i="33"/>
  <c r="N71" i="33"/>
  <c r="H71" i="33"/>
  <c r="C71" i="33"/>
  <c r="N70" i="33"/>
  <c r="H70" i="33"/>
  <c r="N69" i="33"/>
  <c r="N68" i="33"/>
  <c r="E68" i="33"/>
  <c r="N67" i="33"/>
  <c r="M66" i="33"/>
  <c r="H66" i="33"/>
  <c r="W63" i="33"/>
  <c r="V62" i="33"/>
  <c r="U62" i="33"/>
  <c r="N62" i="33"/>
  <c r="N61" i="33"/>
  <c r="M60" i="33"/>
  <c r="U59" i="33"/>
  <c r="M59" i="33"/>
  <c r="H59" i="33"/>
  <c r="G59" i="33"/>
  <c r="E59" i="33"/>
  <c r="D59" i="33"/>
  <c r="C59" i="33"/>
  <c r="M58" i="33"/>
  <c r="H58" i="33"/>
  <c r="G58" i="33"/>
  <c r="D58" i="33"/>
  <c r="C58" i="33"/>
  <c r="M57" i="33"/>
  <c r="H57" i="33"/>
  <c r="G57" i="33"/>
  <c r="D57" i="33"/>
  <c r="C57" i="33"/>
  <c r="U56" i="33"/>
  <c r="M56" i="33"/>
  <c r="H56" i="33"/>
  <c r="G56" i="33"/>
  <c r="D56" i="33"/>
  <c r="C56" i="33"/>
  <c r="N53" i="33"/>
  <c r="M53" i="33"/>
  <c r="W51" i="33"/>
  <c r="M51" i="33"/>
  <c r="H50" i="33"/>
  <c r="H47" i="33"/>
  <c r="G47" i="33"/>
  <c r="D47" i="33"/>
  <c r="H46" i="33"/>
  <c r="G46" i="33"/>
  <c r="K44" i="33"/>
  <c r="H44" i="33"/>
  <c r="G44" i="33"/>
  <c r="D44" i="33"/>
  <c r="H43" i="33"/>
  <c r="G43" i="33"/>
  <c r="D36" i="33"/>
  <c r="D35" i="33"/>
  <c r="H26" i="33"/>
  <c r="K25" i="33"/>
  <c r="H25" i="33"/>
  <c r="G25" i="33"/>
  <c r="D25" i="33"/>
  <c r="H24" i="33"/>
  <c r="G24" i="33"/>
  <c r="H23" i="33"/>
  <c r="G23" i="33"/>
  <c r="D23" i="33"/>
  <c r="H22" i="33"/>
  <c r="G22" i="33"/>
  <c r="K21" i="33"/>
  <c r="H18" i="33"/>
  <c r="H17" i="33"/>
  <c r="G17" i="33"/>
  <c r="F17" i="33"/>
  <c r="H16" i="33"/>
  <c r="G16" i="33"/>
  <c r="F16" i="33"/>
  <c r="D15" i="33"/>
  <c r="H14" i="33"/>
  <c r="F14" i="33"/>
  <c r="H13" i="33"/>
  <c r="F13" i="33"/>
  <c r="H12" i="33"/>
  <c r="F12" i="33"/>
  <c r="D12" i="33"/>
  <c r="C12" i="33"/>
  <c r="R8" i="33"/>
  <c r="N8" i="33"/>
  <c r="N7" i="33"/>
  <c r="L7" i="33"/>
  <c r="K7" i="33"/>
  <c r="K6" i="33"/>
  <c r="N5" i="33"/>
  <c r="N2" i="33"/>
  <c r="E122" i="23"/>
  <c r="C118" i="23"/>
  <c r="H102" i="23"/>
  <c r="G102" i="23"/>
  <c r="D99" i="23"/>
  <c r="E96" i="23"/>
  <c r="F74" i="23"/>
  <c r="E74" i="23"/>
  <c r="D74" i="23"/>
  <c r="D13" i="23"/>
  <c r="E32" i="14"/>
  <c r="E30" i="14"/>
  <c r="K27" i="14"/>
  <c r="K26" i="14"/>
  <c r="T25" i="14"/>
  <c r="P25" i="14"/>
  <c r="O25" i="14"/>
  <c r="N25" i="14"/>
  <c r="M25" i="14"/>
  <c r="K25" i="14"/>
  <c r="J25" i="14"/>
  <c r="G25" i="14"/>
  <c r="F25" i="14"/>
  <c r="E25" i="14"/>
  <c r="D25" i="14"/>
  <c r="P24" i="14"/>
  <c r="N24" i="14"/>
  <c r="M24" i="14"/>
  <c r="J24" i="14"/>
  <c r="G24" i="14"/>
  <c r="E24" i="14"/>
  <c r="P23" i="14"/>
  <c r="N23" i="14"/>
  <c r="M23" i="14"/>
  <c r="P22" i="14"/>
  <c r="N22" i="14"/>
  <c r="M22" i="14"/>
  <c r="L22" i="14"/>
  <c r="J22" i="14"/>
  <c r="G22" i="14"/>
  <c r="E22" i="14"/>
  <c r="P20" i="14"/>
  <c r="N20" i="14"/>
  <c r="M20" i="14"/>
  <c r="L20" i="14"/>
  <c r="J20" i="14"/>
  <c r="G20" i="14"/>
  <c r="E20" i="14"/>
  <c r="G19" i="14"/>
  <c r="P18" i="14"/>
  <c r="N18" i="14"/>
  <c r="M18" i="14"/>
  <c r="L18" i="14"/>
  <c r="J18" i="14"/>
  <c r="G18" i="14"/>
  <c r="E18" i="14"/>
  <c r="G17" i="14"/>
  <c r="T16" i="14"/>
  <c r="P16" i="14"/>
  <c r="N16" i="14"/>
  <c r="M16" i="14"/>
  <c r="K16" i="14"/>
  <c r="J16" i="14"/>
  <c r="G16" i="14"/>
  <c r="E16" i="14"/>
  <c r="T15" i="14"/>
  <c r="K15" i="14"/>
  <c r="T14" i="14"/>
  <c r="P14" i="14"/>
  <c r="N14" i="14"/>
  <c r="M14" i="14"/>
  <c r="K14" i="14"/>
  <c r="J14" i="14"/>
  <c r="G14" i="14"/>
  <c r="E14" i="14"/>
  <c r="T13" i="14"/>
  <c r="K13" i="14"/>
  <c r="T12" i="14"/>
  <c r="P12" i="14"/>
  <c r="N12" i="14"/>
  <c r="M12" i="14"/>
  <c r="K12" i="14"/>
  <c r="G12" i="14"/>
  <c r="E12" i="14"/>
  <c r="J70" i="13"/>
  <c r="J69" i="13"/>
  <c r="J68" i="13"/>
  <c r="J66" i="13"/>
  <c r="H64" i="13"/>
  <c r="K62" i="13"/>
  <c r="H62" i="13"/>
  <c r="I58" i="13"/>
  <c r="H58" i="13"/>
  <c r="H56" i="13"/>
  <c r="H55" i="13"/>
  <c r="H53" i="13"/>
  <c r="F53" i="13"/>
  <c r="D53" i="13"/>
  <c r="H51" i="13"/>
  <c r="F51" i="13"/>
  <c r="D51" i="13"/>
  <c r="H50" i="13"/>
  <c r="F50" i="13"/>
  <c r="D50" i="13"/>
  <c r="H49" i="13"/>
  <c r="F49" i="13"/>
  <c r="H48" i="13"/>
  <c r="F48" i="13"/>
  <c r="D48" i="13"/>
  <c r="H47" i="13"/>
  <c r="H46" i="13"/>
  <c r="F46" i="13"/>
  <c r="D46" i="13"/>
  <c r="H45" i="13"/>
  <c r="F45" i="13"/>
  <c r="D45" i="13"/>
  <c r="J42" i="13"/>
  <c r="H42" i="13"/>
  <c r="F42" i="13"/>
  <c r="D42" i="13"/>
  <c r="H41" i="13"/>
  <c r="F41" i="13"/>
  <c r="D41" i="13"/>
  <c r="J40" i="13"/>
  <c r="H40" i="13"/>
  <c r="F40" i="13"/>
  <c r="D40" i="13"/>
  <c r="H39" i="13"/>
  <c r="F39" i="13"/>
  <c r="D39" i="13"/>
  <c r="H33" i="13"/>
  <c r="F33" i="13"/>
  <c r="D33" i="13"/>
  <c r="H31" i="13"/>
  <c r="F31" i="13"/>
  <c r="D31" i="13"/>
  <c r="H30" i="13"/>
  <c r="F30" i="13"/>
  <c r="H29" i="13"/>
  <c r="A29" i="13"/>
  <c r="H28" i="13"/>
  <c r="A28" i="13"/>
  <c r="H27" i="13"/>
  <c r="F27" i="13"/>
  <c r="D27" i="13"/>
  <c r="A27" i="13"/>
  <c r="I26" i="13"/>
  <c r="H26" i="13"/>
  <c r="F26" i="13"/>
  <c r="D26" i="13"/>
  <c r="A26" i="13"/>
  <c r="H23" i="13"/>
  <c r="F23" i="13"/>
  <c r="D23" i="13"/>
  <c r="F22" i="13"/>
  <c r="H21" i="13"/>
  <c r="H20" i="13"/>
  <c r="F20" i="13"/>
  <c r="D20" i="13"/>
  <c r="H16" i="13"/>
  <c r="F16" i="13"/>
  <c r="D16" i="13"/>
  <c r="F15" i="13"/>
  <c r="D15" i="13"/>
  <c r="H14" i="13"/>
  <c r="F14" i="13"/>
  <c r="D14" i="13"/>
  <c r="H12" i="13"/>
  <c r="F12" i="13"/>
  <c r="D12" i="13"/>
  <c r="K49" i="12"/>
  <c r="I49" i="12"/>
  <c r="K47" i="12"/>
  <c r="I47" i="12"/>
  <c r="K46" i="12"/>
  <c r="I46" i="12"/>
  <c r="K44" i="12"/>
  <c r="I44" i="12"/>
  <c r="I42" i="12"/>
  <c r="O41" i="12"/>
  <c r="I41" i="12"/>
  <c r="N34" i="12"/>
  <c r="K34" i="12"/>
  <c r="I34" i="12"/>
  <c r="M32" i="12"/>
  <c r="I32" i="12"/>
  <c r="M30" i="12"/>
  <c r="K30" i="12"/>
  <c r="I30" i="12"/>
  <c r="K28" i="12"/>
  <c r="I28" i="12"/>
  <c r="K19" i="12"/>
  <c r="I19" i="12"/>
  <c r="K17" i="12"/>
  <c r="I17" i="12"/>
  <c r="K15" i="12"/>
  <c r="I15" i="12"/>
  <c r="K13" i="12"/>
  <c r="I13" i="12"/>
  <c r="K12" i="12"/>
  <c r="I12" i="12"/>
  <c r="N11" i="12"/>
  <c r="I10" i="12"/>
  <c r="K9" i="12"/>
  <c r="I9" i="12"/>
  <c r="K7" i="12"/>
  <c r="I7" i="12"/>
  <c r="S50" i="26"/>
  <c r="P50" i="26"/>
  <c r="N50" i="26"/>
  <c r="L50" i="26"/>
  <c r="J50" i="26"/>
  <c r="H50" i="26"/>
  <c r="F50" i="26"/>
  <c r="D50" i="26"/>
  <c r="S49" i="26"/>
  <c r="P49" i="26"/>
  <c r="N49" i="26"/>
  <c r="L49" i="26"/>
  <c r="J49" i="26"/>
  <c r="H49" i="26"/>
  <c r="F49" i="26"/>
  <c r="D49" i="26"/>
  <c r="S48" i="26"/>
  <c r="P48" i="26"/>
  <c r="N48" i="26"/>
  <c r="L48" i="26"/>
  <c r="J48" i="26"/>
  <c r="H48" i="26"/>
  <c r="F48" i="26"/>
  <c r="D48" i="26"/>
  <c r="S44" i="26"/>
  <c r="P44" i="26"/>
  <c r="N44" i="26"/>
  <c r="L44" i="26"/>
  <c r="J44" i="26"/>
  <c r="H44" i="26"/>
  <c r="F44" i="26"/>
  <c r="D44" i="26"/>
  <c r="S42" i="26"/>
  <c r="P42" i="26"/>
  <c r="L42" i="26"/>
  <c r="J42" i="26"/>
  <c r="H42" i="26"/>
  <c r="F42" i="26"/>
  <c r="D42" i="26"/>
  <c r="S40" i="26"/>
  <c r="P40" i="26"/>
  <c r="N40" i="26"/>
  <c r="L40" i="26"/>
  <c r="J40" i="26"/>
  <c r="H40" i="26"/>
  <c r="F40" i="26"/>
  <c r="D40" i="26"/>
  <c r="S39" i="26"/>
  <c r="S38" i="26"/>
  <c r="S35" i="26"/>
  <c r="P35" i="26"/>
  <c r="N35" i="26"/>
  <c r="L35" i="26"/>
  <c r="J35" i="26"/>
  <c r="H35" i="26"/>
  <c r="F35" i="26"/>
  <c r="D35" i="26"/>
  <c r="S34" i="26"/>
  <c r="S33" i="26"/>
  <c r="S30" i="26"/>
  <c r="S29" i="26"/>
  <c r="P29" i="26"/>
  <c r="N29" i="26"/>
  <c r="L29" i="26"/>
  <c r="J29" i="26"/>
  <c r="H29" i="26"/>
  <c r="F29" i="26"/>
  <c r="D29" i="26"/>
  <c r="S26" i="26"/>
  <c r="P26" i="26"/>
  <c r="N26" i="26"/>
  <c r="L26" i="26"/>
  <c r="J26" i="26"/>
  <c r="H26" i="26"/>
  <c r="F26" i="26"/>
  <c r="D26" i="26"/>
  <c r="S25" i="26"/>
  <c r="R25" i="26"/>
  <c r="Q25" i="26"/>
  <c r="P25" i="26"/>
  <c r="O25" i="26"/>
  <c r="N25" i="26"/>
  <c r="M25" i="26"/>
  <c r="L25" i="26"/>
  <c r="K25" i="26"/>
  <c r="J25" i="26"/>
  <c r="H25" i="26"/>
  <c r="G25" i="26"/>
  <c r="F25" i="26"/>
  <c r="D25" i="26"/>
  <c r="S24" i="26"/>
  <c r="R24" i="26"/>
  <c r="Q24" i="26"/>
  <c r="P24" i="26"/>
  <c r="O24" i="26"/>
  <c r="N24" i="26"/>
  <c r="M24" i="26"/>
  <c r="L24" i="26"/>
  <c r="K24" i="26"/>
  <c r="J24" i="26"/>
  <c r="H24" i="26"/>
  <c r="F24" i="26"/>
  <c r="D24" i="26"/>
  <c r="T20" i="26"/>
  <c r="S20" i="26"/>
  <c r="P20" i="26"/>
  <c r="N20" i="26"/>
  <c r="L20" i="26"/>
  <c r="J20" i="26"/>
  <c r="H20" i="26"/>
  <c r="F20" i="26"/>
  <c r="D20" i="26"/>
  <c r="S18" i="26"/>
  <c r="D18" i="26"/>
  <c r="S16" i="26"/>
  <c r="L16" i="26"/>
  <c r="J16" i="26"/>
  <c r="H16" i="26"/>
  <c r="A8" i="26"/>
  <c r="F5" i="26"/>
  <c r="D5" i="26"/>
  <c r="AH46" i="15"/>
  <c r="AH43" i="15"/>
  <c r="Z43" i="15"/>
  <c r="X43" i="15"/>
  <c r="W43" i="15"/>
  <c r="V43" i="15"/>
  <c r="T43" i="15"/>
  <c r="R43" i="15"/>
  <c r="Q43" i="15"/>
  <c r="P43" i="15"/>
  <c r="L43" i="15"/>
  <c r="I43" i="15"/>
  <c r="G43" i="15"/>
  <c r="E43" i="15"/>
  <c r="AL37" i="15"/>
  <c r="AK37" i="15"/>
  <c r="Z37" i="15"/>
  <c r="X37" i="15"/>
  <c r="Z36" i="15"/>
  <c r="X36" i="15"/>
  <c r="AL35" i="15"/>
  <c r="Z35" i="15"/>
  <c r="X35" i="15"/>
  <c r="AL34" i="15"/>
  <c r="Z34" i="15"/>
  <c r="X34" i="15"/>
  <c r="AH33" i="15"/>
  <c r="Z33" i="15"/>
  <c r="X33" i="15"/>
  <c r="Z32" i="15"/>
  <c r="X32" i="15"/>
  <c r="AK29" i="15"/>
  <c r="AH29" i="15"/>
  <c r="AG28" i="15"/>
  <c r="AF28" i="15"/>
  <c r="AL26" i="15"/>
  <c r="AJ25" i="15"/>
  <c r="AI25" i="15"/>
  <c r="AH25" i="15"/>
  <c r="AJ24" i="15"/>
  <c r="AI24" i="15"/>
  <c r="AG24" i="15"/>
  <c r="AF24" i="15"/>
  <c r="AD24" i="15"/>
  <c r="AB24" i="15"/>
  <c r="Z24" i="15"/>
  <c r="X24" i="15"/>
  <c r="V24" i="15"/>
  <c r="T24" i="15"/>
  <c r="R24" i="15"/>
  <c r="P24" i="15"/>
  <c r="L24" i="15"/>
  <c r="K24" i="15"/>
  <c r="I24" i="15"/>
  <c r="G24" i="15"/>
  <c r="E24" i="15"/>
  <c r="Z21" i="15"/>
  <c r="X21" i="15"/>
  <c r="P21" i="15"/>
  <c r="AJ17" i="15"/>
  <c r="AI17" i="15"/>
  <c r="AH17" i="15"/>
  <c r="AG17" i="15"/>
  <c r="AD17" i="15"/>
  <c r="AB17" i="15"/>
  <c r="Z17" i="15"/>
  <c r="L17" i="15"/>
  <c r="AI16" i="15"/>
  <c r="AH16" i="15"/>
  <c r="AG16" i="15"/>
  <c r="AD16" i="15"/>
  <c r="AB16" i="15"/>
  <c r="Z16" i="15"/>
  <c r="L16" i="15"/>
  <c r="AI15" i="15"/>
  <c r="AH15" i="15"/>
  <c r="AG15" i="15"/>
  <c r="AD15" i="15"/>
  <c r="AB15" i="15"/>
  <c r="Z15" i="15"/>
  <c r="L15" i="15"/>
  <c r="K15" i="15"/>
  <c r="AD14" i="15"/>
  <c r="AB14" i="15"/>
  <c r="Z14" i="15"/>
  <c r="L14" i="15"/>
  <c r="K14" i="15"/>
  <c r="AD13" i="15"/>
  <c r="AB13" i="15"/>
  <c r="Z13" i="15"/>
  <c r="L13" i="15"/>
  <c r="K13" i="15"/>
  <c r="AJ12" i="15"/>
  <c r="AI12" i="15"/>
  <c r="AH12" i="15"/>
  <c r="AG12" i="15"/>
  <c r="AD12" i="15"/>
  <c r="AB12" i="15"/>
  <c r="Z12" i="15"/>
  <c r="L12" i="15"/>
  <c r="AI11" i="15"/>
  <c r="AH11" i="15"/>
  <c r="AG11" i="15"/>
  <c r="AD11" i="15"/>
  <c r="AB11" i="15"/>
  <c r="Z11" i="15"/>
  <c r="L11" i="15"/>
  <c r="AF6" i="15"/>
  <c r="F7" i="25"/>
  <c r="L20" i="40"/>
  <c r="F20" i="40"/>
  <c r="D20" i="40"/>
  <c r="L18" i="40"/>
  <c r="J18" i="40"/>
  <c r="I18" i="40"/>
  <c r="H18" i="40"/>
  <c r="F18" i="40"/>
  <c r="E18" i="40"/>
  <c r="D18" i="40"/>
  <c r="L15" i="40"/>
  <c r="F15" i="40"/>
  <c r="L14" i="40"/>
  <c r="F14" i="40"/>
  <c r="L13" i="40"/>
  <c r="J13" i="40"/>
  <c r="F13" i="40"/>
  <c r="L12" i="40"/>
  <c r="J12" i="40"/>
  <c r="F12" i="40"/>
  <c r="L11" i="40"/>
  <c r="J11" i="40"/>
  <c r="F11" i="40"/>
  <c r="L7" i="40"/>
  <c r="J7" i="40"/>
  <c r="H7" i="40"/>
  <c r="I20" i="43"/>
  <c r="H20" i="43"/>
  <c r="G20" i="43"/>
  <c r="I19" i="43"/>
  <c r="H19" i="43"/>
  <c r="I18" i="43"/>
  <c r="H18" i="43"/>
  <c r="J13" i="43"/>
  <c r="I13" i="43"/>
  <c r="E13" i="43"/>
  <c r="C13" i="43"/>
  <c r="J11" i="43"/>
  <c r="I11" i="43"/>
  <c r="H11" i="43"/>
  <c r="G11" i="43"/>
  <c r="E11" i="43"/>
  <c r="D11" i="43"/>
  <c r="C11" i="43"/>
  <c r="J10" i="43"/>
  <c r="I10" i="43"/>
  <c r="H10" i="43"/>
  <c r="E10" i="43"/>
  <c r="J9" i="43"/>
  <c r="I9" i="43"/>
  <c r="H9" i="43"/>
  <c r="E9" i="43"/>
  <c r="J8" i="43"/>
  <c r="I8" i="43"/>
  <c r="H8" i="43"/>
  <c r="E8" i="43"/>
  <c r="J7" i="43"/>
  <c r="I7" i="43"/>
  <c r="H7" i="43"/>
  <c r="E7" i="43"/>
  <c r="J6" i="43"/>
  <c r="I6" i="43"/>
  <c r="H6" i="43"/>
  <c r="E6" i="43"/>
  <c r="D67" i="45"/>
  <c r="C67" i="45"/>
  <c r="B67" i="45"/>
  <c r="E66" i="45"/>
  <c r="B66" i="45"/>
  <c r="E65" i="45"/>
  <c r="B65" i="45"/>
  <c r="E64" i="45"/>
  <c r="B64" i="45"/>
  <c r="E63" i="45"/>
  <c r="B63" i="45"/>
  <c r="E62" i="45"/>
  <c r="B62" i="45"/>
  <c r="E61" i="45"/>
  <c r="B61" i="45"/>
  <c r="E60" i="45"/>
  <c r="B60" i="45"/>
  <c r="E59" i="45"/>
  <c r="B59" i="45"/>
  <c r="E58" i="45"/>
  <c r="B58" i="45"/>
  <c r="E57" i="45"/>
  <c r="B57" i="45"/>
  <c r="E56" i="45"/>
  <c r="B56" i="45"/>
  <c r="E55" i="45"/>
  <c r="B55" i="45"/>
  <c r="E54" i="45"/>
  <c r="B54" i="45"/>
  <c r="E53" i="45"/>
  <c r="B53" i="45"/>
  <c r="E52" i="45"/>
  <c r="B52" i="45"/>
  <c r="E51" i="45"/>
  <c r="B51" i="45"/>
  <c r="E50" i="45"/>
  <c r="B50" i="45"/>
  <c r="E49" i="45"/>
  <c r="B49" i="45"/>
  <c r="E48" i="45"/>
  <c r="B48" i="45"/>
  <c r="E47" i="45"/>
  <c r="B47" i="45"/>
  <c r="E46" i="45"/>
  <c r="B46" i="45"/>
  <c r="E45" i="45"/>
  <c r="B45" i="45"/>
  <c r="E44" i="45"/>
  <c r="B44" i="45"/>
  <c r="P43" i="45"/>
  <c r="O43" i="45"/>
  <c r="N43" i="45"/>
  <c r="E43" i="45"/>
  <c r="B43" i="45"/>
  <c r="Q42" i="45"/>
  <c r="N42" i="45"/>
  <c r="E42" i="45"/>
  <c r="B42" i="45"/>
  <c r="Q41" i="45"/>
  <c r="N41" i="45"/>
  <c r="E41" i="45"/>
  <c r="B41" i="45"/>
  <c r="Q40" i="45"/>
  <c r="N40" i="45"/>
  <c r="E40" i="45"/>
  <c r="B40" i="45"/>
  <c r="Q39" i="45"/>
  <c r="N39" i="45"/>
  <c r="E39" i="45"/>
  <c r="B39" i="45"/>
  <c r="S38" i="45"/>
  <c r="R38" i="45"/>
  <c r="Q38" i="45"/>
  <c r="N38" i="45"/>
  <c r="G38" i="45"/>
  <c r="F38" i="45"/>
  <c r="E38" i="45"/>
  <c r="B38" i="45"/>
  <c r="S37" i="45"/>
  <c r="R37" i="45"/>
  <c r="Q37" i="45"/>
  <c r="N37" i="45"/>
  <c r="G37" i="45"/>
  <c r="F37" i="45"/>
  <c r="E37" i="45"/>
  <c r="B37" i="45"/>
  <c r="Q36" i="45"/>
  <c r="N36" i="45"/>
  <c r="E36" i="45"/>
  <c r="B36" i="45"/>
  <c r="Q35" i="45"/>
  <c r="N35" i="45"/>
  <c r="E35" i="45"/>
  <c r="B35" i="45"/>
  <c r="Q34" i="45"/>
  <c r="N34" i="45"/>
  <c r="E34" i="45"/>
  <c r="B34" i="45"/>
  <c r="Q33" i="45"/>
  <c r="N33" i="45"/>
  <c r="E33" i="45"/>
  <c r="B33" i="45"/>
  <c r="Q32" i="45"/>
  <c r="N32" i="45"/>
  <c r="E32" i="45"/>
  <c r="B32" i="45"/>
  <c r="Q31" i="45"/>
  <c r="N31" i="45"/>
  <c r="E31" i="45"/>
  <c r="B31" i="45"/>
  <c r="Q30" i="45"/>
  <c r="N30" i="45"/>
  <c r="E30" i="45"/>
  <c r="B30" i="45"/>
  <c r="Q29" i="45"/>
  <c r="N29" i="45"/>
  <c r="E29" i="45"/>
  <c r="B29" i="45"/>
  <c r="Q28" i="45"/>
  <c r="N28" i="45"/>
  <c r="E28" i="45"/>
  <c r="B28" i="45"/>
  <c r="Q27" i="45"/>
  <c r="N27" i="45"/>
  <c r="E27" i="45"/>
  <c r="B27" i="45"/>
  <c r="S26" i="45"/>
  <c r="R26" i="45"/>
  <c r="Q26" i="45"/>
  <c r="N26" i="45"/>
  <c r="G26" i="45"/>
  <c r="F26" i="45"/>
  <c r="E26" i="45"/>
  <c r="B26" i="45"/>
  <c r="V25" i="45"/>
  <c r="U25" i="45"/>
  <c r="S25" i="45"/>
  <c r="R25" i="45"/>
  <c r="Q25" i="45"/>
  <c r="N25" i="45"/>
  <c r="J25" i="45"/>
  <c r="I25" i="45"/>
  <c r="G25" i="45"/>
  <c r="F25" i="45"/>
  <c r="E25" i="45"/>
  <c r="B25" i="45"/>
  <c r="Q24" i="45"/>
  <c r="N24" i="45"/>
  <c r="E24" i="45"/>
  <c r="B24" i="45"/>
  <c r="Q23" i="45"/>
  <c r="N23" i="45"/>
  <c r="E23" i="45"/>
  <c r="B23" i="45"/>
  <c r="Q22" i="45"/>
  <c r="N22" i="45"/>
  <c r="E22" i="45"/>
  <c r="B22" i="45"/>
  <c r="Q21" i="45"/>
  <c r="N21" i="45"/>
  <c r="E21" i="45"/>
  <c r="B21" i="45"/>
  <c r="Q20" i="45"/>
  <c r="N20" i="45"/>
  <c r="E20" i="45"/>
  <c r="B20" i="45"/>
  <c r="Q19" i="45"/>
  <c r="N19" i="45"/>
  <c r="E19" i="45"/>
  <c r="B19" i="45"/>
  <c r="Q18" i="45"/>
  <c r="N18" i="45"/>
  <c r="E18" i="45"/>
  <c r="B18" i="45"/>
  <c r="Q17" i="45"/>
  <c r="N17" i="45"/>
  <c r="E17" i="45"/>
  <c r="B17" i="45"/>
  <c r="Q16" i="45"/>
  <c r="N16" i="45"/>
  <c r="E16" i="45"/>
  <c r="B16" i="45"/>
  <c r="Q15" i="45"/>
  <c r="N15" i="45"/>
  <c r="E15" i="45"/>
  <c r="B15" i="45"/>
  <c r="Q14" i="45"/>
  <c r="N14" i="45"/>
  <c r="E14" i="45"/>
  <c r="B14" i="45"/>
  <c r="V13" i="45"/>
  <c r="U13" i="45"/>
  <c r="Q13" i="45"/>
  <c r="N13" i="45"/>
  <c r="J13" i="45"/>
  <c r="I13" i="45"/>
  <c r="E13" i="45"/>
  <c r="B13" i="45"/>
  <c r="Q12" i="45"/>
  <c r="N12" i="45"/>
  <c r="E12" i="45"/>
  <c r="B12" i="45"/>
  <c r="Q11" i="45"/>
  <c r="N11" i="45"/>
  <c r="E11" i="45"/>
  <c r="B11" i="45"/>
  <c r="Q10" i="45"/>
  <c r="N10" i="45"/>
  <c r="E10" i="45"/>
  <c r="B10" i="45"/>
  <c r="Q9" i="45"/>
  <c r="N9" i="45"/>
  <c r="E9" i="45"/>
  <c r="B9" i="45"/>
  <c r="Q8" i="45"/>
  <c r="N8" i="45"/>
  <c r="E8" i="45"/>
  <c r="Q7" i="45"/>
  <c r="N7" i="45"/>
  <c r="E7" i="45"/>
  <c r="A353" i="6"/>
  <c r="B351" i="6"/>
  <c r="B349" i="6"/>
  <c r="B343" i="6"/>
  <c r="B341" i="6"/>
  <c r="A339" i="6"/>
  <c r="P337" i="6"/>
  <c r="N337" i="6"/>
  <c r="L337" i="6"/>
  <c r="N335" i="6"/>
  <c r="L335" i="6"/>
  <c r="N334" i="6"/>
  <c r="L334" i="6"/>
  <c r="U318" i="6"/>
  <c r="T318" i="6"/>
  <c r="S318" i="6"/>
  <c r="R318" i="6"/>
  <c r="P318" i="6"/>
  <c r="N318" i="6"/>
  <c r="R317" i="6"/>
  <c r="P317" i="6"/>
  <c r="N317" i="6"/>
  <c r="L317" i="6"/>
  <c r="R316" i="6"/>
  <c r="L316" i="6"/>
  <c r="R315" i="6"/>
  <c r="L315" i="6"/>
  <c r="R314" i="6"/>
  <c r="L314" i="6"/>
  <c r="R313" i="6"/>
  <c r="L313" i="6"/>
  <c r="R312" i="6"/>
  <c r="L312" i="6"/>
  <c r="R311" i="6"/>
  <c r="L311" i="6"/>
  <c r="R310" i="6"/>
  <c r="L310" i="6"/>
  <c r="R309" i="6"/>
  <c r="L309" i="6"/>
  <c r="R308" i="6"/>
  <c r="L308" i="6"/>
  <c r="R307" i="6"/>
  <c r="L307" i="6"/>
  <c r="T302" i="6"/>
  <c r="P302" i="6"/>
  <c r="N302" i="6"/>
  <c r="L302" i="6"/>
  <c r="R301" i="6"/>
  <c r="P301" i="6"/>
  <c r="N301" i="6"/>
  <c r="L301" i="6"/>
  <c r="R300" i="6"/>
  <c r="N300" i="6"/>
  <c r="L300" i="6"/>
  <c r="R299" i="6"/>
  <c r="N299" i="6"/>
  <c r="L299" i="6"/>
  <c r="R298" i="6"/>
  <c r="N298" i="6"/>
  <c r="L298" i="6"/>
  <c r="S297" i="6"/>
  <c r="R297" i="6"/>
  <c r="P297" i="6"/>
  <c r="N297" i="6"/>
  <c r="L297" i="6"/>
  <c r="N296" i="6"/>
  <c r="L296" i="6"/>
  <c r="P294" i="6"/>
  <c r="N294" i="6"/>
  <c r="L294" i="6"/>
  <c r="U293" i="6"/>
  <c r="T293" i="6"/>
  <c r="S293" i="6"/>
  <c r="R293" i="6"/>
  <c r="N293" i="6"/>
  <c r="L293" i="6"/>
  <c r="R292" i="6"/>
  <c r="N292" i="6"/>
  <c r="L292" i="6"/>
  <c r="S283" i="6"/>
  <c r="U282" i="6"/>
  <c r="T282" i="6"/>
  <c r="S282" i="6"/>
  <c r="P282" i="6"/>
  <c r="N282" i="6"/>
  <c r="L282" i="6"/>
  <c r="T281" i="6"/>
  <c r="L281" i="6"/>
  <c r="P279" i="6"/>
  <c r="N279" i="6"/>
  <c r="L279" i="6"/>
  <c r="U278" i="6"/>
  <c r="T278" i="6"/>
  <c r="R278" i="6"/>
  <c r="N278" i="6"/>
  <c r="L278" i="6"/>
  <c r="T277" i="6"/>
  <c r="R277" i="6"/>
  <c r="N277" i="6"/>
  <c r="L277" i="6"/>
  <c r="J273" i="6"/>
  <c r="P270" i="6"/>
  <c r="N270" i="6"/>
  <c r="L270" i="6"/>
  <c r="J256" i="6"/>
  <c r="J255" i="6"/>
  <c r="N251" i="6"/>
  <c r="N250" i="6"/>
  <c r="L250" i="6"/>
  <c r="N249" i="6"/>
  <c r="L249" i="6"/>
  <c r="P247" i="6"/>
  <c r="N247" i="6"/>
  <c r="P246" i="6"/>
  <c r="N246" i="6"/>
  <c r="L246" i="6"/>
  <c r="P245" i="6"/>
  <c r="N245" i="6"/>
  <c r="L245" i="6"/>
  <c r="P244" i="6"/>
  <c r="N244" i="6"/>
  <c r="P243" i="6"/>
  <c r="N243" i="6"/>
  <c r="L242" i="6"/>
  <c r="P240" i="6"/>
  <c r="N240" i="6"/>
  <c r="L240" i="6"/>
  <c r="S232" i="6"/>
  <c r="P232" i="6"/>
  <c r="N232" i="6"/>
  <c r="S231" i="6"/>
  <c r="L231" i="6"/>
  <c r="P230" i="6"/>
  <c r="N230" i="6"/>
  <c r="P229" i="6"/>
  <c r="N229" i="6"/>
  <c r="N227" i="6"/>
  <c r="L227" i="6"/>
  <c r="P219" i="6"/>
  <c r="N219" i="6"/>
  <c r="L219" i="6"/>
  <c r="S217" i="6"/>
  <c r="N217" i="6"/>
  <c r="S215" i="6"/>
  <c r="A215" i="6"/>
  <c r="T213" i="6"/>
  <c r="P213" i="6"/>
  <c r="N213" i="6"/>
  <c r="L213" i="6"/>
  <c r="R212" i="6"/>
  <c r="N212" i="6"/>
  <c r="L212" i="6"/>
  <c r="R211" i="6"/>
  <c r="N211" i="6"/>
  <c r="R210" i="6"/>
  <c r="N210" i="6"/>
  <c r="L210" i="6"/>
  <c r="A207" i="6"/>
  <c r="P203" i="6"/>
  <c r="N203" i="6"/>
  <c r="L203" i="6"/>
  <c r="T202" i="6"/>
  <c r="S202" i="6"/>
  <c r="B190" i="6"/>
  <c r="B184" i="6"/>
  <c r="B180" i="6"/>
  <c r="B176" i="6"/>
  <c r="B155" i="6"/>
  <c r="B151" i="6"/>
  <c r="B147" i="6"/>
  <c r="B139" i="6"/>
  <c r="B132" i="6"/>
  <c r="B128" i="6"/>
  <c r="B122" i="6"/>
  <c r="B114" i="6"/>
  <c r="B95" i="6"/>
  <c r="B77" i="6"/>
  <c r="B73" i="6"/>
  <c r="B56" i="6"/>
  <c r="A52" i="6"/>
  <c r="B35" i="6"/>
  <c r="B31" i="6"/>
  <c r="B27" i="6"/>
  <c r="A25" i="6"/>
  <c r="B11" i="6"/>
  <c r="A3" i="6"/>
  <c r="A2" i="6"/>
  <c r="H20" i="46"/>
  <c r="H19" i="46"/>
  <c r="G19" i="46"/>
  <c r="H18" i="46"/>
  <c r="G18" i="46"/>
  <c r="J13" i="46"/>
  <c r="I13" i="46"/>
  <c r="E13" i="46"/>
  <c r="J11" i="46"/>
  <c r="I11" i="46"/>
  <c r="H11" i="46"/>
  <c r="G11" i="46"/>
  <c r="E11" i="46"/>
  <c r="D11" i="46"/>
  <c r="C11" i="46"/>
  <c r="J10" i="46"/>
  <c r="I10" i="46"/>
  <c r="H10" i="46"/>
  <c r="E10" i="46"/>
  <c r="J9" i="46"/>
  <c r="I9" i="46"/>
  <c r="H9" i="46"/>
  <c r="E9" i="46"/>
  <c r="J8" i="46"/>
  <c r="I8" i="46"/>
  <c r="H8" i="46"/>
  <c r="E8" i="46"/>
  <c r="J7" i="46"/>
  <c r="I7" i="46"/>
  <c r="H7" i="46"/>
  <c r="E7" i="46"/>
  <c r="J6" i="46"/>
  <c r="I6" i="46"/>
  <c r="H6" i="46"/>
  <c r="E6" i="46"/>
  <c r="F204" i="29"/>
  <c r="D204" i="29"/>
  <c r="D203" i="29"/>
  <c r="B203" i="29"/>
  <c r="D202" i="29"/>
  <c r="L195" i="29"/>
  <c r="J195" i="29"/>
  <c r="H195" i="29"/>
  <c r="F195" i="29"/>
  <c r="D195" i="29"/>
  <c r="L194" i="29"/>
  <c r="J194" i="29"/>
  <c r="H194" i="29"/>
  <c r="F194" i="29"/>
  <c r="D194" i="29"/>
  <c r="L193" i="29"/>
  <c r="J193" i="29"/>
  <c r="H193" i="29"/>
  <c r="F193" i="29"/>
  <c r="D193" i="29"/>
  <c r="L189" i="29"/>
  <c r="J189" i="29"/>
  <c r="H189" i="29"/>
  <c r="F189" i="29"/>
  <c r="D189" i="29"/>
  <c r="N188" i="29"/>
  <c r="N187" i="29"/>
  <c r="L187" i="29"/>
  <c r="J187" i="29"/>
  <c r="H187" i="29"/>
  <c r="F187" i="29"/>
  <c r="L185" i="29"/>
  <c r="J185" i="29"/>
  <c r="H185" i="29"/>
  <c r="F185" i="29"/>
  <c r="D185" i="29"/>
  <c r="L184" i="29"/>
  <c r="L183" i="29"/>
  <c r="L180" i="29"/>
  <c r="J180" i="29"/>
  <c r="H180" i="29"/>
  <c r="F180" i="29"/>
  <c r="D180" i="29"/>
  <c r="L179" i="29"/>
  <c r="L178" i="29"/>
  <c r="L175" i="29"/>
  <c r="H175" i="29"/>
  <c r="F175" i="29"/>
  <c r="L174" i="29"/>
  <c r="J174" i="29"/>
  <c r="H174" i="29"/>
  <c r="F174" i="29"/>
  <c r="D174" i="29"/>
  <c r="L171" i="29"/>
  <c r="J171" i="29"/>
  <c r="H171" i="29"/>
  <c r="F171" i="29"/>
  <c r="D171" i="29"/>
  <c r="L170" i="29"/>
  <c r="J170" i="29"/>
  <c r="L169" i="29"/>
  <c r="J169" i="29"/>
  <c r="L165" i="29"/>
  <c r="J165" i="29"/>
  <c r="H165" i="29"/>
  <c r="F165" i="29"/>
  <c r="D165" i="29"/>
  <c r="L163" i="29"/>
  <c r="J163" i="29"/>
  <c r="H163" i="29"/>
  <c r="F163" i="29"/>
  <c r="D163" i="29"/>
  <c r="L161" i="29"/>
  <c r="J161" i="29"/>
  <c r="H161" i="29"/>
  <c r="F161" i="29"/>
  <c r="D161" i="29"/>
  <c r="L160" i="29"/>
  <c r="L159" i="29"/>
  <c r="L156" i="29"/>
  <c r="J156" i="29"/>
  <c r="H156" i="29"/>
  <c r="F156" i="29"/>
  <c r="D156" i="29"/>
  <c r="L155" i="29"/>
  <c r="L154" i="29"/>
  <c r="L151" i="29"/>
  <c r="L150" i="29"/>
  <c r="J150" i="29"/>
  <c r="L147" i="29"/>
  <c r="J147" i="29"/>
  <c r="H147" i="29"/>
  <c r="F147" i="29"/>
  <c r="D147" i="29"/>
  <c r="L146" i="29"/>
  <c r="H146" i="29"/>
  <c r="F146" i="29"/>
  <c r="D146" i="29"/>
  <c r="L145" i="29"/>
  <c r="H145" i="29"/>
  <c r="F145" i="29"/>
  <c r="D145" i="29"/>
  <c r="L141" i="29"/>
  <c r="J141" i="29"/>
  <c r="H141" i="29"/>
  <c r="F141" i="29"/>
  <c r="D141" i="29"/>
  <c r="L139" i="29"/>
  <c r="L137" i="29"/>
  <c r="J137" i="29"/>
  <c r="H137" i="29"/>
  <c r="F137" i="29"/>
  <c r="D137" i="29"/>
  <c r="L136" i="29"/>
  <c r="L135" i="29"/>
  <c r="L132" i="29"/>
  <c r="H132" i="29"/>
  <c r="F132" i="29"/>
  <c r="D132" i="29"/>
  <c r="L131" i="29"/>
  <c r="L128" i="29"/>
  <c r="J128" i="29"/>
  <c r="H128" i="29"/>
  <c r="F128" i="29"/>
  <c r="D128" i="29"/>
  <c r="L126" i="29"/>
  <c r="J126" i="29"/>
  <c r="H126" i="29"/>
  <c r="F126" i="29"/>
  <c r="D126" i="29"/>
  <c r="L125" i="29"/>
  <c r="J125" i="29"/>
  <c r="H125" i="29"/>
  <c r="F125" i="29"/>
  <c r="D125" i="29"/>
  <c r="L121" i="29"/>
  <c r="J121" i="29"/>
  <c r="H121" i="29"/>
  <c r="F121" i="29"/>
  <c r="D121" i="29"/>
  <c r="L119" i="29"/>
  <c r="J119" i="29"/>
  <c r="H119" i="29"/>
  <c r="F119" i="29"/>
  <c r="D119" i="29"/>
  <c r="L117" i="29"/>
  <c r="J117" i="29"/>
  <c r="H117" i="29"/>
  <c r="F117" i="29"/>
  <c r="D117" i="29"/>
  <c r="L116" i="29"/>
  <c r="L115" i="29"/>
  <c r="L112" i="29"/>
  <c r="J112" i="29"/>
  <c r="H112" i="29"/>
  <c r="F112" i="29"/>
  <c r="D112" i="29"/>
  <c r="L111" i="29"/>
  <c r="J111" i="29"/>
  <c r="H111" i="29"/>
  <c r="F111" i="29"/>
  <c r="D111" i="29"/>
  <c r="L108" i="29"/>
  <c r="J108" i="29"/>
  <c r="H108" i="29"/>
  <c r="F108" i="29"/>
  <c r="D108" i="29"/>
  <c r="L106" i="29"/>
  <c r="J106" i="29"/>
  <c r="H106" i="29"/>
  <c r="F106" i="29"/>
  <c r="D106" i="29"/>
  <c r="L105" i="29"/>
  <c r="J105" i="29"/>
  <c r="H105" i="29"/>
  <c r="F105" i="29"/>
  <c r="D105" i="29"/>
  <c r="L101" i="29"/>
  <c r="J101" i="29"/>
  <c r="H101" i="29"/>
  <c r="F101" i="29"/>
  <c r="D101" i="29"/>
  <c r="L99" i="29"/>
  <c r="J99" i="29"/>
  <c r="H99" i="29"/>
  <c r="F99" i="29"/>
  <c r="D99" i="29"/>
  <c r="L97" i="29"/>
  <c r="J97" i="29"/>
  <c r="H97" i="29"/>
  <c r="F97" i="29"/>
  <c r="D97" i="29"/>
  <c r="L96" i="29"/>
  <c r="L95" i="29"/>
  <c r="L92" i="29"/>
  <c r="J92" i="29"/>
  <c r="H92" i="29"/>
  <c r="F92" i="29"/>
  <c r="D92" i="29"/>
  <c r="L91" i="29"/>
  <c r="J91" i="29"/>
  <c r="H91" i="29"/>
  <c r="F91" i="29"/>
  <c r="D91" i="29"/>
  <c r="L88" i="29"/>
  <c r="J88" i="29"/>
  <c r="H88" i="29"/>
  <c r="F88" i="29"/>
  <c r="D88" i="29"/>
  <c r="L86" i="29"/>
  <c r="H86" i="29"/>
  <c r="F86" i="29"/>
  <c r="D86" i="29"/>
  <c r="L85" i="29"/>
  <c r="H85" i="29"/>
  <c r="F85" i="29"/>
  <c r="D85" i="29"/>
  <c r="L81" i="29"/>
  <c r="J81" i="29"/>
  <c r="H81" i="29"/>
  <c r="F81" i="29"/>
  <c r="D81" i="29"/>
  <c r="L79" i="29"/>
  <c r="L77" i="29"/>
  <c r="J77" i="29"/>
  <c r="H77" i="29"/>
  <c r="F77" i="29"/>
  <c r="D77" i="29"/>
  <c r="L76" i="29"/>
  <c r="L75" i="29"/>
  <c r="L73" i="29"/>
  <c r="L72" i="29"/>
  <c r="H72" i="29"/>
  <c r="F72" i="29"/>
  <c r="D72" i="29"/>
  <c r="L69" i="29"/>
  <c r="J69" i="29"/>
  <c r="I69" i="29"/>
  <c r="H69" i="29"/>
  <c r="F69" i="29"/>
  <c r="D69" i="29"/>
  <c r="L68" i="29"/>
  <c r="H68" i="29"/>
  <c r="F68" i="29"/>
  <c r="D68" i="29"/>
  <c r="L67" i="29"/>
  <c r="H67" i="29"/>
  <c r="F67" i="29"/>
  <c r="D67" i="29"/>
  <c r="L63" i="29"/>
  <c r="J63" i="29"/>
  <c r="H63" i="29"/>
  <c r="F63" i="29"/>
  <c r="D63" i="29"/>
  <c r="L61" i="29"/>
  <c r="L59" i="29"/>
  <c r="L58" i="29"/>
  <c r="H58" i="29"/>
  <c r="F58" i="29"/>
  <c r="D58" i="29"/>
  <c r="L55" i="29"/>
  <c r="H55" i="29"/>
  <c r="F55" i="29"/>
  <c r="D55" i="29"/>
  <c r="L54" i="29"/>
  <c r="H54" i="29"/>
  <c r="F54" i="29"/>
  <c r="D54" i="29"/>
  <c r="L53" i="29"/>
  <c r="H53" i="29"/>
  <c r="F53" i="29"/>
  <c r="D53" i="29"/>
  <c r="L49" i="29"/>
  <c r="H49" i="29"/>
  <c r="F49" i="29"/>
  <c r="D49" i="29"/>
  <c r="L47" i="29"/>
  <c r="L45" i="29"/>
  <c r="L44" i="29"/>
  <c r="H44" i="29"/>
  <c r="F44" i="29"/>
  <c r="D44" i="29"/>
  <c r="L41" i="29"/>
  <c r="H41" i="29"/>
  <c r="F41" i="29"/>
  <c r="D41" i="29"/>
  <c r="L40" i="29"/>
  <c r="L39" i="29"/>
  <c r="L35" i="29"/>
  <c r="H35" i="29"/>
  <c r="F35" i="29"/>
  <c r="D35" i="29"/>
  <c r="L31" i="29"/>
  <c r="L30" i="29"/>
  <c r="A8" i="29"/>
  <c r="D5" i="29"/>
  <c r="N233" i="28"/>
  <c r="B145" i="28"/>
  <c r="B140" i="28"/>
  <c r="B137" i="28"/>
  <c r="B127" i="28"/>
  <c r="B124" i="28"/>
  <c r="Q121" i="28"/>
  <c r="Q120" i="28"/>
  <c r="B120" i="28"/>
  <c r="B116" i="28"/>
  <c r="B110" i="28"/>
  <c r="B106" i="28"/>
  <c r="B93" i="28"/>
  <c r="B83" i="28"/>
  <c r="C73" i="28"/>
  <c r="B64" i="28"/>
  <c r="B60" i="28"/>
  <c r="A49" i="28"/>
  <c r="B37" i="28"/>
  <c r="B33" i="28"/>
  <c r="B30" i="28"/>
  <c r="B26" i="28"/>
  <c r="A24" i="28"/>
  <c r="A4" i="28"/>
  <c r="P228" i="41"/>
  <c r="A42" i="41"/>
  <c r="O41" i="41"/>
  <c r="M41" i="41"/>
  <c r="O40" i="41"/>
  <c r="M40" i="41"/>
  <c r="K40" i="41"/>
  <c r="O39" i="41"/>
  <c r="M39" i="41"/>
  <c r="O37" i="41"/>
  <c r="M37" i="41"/>
  <c r="K37" i="41"/>
  <c r="M35" i="41"/>
  <c r="O32" i="41"/>
  <c r="M32" i="41"/>
  <c r="K32" i="41"/>
  <c r="O28" i="41"/>
  <c r="M28" i="41"/>
  <c r="O26" i="41"/>
  <c r="M26" i="41"/>
  <c r="K26" i="41"/>
  <c r="O25" i="41"/>
  <c r="M25" i="41"/>
  <c r="K25" i="41"/>
  <c r="O23" i="41"/>
  <c r="M23" i="41"/>
  <c r="K23" i="41"/>
  <c r="O22" i="41"/>
  <c r="M22" i="41"/>
  <c r="K22" i="41"/>
  <c r="C22" i="41"/>
  <c r="M21" i="41"/>
  <c r="K21" i="41"/>
  <c r="O19" i="41"/>
  <c r="M19" i="41"/>
  <c r="O18" i="41"/>
  <c r="M18" i="41"/>
  <c r="O17" i="41"/>
  <c r="M17" i="41"/>
  <c r="K17" i="41"/>
  <c r="O16" i="41"/>
  <c r="M16" i="41"/>
  <c r="K16" i="41"/>
  <c r="O13" i="41"/>
  <c r="M13" i="41"/>
  <c r="O12" i="41"/>
  <c r="M12" i="41"/>
  <c r="K12" i="41"/>
  <c r="O11" i="41"/>
  <c r="M11" i="41"/>
  <c r="K11" i="41"/>
  <c r="O8" i="41"/>
  <c r="M8" i="41"/>
  <c r="A3" i="41"/>
  <c r="Q233" i="7"/>
  <c r="B55" i="7"/>
  <c r="B54" i="7"/>
  <c r="L51" i="7"/>
  <c r="A33" i="7"/>
  <c r="N31" i="7"/>
  <c r="L31" i="7"/>
  <c r="H31" i="7"/>
  <c r="N27" i="7"/>
  <c r="L27" i="7"/>
  <c r="N25" i="7"/>
  <c r="L25" i="7"/>
  <c r="J25" i="7"/>
  <c r="N23" i="7"/>
  <c r="L23" i="7"/>
  <c r="J23" i="7"/>
  <c r="N19" i="7"/>
  <c r="L19" i="7"/>
  <c r="N16" i="7"/>
  <c r="L16" i="7"/>
  <c r="N15" i="7"/>
  <c r="L15" i="7"/>
  <c r="N14" i="7"/>
  <c r="L14" i="7"/>
  <c r="N13" i="7"/>
  <c r="L13" i="7"/>
  <c r="N10" i="7"/>
  <c r="L10" i="7"/>
  <c r="J10" i="7"/>
  <c r="N9" i="7"/>
  <c r="L9" i="7"/>
  <c r="J9" i="7"/>
  <c r="N8" i="7"/>
  <c r="L8" i="7"/>
  <c r="J8" i="7"/>
  <c r="N5" i="7"/>
  <c r="A3" i="7"/>
  <c r="J56" i="11"/>
  <c r="H56" i="11"/>
  <c r="J55" i="11"/>
  <c r="H55" i="11"/>
  <c r="J54" i="11"/>
  <c r="B54" i="11"/>
  <c r="J53" i="11"/>
  <c r="B53" i="11"/>
  <c r="A47" i="11"/>
  <c r="J45" i="11"/>
  <c r="H45" i="11"/>
  <c r="G45" i="11"/>
  <c r="H43" i="11"/>
  <c r="J41" i="11"/>
  <c r="H41" i="11"/>
  <c r="H40" i="11"/>
  <c r="B40" i="11"/>
  <c r="J36" i="11"/>
  <c r="H36" i="11"/>
  <c r="H34" i="11"/>
  <c r="J31" i="11"/>
  <c r="H31" i="11"/>
  <c r="J30" i="11"/>
  <c r="H30" i="11"/>
  <c r="H27" i="11"/>
  <c r="J26" i="11"/>
  <c r="H26" i="11"/>
  <c r="J25" i="11"/>
  <c r="H25" i="11"/>
  <c r="J24" i="11"/>
  <c r="H24" i="11"/>
  <c r="H23" i="11"/>
  <c r="B23" i="11"/>
  <c r="H21" i="11"/>
  <c r="B21" i="11"/>
  <c r="H19" i="11"/>
  <c r="B19" i="11"/>
  <c r="H18" i="11"/>
  <c r="B18" i="11"/>
  <c r="J14" i="11"/>
  <c r="H14" i="11"/>
  <c r="J13" i="11"/>
  <c r="H13" i="11"/>
  <c r="H12" i="11"/>
  <c r="J10" i="11"/>
  <c r="H10" i="11"/>
  <c r="J5" i="11"/>
  <c r="H5" i="11"/>
  <c r="A3" i="11"/>
  <c r="E1676" i="21"/>
  <c r="D1676" i="21"/>
  <c r="E1669" i="21"/>
  <c r="D1669" i="21"/>
  <c r="E1668" i="21"/>
  <c r="D1668" i="21"/>
  <c r="B1668" i="21"/>
  <c r="E1667" i="21"/>
  <c r="D1667" i="21"/>
  <c r="B1667" i="21"/>
  <c r="E1666" i="21"/>
  <c r="D1666" i="21"/>
  <c r="B1666" i="21"/>
  <c r="E1665" i="21"/>
  <c r="D1665" i="21"/>
  <c r="B1665" i="21"/>
  <c r="E1664" i="21"/>
  <c r="D1664" i="21"/>
  <c r="B1664" i="21"/>
  <c r="E1663" i="21"/>
  <c r="D1663" i="21"/>
  <c r="B1663" i="21"/>
  <c r="E1660" i="21"/>
  <c r="D1660" i="21"/>
  <c r="E1659" i="21"/>
  <c r="D1659" i="21"/>
  <c r="B1659" i="21"/>
  <c r="E1658" i="21"/>
  <c r="D1658" i="21"/>
  <c r="B1658" i="21"/>
  <c r="E1653" i="21"/>
  <c r="D1653" i="21"/>
  <c r="E1634" i="21"/>
  <c r="D1634" i="21"/>
  <c r="B1634" i="21"/>
  <c r="E1630" i="21"/>
  <c r="D1630" i="21"/>
  <c r="D1616" i="21"/>
  <c r="B1616" i="21"/>
  <c r="E1615" i="21"/>
  <c r="D1615" i="21"/>
  <c r="B1615" i="21"/>
  <c r="E1614" i="21"/>
  <c r="D1614" i="21"/>
  <c r="B1614" i="21"/>
  <c r="E1613" i="21"/>
  <c r="D1613" i="21"/>
  <c r="B1613" i="21"/>
  <c r="E1612" i="21"/>
  <c r="D1612" i="21"/>
  <c r="B1612" i="21"/>
  <c r="E1608" i="21"/>
  <c r="D1608" i="21"/>
  <c r="E1590" i="21"/>
  <c r="D1590" i="21"/>
  <c r="B1590" i="21"/>
  <c r="E1589" i="21"/>
  <c r="D1589" i="21"/>
  <c r="B1589" i="21"/>
  <c r="E1585" i="21"/>
  <c r="D1585" i="21"/>
  <c r="E1567" i="21"/>
  <c r="D1567" i="21"/>
  <c r="B1567" i="21"/>
  <c r="E1566" i="21"/>
  <c r="D1566" i="21"/>
  <c r="B1566" i="21"/>
  <c r="E1562" i="21"/>
  <c r="D1562" i="21"/>
  <c r="E1544" i="21"/>
  <c r="D1544" i="21"/>
  <c r="B1544" i="21"/>
  <c r="E1543" i="21"/>
  <c r="D1543" i="21"/>
  <c r="B1543" i="21"/>
  <c r="E1539" i="21"/>
  <c r="D1539" i="21"/>
  <c r="E1523" i="21"/>
  <c r="D1523" i="21"/>
  <c r="B1523" i="21"/>
  <c r="E1522" i="21"/>
  <c r="D1522" i="21"/>
  <c r="B1522" i="21"/>
  <c r="E1521" i="21"/>
  <c r="D1521" i="21"/>
  <c r="B1521" i="21"/>
  <c r="E1520" i="21"/>
  <c r="D1520" i="21"/>
  <c r="B1520" i="21"/>
  <c r="E1516" i="21"/>
  <c r="D1516" i="21"/>
  <c r="E1513" i="21"/>
  <c r="D1513" i="21"/>
  <c r="D1512" i="21"/>
  <c r="D1511" i="21"/>
  <c r="B1511" i="21"/>
  <c r="D1510" i="21"/>
  <c r="E1509" i="21"/>
  <c r="D1509" i="21"/>
  <c r="E1507" i="21"/>
  <c r="D1507" i="21"/>
  <c r="B1507" i="21"/>
  <c r="D1506" i="21"/>
  <c r="B1506" i="21"/>
  <c r="E1505" i="21"/>
  <c r="D1505" i="21"/>
  <c r="B1505" i="21"/>
  <c r="E1504" i="21"/>
  <c r="D1504" i="21"/>
  <c r="B1504" i="21"/>
  <c r="E1503" i="21"/>
  <c r="D1503" i="21"/>
  <c r="D1502" i="21"/>
  <c r="D1501" i="21"/>
  <c r="B1501" i="21"/>
  <c r="E1500" i="21"/>
  <c r="D1500" i="21"/>
  <c r="B1500" i="21"/>
  <c r="E1499" i="21"/>
  <c r="D1499" i="21"/>
  <c r="B1499" i="21"/>
  <c r="E1498" i="21"/>
  <c r="D1498" i="21"/>
  <c r="B1498" i="21"/>
  <c r="D1497" i="21"/>
  <c r="E1496" i="21"/>
  <c r="D1496" i="21"/>
  <c r="B1496" i="21"/>
  <c r="E1495" i="21"/>
  <c r="D1495" i="21"/>
  <c r="E1494" i="21"/>
  <c r="D1494" i="21"/>
  <c r="E1493" i="21"/>
  <c r="D1493" i="21"/>
  <c r="B1493" i="21"/>
  <c r="E1489" i="21"/>
  <c r="D1489" i="21"/>
  <c r="E1487" i="21"/>
  <c r="D1487" i="21"/>
  <c r="E1486" i="21"/>
  <c r="D1486" i="21"/>
  <c r="D1485" i="21"/>
  <c r="E1483" i="21"/>
  <c r="D1483" i="21"/>
  <c r="E1481" i="21"/>
  <c r="D1481" i="21"/>
  <c r="D1480" i="21"/>
  <c r="E1479" i="21"/>
  <c r="D1479" i="21"/>
  <c r="B1479" i="21"/>
  <c r="E1478" i="21"/>
  <c r="D1478" i="21"/>
  <c r="B1478" i="21"/>
  <c r="E1477" i="21"/>
  <c r="D1477" i="21"/>
  <c r="B1477" i="21"/>
  <c r="E1476" i="21"/>
  <c r="D1476" i="21"/>
  <c r="B1476" i="21"/>
  <c r="E1475" i="21"/>
  <c r="D1475" i="21"/>
  <c r="B1475" i="21"/>
  <c r="E1474" i="21"/>
  <c r="D1474" i="21"/>
  <c r="B1474" i="21"/>
  <c r="E1473" i="21"/>
  <c r="D1473" i="21"/>
  <c r="B1473" i="21"/>
  <c r="E1470" i="21"/>
  <c r="D1470" i="21"/>
  <c r="E1469" i="21"/>
  <c r="D1469" i="21"/>
  <c r="E1468" i="21"/>
  <c r="D1468" i="21"/>
  <c r="E1467" i="21"/>
  <c r="D1467" i="21"/>
  <c r="E1466" i="21"/>
  <c r="D1466" i="21"/>
  <c r="B1466" i="21"/>
  <c r="E1465" i="21"/>
  <c r="D1465" i="21"/>
  <c r="B1465" i="21"/>
  <c r="D1464" i="21"/>
  <c r="B1464" i="21"/>
  <c r="D1463" i="21"/>
  <c r="B1463" i="21"/>
  <c r="E1462" i="21"/>
  <c r="D1462" i="21"/>
  <c r="B1462" i="21"/>
  <c r="E1461" i="21"/>
  <c r="D1461" i="21"/>
  <c r="B1461" i="21"/>
  <c r="D1459" i="21"/>
  <c r="E1455" i="21"/>
  <c r="D1455" i="21"/>
  <c r="E1442" i="21"/>
  <c r="D1442" i="21"/>
  <c r="E1440" i="21"/>
  <c r="D1440" i="21"/>
  <c r="E1439" i="21"/>
  <c r="D1439" i="21"/>
  <c r="E1438" i="21"/>
  <c r="D1438" i="21"/>
  <c r="E1437" i="21"/>
  <c r="D1437" i="21"/>
  <c r="B1437" i="21"/>
  <c r="E1436" i="21"/>
  <c r="D1436" i="21"/>
  <c r="B1436" i="21"/>
  <c r="E1432" i="21"/>
  <c r="D1432" i="21"/>
  <c r="E1414" i="21"/>
  <c r="D1414" i="21"/>
  <c r="B1414" i="21"/>
  <c r="E1413" i="21"/>
  <c r="D1413" i="21"/>
  <c r="E1409" i="21"/>
  <c r="D1409" i="21"/>
  <c r="D1391" i="21"/>
  <c r="B1391" i="21"/>
  <c r="D1390" i="21"/>
  <c r="B1390" i="21"/>
  <c r="D1389" i="21"/>
  <c r="B1389" i="21"/>
  <c r="D1388" i="21"/>
  <c r="B1388" i="21"/>
  <c r="D1387" i="21"/>
  <c r="B1387" i="21"/>
  <c r="E1386" i="21"/>
  <c r="D1386" i="21"/>
  <c r="B1386" i="21"/>
  <c r="E1385" i="21"/>
  <c r="D1385" i="21"/>
  <c r="B1385" i="21"/>
  <c r="E1384" i="21"/>
  <c r="D1384" i="21"/>
  <c r="B1384" i="21"/>
  <c r="D1383" i="21"/>
  <c r="B1383" i="21"/>
  <c r="D1382" i="21"/>
  <c r="B1382" i="21"/>
  <c r="D1381" i="21"/>
  <c r="B1381" i="21"/>
  <c r="E1377" i="21"/>
  <c r="D1377" i="21"/>
  <c r="E1353" i="21"/>
  <c r="D1353" i="21"/>
  <c r="E1352" i="21"/>
  <c r="D1352" i="21"/>
  <c r="E1351" i="21"/>
  <c r="D1351" i="21"/>
  <c r="E1350" i="21"/>
  <c r="D1350" i="21"/>
  <c r="E1349" i="21"/>
  <c r="D1349" i="21"/>
  <c r="E1345" i="21"/>
  <c r="D1345" i="21"/>
  <c r="E1318" i="21"/>
  <c r="D1318" i="21"/>
  <c r="B1318" i="21"/>
  <c r="E1317" i="21"/>
  <c r="D1317" i="21"/>
  <c r="B1317" i="21"/>
  <c r="E1313" i="21"/>
  <c r="D1313" i="21"/>
  <c r="D1285" i="21"/>
  <c r="B1285" i="21"/>
  <c r="E1281" i="21"/>
  <c r="D1281" i="21"/>
  <c r="D1254" i="21"/>
  <c r="D1253" i="21"/>
  <c r="B1253" i="21"/>
  <c r="E1249" i="21"/>
  <c r="D1249" i="21"/>
  <c r="D1230" i="21"/>
  <c r="B1230" i="21"/>
  <c r="D1229" i="21"/>
  <c r="D1228" i="21"/>
  <c r="B1228" i="21"/>
  <c r="D1227" i="21"/>
  <c r="B1227" i="21"/>
  <c r="D1226" i="21"/>
  <c r="B1226" i="21"/>
  <c r="D1225" i="21"/>
  <c r="B1225" i="21"/>
  <c r="D1224" i="21"/>
  <c r="B1224" i="21"/>
  <c r="D1223" i="21"/>
  <c r="B1223" i="21"/>
  <c r="D1222" i="21"/>
  <c r="B1222" i="21"/>
  <c r="D1221" i="21"/>
  <c r="B1221" i="21"/>
  <c r="E1217" i="21"/>
  <c r="D1217" i="21"/>
  <c r="D1199" i="21"/>
  <c r="B1199" i="21"/>
  <c r="D1198" i="21"/>
  <c r="B1198" i="21"/>
  <c r="D1197" i="21"/>
  <c r="B1197" i="21"/>
  <c r="E1193" i="21"/>
  <c r="D1193" i="21"/>
  <c r="E1186" i="21"/>
  <c r="D1186" i="21"/>
  <c r="B1186" i="21"/>
  <c r="A1186" i="21"/>
  <c r="E1185" i="21"/>
  <c r="D1185" i="21"/>
  <c r="B1185" i="21"/>
  <c r="A1185" i="21"/>
  <c r="E1184" i="21"/>
  <c r="D1184" i="21"/>
  <c r="B1184" i="21"/>
  <c r="A1184" i="21"/>
  <c r="E1183" i="21"/>
  <c r="D1183" i="21"/>
  <c r="B1183" i="21"/>
  <c r="A1183" i="21"/>
  <c r="D1182" i="21"/>
  <c r="B1182" i="21"/>
  <c r="A1182" i="21"/>
  <c r="D1181" i="21"/>
  <c r="B1181" i="21"/>
  <c r="A1181" i="21"/>
  <c r="E1180" i="21"/>
  <c r="D1180" i="21"/>
  <c r="B1180" i="21"/>
  <c r="A1180" i="21"/>
  <c r="E1179" i="21"/>
  <c r="D1179" i="21"/>
  <c r="B1179" i="21"/>
  <c r="A1179" i="21"/>
  <c r="E1178" i="21"/>
  <c r="D1178" i="21"/>
  <c r="B1178" i="21"/>
  <c r="A1178" i="21"/>
  <c r="E1177" i="21"/>
  <c r="D1177" i="21"/>
  <c r="B1177" i="21"/>
  <c r="A1177" i="21"/>
  <c r="E1176" i="21"/>
  <c r="D1176" i="21"/>
  <c r="B1176" i="21"/>
  <c r="A1176" i="21"/>
  <c r="E1175" i="21"/>
  <c r="D1175" i="21"/>
  <c r="B1175" i="21"/>
  <c r="A1175" i="21"/>
  <c r="E1174" i="21"/>
  <c r="D1174" i="21"/>
  <c r="B1174" i="21"/>
  <c r="A1174" i="21"/>
  <c r="E1173" i="21"/>
  <c r="D1173" i="21"/>
  <c r="B1173" i="21"/>
  <c r="A1173" i="21"/>
  <c r="E1172" i="21"/>
  <c r="D1172" i="21"/>
  <c r="B1172" i="21"/>
  <c r="A1172" i="21"/>
  <c r="E1171" i="21"/>
  <c r="D1171" i="21"/>
  <c r="B1171" i="21"/>
  <c r="A1171" i="21"/>
  <c r="E1170" i="21"/>
  <c r="D1170" i="21"/>
  <c r="B1170" i="21"/>
  <c r="A1170" i="21"/>
  <c r="E1169" i="21"/>
  <c r="D1169" i="21"/>
  <c r="B1169" i="21"/>
  <c r="A1169" i="21"/>
  <c r="E1168" i="21"/>
  <c r="D1168" i="21"/>
  <c r="B1168" i="21"/>
  <c r="A1168" i="21"/>
  <c r="E1167" i="21"/>
  <c r="D1167" i="21"/>
  <c r="B1167" i="21"/>
  <c r="A1167" i="21"/>
  <c r="E1166" i="21"/>
  <c r="D1166" i="21"/>
  <c r="B1166" i="21"/>
  <c r="A1166" i="21"/>
  <c r="E1165" i="21"/>
  <c r="D1165" i="21"/>
  <c r="B1165" i="21"/>
  <c r="A1165" i="21"/>
  <c r="E1161" i="21"/>
  <c r="D1161" i="21"/>
  <c r="E1141" i="21"/>
  <c r="D1141" i="21"/>
  <c r="D1139" i="21"/>
  <c r="D1137" i="21"/>
  <c r="E1132" i="21"/>
  <c r="D1132" i="21"/>
  <c r="E1112" i="21"/>
  <c r="D1112" i="21"/>
  <c r="D1110" i="21"/>
  <c r="A1110" i="21"/>
  <c r="D1108" i="21"/>
  <c r="E1103" i="21"/>
  <c r="D1103" i="21"/>
  <c r="E1081" i="21"/>
  <c r="D1081" i="21"/>
  <c r="B1081" i="21"/>
  <c r="A1081" i="21"/>
  <c r="E1080" i="21"/>
  <c r="D1080" i="21"/>
  <c r="B1080" i="21"/>
  <c r="A1080" i="21"/>
  <c r="E1076" i="21"/>
  <c r="D1076" i="21"/>
  <c r="D1053" i="21"/>
  <c r="B1053" i="21"/>
  <c r="A1053" i="21"/>
  <c r="E1049" i="21"/>
  <c r="D1049" i="21"/>
  <c r="D1024" i="21"/>
  <c r="E1020" i="21"/>
  <c r="D1020" i="21"/>
  <c r="E995" i="21"/>
  <c r="D995" i="21"/>
  <c r="E991" i="21"/>
  <c r="D991" i="21"/>
  <c r="D962" i="21"/>
  <c r="D939" i="21"/>
  <c r="E912" i="21"/>
  <c r="D912" i="21"/>
  <c r="E895" i="21"/>
  <c r="D895" i="21"/>
  <c r="B895" i="21"/>
  <c r="E894" i="21"/>
  <c r="D894" i="21"/>
  <c r="B894" i="21"/>
  <c r="E893" i="21"/>
  <c r="D893" i="21"/>
  <c r="B893" i="21"/>
  <c r="E892" i="21"/>
  <c r="D892" i="21"/>
  <c r="B892" i="21"/>
  <c r="E888" i="21"/>
  <c r="D888" i="21"/>
  <c r="D870" i="21"/>
  <c r="E866" i="21"/>
  <c r="D866" i="21"/>
  <c r="E852" i="21"/>
  <c r="D852" i="21"/>
  <c r="D850" i="21"/>
  <c r="F844" i="21"/>
  <c r="E844" i="21"/>
  <c r="D844" i="21"/>
  <c r="D822" i="21"/>
  <c r="D821" i="21"/>
  <c r="F816" i="21"/>
  <c r="E816" i="21"/>
  <c r="D816" i="21"/>
  <c r="D789" i="21"/>
  <c r="D788" i="21"/>
  <c r="E784" i="21"/>
  <c r="D784" i="21"/>
  <c r="D757" i="21"/>
  <c r="H756" i="21"/>
  <c r="D756" i="21"/>
  <c r="F752" i="21"/>
  <c r="E752" i="21"/>
  <c r="D752" i="21"/>
  <c r="D725" i="21"/>
  <c r="D724" i="21"/>
  <c r="F720" i="21"/>
  <c r="E720" i="21"/>
  <c r="D720" i="21"/>
  <c r="D693" i="21"/>
  <c r="D692" i="21"/>
  <c r="F688" i="21"/>
  <c r="E688" i="21"/>
  <c r="D688" i="21"/>
  <c r="H687" i="21"/>
  <c r="I663" i="21"/>
  <c r="D663" i="21"/>
  <c r="D662" i="21"/>
  <c r="I661" i="21"/>
  <c r="D661" i="21"/>
  <c r="I660" i="21"/>
  <c r="D660" i="21"/>
  <c r="D659" i="21"/>
  <c r="H656" i="21"/>
  <c r="F656" i="21"/>
  <c r="E656" i="21"/>
  <c r="D656" i="21"/>
  <c r="D650" i="21"/>
  <c r="D649" i="21"/>
  <c r="D648" i="21"/>
  <c r="B648" i="21"/>
  <c r="D647" i="21"/>
  <c r="D646" i="21"/>
  <c r="D645" i="21"/>
  <c r="D644" i="21"/>
  <c r="D643" i="21"/>
  <c r="D642" i="21"/>
  <c r="D641" i="21"/>
  <c r="D640" i="21"/>
  <c r="D639" i="21"/>
  <c r="D638" i="21"/>
  <c r="D637" i="21"/>
  <c r="D636" i="21"/>
  <c r="D635" i="21"/>
  <c r="D634" i="21"/>
  <c r="D633" i="21"/>
  <c r="D632" i="21"/>
  <c r="D631" i="21"/>
  <c r="D630" i="21"/>
  <c r="D629" i="21"/>
  <c r="D628" i="21"/>
  <c r="I623" i="21"/>
  <c r="G623" i="21"/>
  <c r="E623" i="21"/>
  <c r="D623" i="21"/>
  <c r="D603" i="21"/>
  <c r="D602" i="21"/>
  <c r="F598" i="21"/>
  <c r="E598" i="21"/>
  <c r="D598" i="21"/>
  <c r="K594" i="21"/>
  <c r="J593" i="21"/>
  <c r="D583" i="21"/>
  <c r="D582" i="21"/>
  <c r="D581" i="21"/>
  <c r="D580" i="21"/>
  <c r="D579" i="21"/>
  <c r="F575" i="21"/>
  <c r="E575" i="21"/>
  <c r="D575" i="21"/>
  <c r="D558" i="21"/>
  <c r="D557" i="21"/>
  <c r="D556" i="21"/>
  <c r="I552" i="21"/>
  <c r="G552" i="21"/>
  <c r="F552" i="21"/>
  <c r="E552" i="21"/>
  <c r="D552" i="21"/>
  <c r="D532" i="21"/>
  <c r="D531" i="21"/>
  <c r="D530" i="21"/>
  <c r="D529" i="21"/>
  <c r="D528" i="21"/>
  <c r="D527" i="21"/>
  <c r="H523" i="21"/>
  <c r="F523" i="21"/>
  <c r="D523" i="21"/>
  <c r="G520" i="21"/>
  <c r="D520" i="21"/>
  <c r="D519" i="21"/>
  <c r="G518" i="21"/>
  <c r="D518" i="21"/>
  <c r="D517" i="21"/>
  <c r="D516" i="21"/>
  <c r="D515" i="21"/>
  <c r="D514" i="21"/>
  <c r="D513" i="21"/>
  <c r="D512" i="21"/>
  <c r="D511" i="21"/>
  <c r="D510" i="21"/>
  <c r="B510" i="21"/>
  <c r="D509" i="21"/>
  <c r="D508" i="21"/>
  <c r="D507" i="21"/>
  <c r="D506" i="21"/>
  <c r="G502" i="21"/>
  <c r="F502" i="21"/>
  <c r="D502" i="21"/>
  <c r="D499" i="21"/>
  <c r="B498" i="21"/>
  <c r="D495" i="21"/>
  <c r="B495" i="21"/>
  <c r="D494" i="21"/>
  <c r="B494" i="21"/>
  <c r="D493" i="21"/>
  <c r="B493" i="21"/>
  <c r="D492" i="21"/>
  <c r="B492" i="21"/>
  <c r="D491" i="21"/>
  <c r="B491" i="21"/>
  <c r="D490" i="21"/>
  <c r="B490" i="21"/>
  <c r="D489" i="21"/>
  <c r="B489" i="21"/>
  <c r="D488" i="21"/>
  <c r="B488" i="21"/>
  <c r="D487" i="21"/>
  <c r="D486" i="21"/>
  <c r="D484" i="21"/>
  <c r="D483" i="21"/>
  <c r="D479" i="21"/>
  <c r="B479" i="21"/>
  <c r="D477" i="21"/>
  <c r="D476" i="21"/>
  <c r="B476" i="21"/>
  <c r="D475" i="21"/>
  <c r="B475" i="21"/>
  <c r="D473" i="21"/>
  <c r="B473" i="21"/>
  <c r="D472" i="21"/>
  <c r="B472" i="21"/>
  <c r="D471" i="21"/>
  <c r="B471" i="21"/>
  <c r="D467" i="21"/>
  <c r="D466" i="21"/>
  <c r="E460" i="21"/>
  <c r="D460" i="21"/>
  <c r="D443" i="21"/>
  <c r="D442" i="21"/>
  <c r="D441" i="21"/>
  <c r="D440" i="21"/>
  <c r="F436" i="21"/>
  <c r="E436" i="21"/>
  <c r="D436" i="21"/>
  <c r="D420" i="21"/>
  <c r="F416" i="21"/>
  <c r="E416" i="21"/>
  <c r="D416" i="21"/>
  <c r="D402" i="21"/>
  <c r="D401" i="21"/>
  <c r="F397" i="21"/>
  <c r="E397" i="21"/>
  <c r="D397" i="21"/>
  <c r="D385" i="21"/>
  <c r="D384" i="21"/>
  <c r="D383" i="21"/>
  <c r="I382" i="21"/>
  <c r="D382" i="21"/>
  <c r="D381" i="21"/>
  <c r="F377" i="21"/>
  <c r="E377" i="21"/>
  <c r="D377" i="21"/>
  <c r="D362" i="21"/>
  <c r="D361" i="21"/>
  <c r="E357" i="21"/>
  <c r="D357" i="21"/>
  <c r="D342" i="21"/>
  <c r="D341" i="21"/>
  <c r="F337" i="21"/>
  <c r="E337" i="21"/>
  <c r="D337" i="21"/>
  <c r="G326" i="21"/>
  <c r="D323" i="21"/>
  <c r="D321" i="21"/>
  <c r="B321" i="21"/>
  <c r="D320" i="21"/>
  <c r="B320" i="21"/>
  <c r="D319" i="21"/>
  <c r="B319" i="21"/>
  <c r="D318" i="21"/>
  <c r="B318" i="21"/>
  <c r="H317" i="21"/>
  <c r="D317" i="21"/>
  <c r="B317" i="21"/>
  <c r="D316" i="21"/>
  <c r="B316" i="21"/>
  <c r="D315" i="21"/>
  <c r="F310" i="21"/>
  <c r="E310" i="21"/>
  <c r="D310" i="21"/>
  <c r="D297" i="21"/>
  <c r="D296" i="21"/>
  <c r="D295" i="21"/>
  <c r="D294" i="21"/>
  <c r="F290" i="21"/>
  <c r="D290" i="21"/>
  <c r="F281" i="21"/>
  <c r="D279" i="21"/>
  <c r="B279" i="21"/>
  <c r="D278" i="21"/>
  <c r="D277" i="21"/>
  <c r="D276" i="21"/>
  <c r="B276" i="21"/>
  <c r="D275" i="21"/>
  <c r="D274" i="21"/>
  <c r="F270" i="21"/>
  <c r="E270" i="21"/>
  <c r="D270" i="21"/>
  <c r="D246" i="21"/>
  <c r="D245" i="21"/>
  <c r="F241" i="21"/>
  <c r="E241" i="21"/>
  <c r="D241" i="21"/>
  <c r="D218" i="21"/>
  <c r="D217" i="21"/>
  <c r="D216" i="21"/>
  <c r="F212" i="21"/>
  <c r="E212" i="21"/>
  <c r="D212" i="21"/>
  <c r="G208" i="21"/>
  <c r="D197" i="21"/>
  <c r="D196" i="21"/>
  <c r="D195" i="21"/>
  <c r="F191" i="21"/>
  <c r="E191" i="21"/>
  <c r="D191" i="21"/>
  <c r="G189" i="21"/>
  <c r="F187" i="21"/>
  <c r="D187" i="21"/>
  <c r="D186" i="21"/>
  <c r="B186" i="21"/>
  <c r="D185" i="21"/>
  <c r="B185" i="21"/>
  <c r="D184" i="21"/>
  <c r="B184" i="21"/>
  <c r="D183" i="21"/>
  <c r="B183" i="21"/>
  <c r="D182" i="21"/>
  <c r="D179" i="21"/>
  <c r="B179" i="21"/>
  <c r="D178" i="21"/>
  <c r="B178" i="21"/>
  <c r="D176" i="21"/>
  <c r="D174" i="21"/>
  <c r="B174" i="21"/>
  <c r="D172" i="21"/>
  <c r="D169" i="21"/>
  <c r="D168" i="21"/>
  <c r="D167" i="21"/>
  <c r="D166" i="21"/>
  <c r="F163" i="21"/>
  <c r="D163" i="21"/>
  <c r="D161" i="21"/>
  <c r="D160" i="21"/>
  <c r="D159" i="21"/>
  <c r="D156" i="21"/>
  <c r="D155" i="21"/>
  <c r="D153" i="21"/>
  <c r="D152" i="21"/>
  <c r="D151" i="21"/>
  <c r="D149" i="21"/>
  <c r="B149" i="21"/>
  <c r="D147" i="21"/>
  <c r="B147" i="21"/>
  <c r="D146" i="21"/>
  <c r="D145" i="21"/>
  <c r="D144" i="21"/>
  <c r="D142" i="21"/>
  <c r="B142" i="21"/>
  <c r="D141" i="21"/>
  <c r="B141" i="21"/>
  <c r="D140" i="21"/>
  <c r="B140" i="21"/>
  <c r="D138" i="21"/>
  <c r="D137" i="21"/>
  <c r="D136" i="21"/>
  <c r="D135" i="21"/>
  <c r="D134" i="21"/>
  <c r="D133" i="21"/>
  <c r="B133" i="21"/>
  <c r="D132" i="21"/>
  <c r="D131" i="21"/>
  <c r="D130" i="21"/>
  <c r="D128" i="21"/>
  <c r="B128" i="21"/>
  <c r="D127" i="21"/>
  <c r="D126" i="21"/>
  <c r="B126" i="21"/>
  <c r="D125" i="21"/>
  <c r="D123" i="21"/>
  <c r="B123" i="21"/>
  <c r="D122" i="21"/>
  <c r="D119" i="21"/>
  <c r="D117" i="21"/>
  <c r="D115" i="21"/>
  <c r="D111" i="21"/>
  <c r="D110" i="21"/>
  <c r="D109" i="21"/>
  <c r="B108" i="21"/>
  <c r="D107" i="21"/>
  <c r="B107" i="21"/>
  <c r="D101" i="21"/>
  <c r="B101" i="21"/>
  <c r="D99" i="21"/>
  <c r="B99" i="21"/>
  <c r="D98" i="21"/>
  <c r="B98" i="21"/>
  <c r="D97" i="21"/>
  <c r="D96" i="21"/>
  <c r="B96" i="21"/>
  <c r="D94" i="21"/>
  <c r="D93" i="21"/>
  <c r="D91" i="21"/>
  <c r="F82" i="21"/>
  <c r="E82" i="21"/>
  <c r="D82" i="21"/>
  <c r="F66" i="21"/>
  <c r="D66" i="21"/>
  <c r="F65" i="21"/>
  <c r="D65" i="21"/>
  <c r="F64" i="21"/>
  <c r="D64" i="21"/>
  <c r="F63" i="21"/>
  <c r="D63" i="21"/>
  <c r="G62" i="21"/>
  <c r="F62" i="21"/>
  <c r="D62" i="21"/>
  <c r="F61" i="21"/>
  <c r="D61" i="21"/>
  <c r="F58" i="21"/>
  <c r="E58" i="21"/>
  <c r="D58" i="21"/>
  <c r="D46" i="21"/>
  <c r="D45" i="21"/>
  <c r="D44" i="21"/>
  <c r="D43" i="21"/>
  <c r="F38" i="21"/>
  <c r="E38" i="21"/>
  <c r="D38" i="21"/>
  <c r="F32" i="21"/>
  <c r="D32" i="21"/>
  <c r="F31" i="21"/>
  <c r="D31" i="21"/>
  <c r="F30" i="21"/>
  <c r="D30" i="21"/>
  <c r="F29" i="21"/>
  <c r="D29" i="21"/>
  <c r="F28" i="21"/>
  <c r="D28" i="21"/>
  <c r="F27" i="21"/>
  <c r="D27" i="21"/>
  <c r="F26" i="21"/>
  <c r="D26" i="21"/>
  <c r="F23" i="21"/>
  <c r="D23" i="21"/>
  <c r="F22" i="21"/>
  <c r="D22" i="21"/>
  <c r="F21" i="21"/>
  <c r="D21" i="21"/>
  <c r="F20" i="21"/>
  <c r="D20" i="21"/>
  <c r="F19" i="21"/>
  <c r="D19" i="21"/>
  <c r="F18" i="21"/>
  <c r="D18" i="21"/>
  <c r="F17" i="21"/>
  <c r="D17" i="21"/>
  <c r="E14" i="21"/>
  <c r="D14" i="21"/>
  <c r="D13" i="21"/>
  <c r="D12" i="21"/>
  <c r="D11" i="21"/>
  <c r="D10" i="21"/>
  <c r="D9" i="21"/>
  <c r="D8" i="21"/>
  <c r="D45" i="19"/>
  <c r="D42" i="19"/>
  <c r="D40" i="19"/>
  <c r="C40" i="19"/>
  <c r="B27" i="19"/>
  <c r="H26" i="19"/>
  <c r="D26" i="19"/>
  <c r="D23" i="19"/>
  <c r="H21" i="19"/>
  <c r="D20" i="19"/>
  <c r="D17" i="19"/>
  <c r="D13" i="19"/>
  <c r="A12" i="19"/>
  <c r="D10" i="19"/>
  <c r="C9" i="19"/>
  <c r="A9" i="19"/>
  <c r="D7" i="19"/>
  <c r="C6" i="19"/>
  <c r="G412" i="22"/>
  <c r="I410" i="22"/>
  <c r="E410" i="22"/>
  <c r="C410" i="22"/>
  <c r="J409" i="22"/>
  <c r="I409" i="22"/>
  <c r="H409" i="22"/>
  <c r="G409" i="22"/>
  <c r="F409" i="22"/>
  <c r="E409" i="22"/>
  <c r="D409" i="22"/>
  <c r="C409" i="22"/>
  <c r="J408" i="22"/>
  <c r="I408" i="22"/>
  <c r="J407" i="22"/>
  <c r="I407" i="22"/>
  <c r="J406" i="22"/>
  <c r="I406" i="22"/>
  <c r="J405" i="22"/>
  <c r="I405" i="22"/>
  <c r="J404" i="22"/>
  <c r="I404" i="22"/>
  <c r="J403" i="22"/>
  <c r="I403" i="22"/>
  <c r="H403" i="22"/>
  <c r="J402" i="22"/>
  <c r="I402" i="22"/>
  <c r="J401" i="22"/>
  <c r="I401" i="22"/>
  <c r="J400" i="22"/>
  <c r="I400" i="22"/>
  <c r="J399" i="22"/>
  <c r="I399" i="22"/>
  <c r="J398" i="22"/>
  <c r="I398" i="22"/>
  <c r="J397" i="22"/>
  <c r="I397" i="22"/>
  <c r="J396" i="22"/>
  <c r="I396" i="22"/>
  <c r="J395" i="22"/>
  <c r="I395" i="22"/>
  <c r="J394" i="22"/>
  <c r="I394" i="22"/>
  <c r="J393" i="22"/>
  <c r="I393" i="22"/>
  <c r="G393" i="22"/>
  <c r="J392" i="22"/>
  <c r="I392" i="22"/>
  <c r="G392" i="22"/>
  <c r="K391" i="22"/>
  <c r="J391" i="22"/>
  <c r="I391" i="22"/>
  <c r="J390" i="22"/>
  <c r="I390" i="22"/>
  <c r="J389" i="22"/>
  <c r="I389" i="22"/>
  <c r="J388" i="22"/>
  <c r="I388" i="22"/>
  <c r="J387" i="22"/>
  <c r="I387" i="22"/>
  <c r="J386" i="22"/>
  <c r="I386" i="22"/>
  <c r="J385" i="22"/>
  <c r="I385" i="22"/>
  <c r="J384" i="22"/>
  <c r="I384" i="22"/>
  <c r="J383" i="22"/>
  <c r="I383" i="22"/>
  <c r="J382" i="22"/>
  <c r="I382" i="22"/>
  <c r="J381" i="22"/>
  <c r="I381" i="22"/>
  <c r="J380" i="22"/>
  <c r="I380" i="22"/>
  <c r="J379" i="22"/>
  <c r="I379" i="22"/>
  <c r="G379" i="22"/>
  <c r="J378" i="22"/>
  <c r="I378" i="22"/>
  <c r="J377" i="22"/>
  <c r="I377" i="22"/>
  <c r="G377" i="22"/>
  <c r="J376" i="22"/>
  <c r="I376" i="22"/>
  <c r="Q375" i="22"/>
  <c r="J375" i="22"/>
  <c r="I375" i="22"/>
  <c r="G375" i="22"/>
  <c r="C375" i="22"/>
  <c r="J374" i="22"/>
  <c r="I374" i="22"/>
  <c r="J373" i="22"/>
  <c r="I373" i="22"/>
  <c r="J372" i="22"/>
  <c r="I372" i="22"/>
  <c r="J371" i="22"/>
  <c r="I371" i="22"/>
  <c r="J370" i="22"/>
  <c r="I370" i="22"/>
  <c r="J369" i="22"/>
  <c r="I369" i="22"/>
  <c r="J368" i="22"/>
  <c r="I368" i="22"/>
  <c r="J367" i="22"/>
  <c r="I367" i="22"/>
  <c r="J366" i="22"/>
  <c r="I366" i="22"/>
  <c r="J365" i="22"/>
  <c r="I365" i="22"/>
  <c r="J364" i="22"/>
  <c r="I364" i="22"/>
  <c r="J363" i="22"/>
  <c r="I363" i="22"/>
  <c r="J362" i="22"/>
  <c r="I362" i="22"/>
  <c r="J361" i="22"/>
  <c r="I361" i="22"/>
  <c r="J360" i="22"/>
  <c r="I360" i="22"/>
  <c r="J359" i="22"/>
  <c r="I359" i="22"/>
  <c r="J358" i="22"/>
  <c r="I358" i="22"/>
  <c r="J357" i="22"/>
  <c r="I357" i="22"/>
  <c r="I356" i="22"/>
  <c r="C356" i="22"/>
  <c r="J355" i="22"/>
  <c r="I355" i="22"/>
  <c r="J354" i="22"/>
  <c r="I354" i="22"/>
  <c r="J353" i="22"/>
  <c r="I353" i="22"/>
  <c r="J352" i="22"/>
  <c r="I352" i="22"/>
  <c r="J351" i="22"/>
  <c r="I351" i="22"/>
  <c r="J350" i="22"/>
  <c r="I350" i="22"/>
  <c r="J349" i="22"/>
  <c r="I349" i="22"/>
  <c r="J348" i="22"/>
  <c r="I348" i="22"/>
  <c r="J347" i="22"/>
  <c r="I347" i="22"/>
  <c r="J346" i="22"/>
  <c r="I346" i="22"/>
  <c r="J345" i="22"/>
  <c r="I345" i="22"/>
  <c r="J344" i="22"/>
  <c r="I344" i="22"/>
  <c r="G344" i="22"/>
  <c r="J343" i="22"/>
  <c r="I343" i="22"/>
  <c r="J342" i="22"/>
  <c r="I342" i="22"/>
  <c r="J341" i="22"/>
  <c r="I341" i="22"/>
  <c r="J340" i="22"/>
  <c r="I340" i="22"/>
  <c r="J339" i="22"/>
  <c r="I339" i="22"/>
  <c r="J338" i="22"/>
  <c r="I338" i="22"/>
  <c r="J337" i="22"/>
  <c r="I337" i="22"/>
  <c r="J336" i="22"/>
  <c r="I336" i="22"/>
  <c r="J335" i="22"/>
  <c r="I335" i="22"/>
  <c r="J334" i="22"/>
  <c r="I334" i="22"/>
  <c r="J333" i="22"/>
  <c r="I333" i="22"/>
  <c r="J332" i="22"/>
  <c r="I332" i="22"/>
  <c r="J331" i="22"/>
  <c r="I331" i="22"/>
  <c r="J330" i="22"/>
  <c r="I330" i="22"/>
  <c r="J329" i="22"/>
  <c r="I329" i="22"/>
  <c r="J328" i="22"/>
  <c r="I328" i="22"/>
  <c r="J327" i="22"/>
  <c r="I327" i="22"/>
  <c r="J326" i="22"/>
  <c r="I326" i="22"/>
  <c r="J325" i="22"/>
  <c r="I325" i="22"/>
  <c r="J324" i="22"/>
  <c r="I324" i="22"/>
  <c r="J323" i="22"/>
  <c r="I323" i="22"/>
  <c r="J322" i="22"/>
  <c r="I322" i="22"/>
  <c r="J321" i="22"/>
  <c r="I321" i="22"/>
  <c r="J320" i="22"/>
  <c r="I320" i="22"/>
  <c r="J319" i="22"/>
  <c r="I319" i="22"/>
  <c r="J318" i="22"/>
  <c r="I318" i="22"/>
  <c r="J317" i="22"/>
  <c r="I317" i="22"/>
  <c r="J316" i="22"/>
  <c r="I316" i="22"/>
  <c r="J315" i="22"/>
  <c r="I315" i="22"/>
  <c r="J314" i="22"/>
  <c r="I314" i="22"/>
  <c r="J313" i="22"/>
  <c r="I313" i="22"/>
  <c r="J312" i="22"/>
  <c r="I312" i="22"/>
  <c r="J311" i="22"/>
  <c r="I311" i="22"/>
  <c r="J310" i="22"/>
  <c r="I310" i="22"/>
  <c r="J309" i="22"/>
  <c r="I309" i="22"/>
  <c r="J308" i="22"/>
  <c r="I308" i="22"/>
  <c r="L307" i="22"/>
  <c r="J307" i="22"/>
  <c r="I307" i="22"/>
  <c r="J306" i="22"/>
  <c r="I306" i="22"/>
  <c r="J305" i="22"/>
  <c r="I305" i="22"/>
  <c r="J304" i="22"/>
  <c r="I304" i="22"/>
  <c r="J303" i="22"/>
  <c r="I303" i="22"/>
  <c r="M302" i="22"/>
  <c r="J302" i="22"/>
  <c r="I302" i="22"/>
  <c r="L301" i="22"/>
  <c r="J301" i="22"/>
  <c r="I301" i="22"/>
  <c r="L300" i="22"/>
  <c r="K300" i="22"/>
  <c r="J300" i="22"/>
  <c r="I300" i="22"/>
  <c r="H300" i="22"/>
  <c r="J299" i="22"/>
  <c r="I299" i="22"/>
  <c r="J298" i="22"/>
  <c r="I298" i="22"/>
  <c r="J297" i="22"/>
  <c r="I297" i="22"/>
  <c r="J296" i="22"/>
  <c r="I296" i="22"/>
  <c r="J295" i="22"/>
  <c r="I295" i="22"/>
  <c r="J294" i="22"/>
  <c r="I294" i="22"/>
  <c r="J293" i="22"/>
  <c r="I293" i="22"/>
  <c r="J292" i="22"/>
  <c r="I292" i="22"/>
  <c r="J291" i="22"/>
  <c r="I291" i="22"/>
  <c r="J290" i="22"/>
  <c r="J289" i="22"/>
  <c r="I289" i="22"/>
  <c r="J288" i="22"/>
  <c r="I288" i="22"/>
  <c r="J287" i="22"/>
  <c r="I287" i="22"/>
  <c r="J286" i="22"/>
  <c r="I286" i="22"/>
  <c r="J285" i="22"/>
  <c r="I285" i="22"/>
  <c r="J284" i="22"/>
  <c r="I284" i="22"/>
  <c r="J283" i="22"/>
  <c r="I283" i="22"/>
  <c r="J282" i="22"/>
  <c r="I282" i="22"/>
  <c r="L281" i="22"/>
  <c r="J281" i="22"/>
  <c r="I281" i="22"/>
  <c r="J280" i="22"/>
  <c r="I280" i="22"/>
  <c r="K279" i="22"/>
  <c r="J279" i="22"/>
  <c r="I279" i="22"/>
  <c r="J278" i="22"/>
  <c r="I278" i="22"/>
  <c r="L277" i="22"/>
  <c r="J277" i="22"/>
  <c r="I277" i="22"/>
  <c r="J276" i="22"/>
  <c r="I276" i="22"/>
  <c r="J275" i="22"/>
  <c r="I275" i="22"/>
  <c r="J274" i="22"/>
  <c r="I274" i="22"/>
  <c r="J273" i="22"/>
  <c r="I273" i="22"/>
  <c r="J272" i="22"/>
  <c r="I272" i="22"/>
  <c r="J271" i="22"/>
  <c r="I271" i="22"/>
  <c r="J270" i="22"/>
  <c r="I270" i="22"/>
  <c r="J269" i="22"/>
  <c r="I269" i="22"/>
  <c r="J268" i="22"/>
  <c r="I268" i="22"/>
  <c r="J267" i="22"/>
  <c r="I267" i="22"/>
  <c r="J266" i="22"/>
  <c r="I266" i="22"/>
  <c r="J265" i="22"/>
  <c r="I265" i="22"/>
  <c r="J264" i="22"/>
  <c r="I264" i="22"/>
  <c r="J263" i="22"/>
  <c r="I263" i="22"/>
  <c r="J262" i="22"/>
  <c r="I262" i="22"/>
  <c r="J261" i="22"/>
  <c r="I261" i="22"/>
  <c r="J260" i="22"/>
  <c r="I260" i="22"/>
  <c r="J259" i="22"/>
  <c r="I259" i="22"/>
  <c r="J258" i="22"/>
  <c r="I258" i="22"/>
  <c r="J257" i="22"/>
  <c r="I257" i="22"/>
  <c r="J256" i="22"/>
  <c r="I256" i="22"/>
  <c r="J255" i="22"/>
  <c r="I255" i="22"/>
  <c r="J254" i="22"/>
  <c r="I254" i="22"/>
  <c r="J253" i="22"/>
  <c r="I253" i="22"/>
  <c r="J252" i="22"/>
  <c r="I252" i="22"/>
  <c r="J251" i="22"/>
  <c r="I251" i="22"/>
  <c r="J250" i="22"/>
  <c r="I250" i="22"/>
  <c r="J249" i="22"/>
  <c r="I249" i="22"/>
  <c r="J248" i="22"/>
  <c r="I248" i="22"/>
  <c r="J247" i="22"/>
  <c r="I247" i="22"/>
  <c r="J246" i="22"/>
  <c r="I246" i="22"/>
  <c r="J245" i="22"/>
  <c r="I245" i="22"/>
  <c r="J244" i="22"/>
  <c r="I244" i="22"/>
  <c r="J243" i="22"/>
  <c r="I243" i="22"/>
  <c r="J242" i="22"/>
  <c r="I242" i="22"/>
  <c r="J241" i="22"/>
  <c r="I241" i="22"/>
  <c r="J240" i="22"/>
  <c r="I240" i="22"/>
  <c r="J239" i="22"/>
  <c r="I239" i="22"/>
  <c r="J238" i="22"/>
  <c r="I238" i="22"/>
  <c r="J237" i="22"/>
  <c r="I237" i="22"/>
  <c r="J236" i="22"/>
  <c r="I236" i="22"/>
  <c r="J235" i="22"/>
  <c r="I235" i="22"/>
  <c r="J234" i="22"/>
  <c r="I234" i="22"/>
  <c r="J233" i="22"/>
  <c r="I233" i="22"/>
  <c r="J232" i="22"/>
  <c r="I232" i="22"/>
  <c r="J231" i="22"/>
  <c r="I231" i="22"/>
  <c r="J230" i="22"/>
  <c r="I230" i="22"/>
  <c r="J229" i="22"/>
  <c r="I229" i="22"/>
  <c r="J228" i="22"/>
  <c r="I228" i="22"/>
  <c r="J227" i="22"/>
  <c r="I227" i="22"/>
  <c r="J226" i="22"/>
  <c r="I226" i="22"/>
  <c r="J225" i="22"/>
  <c r="I225" i="22"/>
  <c r="J224" i="22"/>
  <c r="I224" i="22"/>
  <c r="J223" i="22"/>
  <c r="I223" i="22"/>
  <c r="J222" i="22"/>
  <c r="I222" i="22"/>
  <c r="J221" i="22"/>
  <c r="I221" i="22"/>
  <c r="G221" i="22"/>
  <c r="J220" i="22"/>
  <c r="D220" i="22"/>
  <c r="J219" i="22"/>
  <c r="I219" i="22"/>
  <c r="H219" i="22"/>
  <c r="J218" i="22"/>
  <c r="I218" i="22"/>
  <c r="J217" i="22"/>
  <c r="I217" i="22"/>
  <c r="J216" i="22"/>
  <c r="I216" i="22"/>
  <c r="J215" i="22"/>
  <c r="I215" i="22"/>
  <c r="J214" i="22"/>
  <c r="H214" i="22"/>
  <c r="J213" i="22"/>
  <c r="I213" i="22"/>
  <c r="J212" i="22"/>
  <c r="I212" i="22"/>
  <c r="J211" i="22"/>
  <c r="I211" i="22"/>
  <c r="J210" i="22"/>
  <c r="I210" i="22"/>
  <c r="J209" i="22"/>
  <c r="I209" i="22"/>
  <c r="J208" i="22"/>
  <c r="I208" i="22"/>
  <c r="J207" i="22"/>
  <c r="I207" i="22"/>
  <c r="J206" i="22"/>
  <c r="I206" i="22"/>
  <c r="J205" i="22"/>
  <c r="I205" i="22"/>
  <c r="J204" i="22"/>
  <c r="I204" i="22"/>
  <c r="J203" i="22"/>
  <c r="I203" i="22"/>
  <c r="J202" i="22"/>
  <c r="I202" i="22"/>
  <c r="J201" i="22"/>
  <c r="I201" i="22"/>
  <c r="J200" i="22"/>
  <c r="I200" i="22"/>
  <c r="J199" i="22"/>
  <c r="I199" i="22"/>
  <c r="J198" i="22"/>
  <c r="I198" i="22"/>
  <c r="J197" i="22"/>
  <c r="I197" i="22"/>
  <c r="J196" i="22"/>
  <c r="I196" i="22"/>
  <c r="J195" i="22"/>
  <c r="I195" i="22"/>
  <c r="J194" i="22"/>
  <c r="I194" i="22"/>
  <c r="N193" i="22"/>
  <c r="J193" i="22"/>
  <c r="I193" i="22"/>
  <c r="N192" i="22"/>
  <c r="J192" i="22"/>
  <c r="I192" i="22"/>
  <c r="J191" i="22"/>
  <c r="I191" i="22"/>
  <c r="J190" i="22"/>
  <c r="I190" i="22"/>
  <c r="J189" i="22"/>
  <c r="I189" i="22"/>
  <c r="J188" i="22"/>
  <c r="I188" i="22"/>
  <c r="L187" i="22"/>
  <c r="J187" i="22"/>
  <c r="I187" i="22"/>
  <c r="J186" i="22"/>
  <c r="I186" i="22"/>
  <c r="J185" i="22"/>
  <c r="I185" i="22"/>
  <c r="J184" i="22"/>
  <c r="I184" i="22"/>
  <c r="J183" i="22"/>
  <c r="I183" i="22"/>
  <c r="J182" i="22"/>
  <c r="I182" i="22"/>
  <c r="J181" i="22"/>
  <c r="I181" i="22"/>
  <c r="J180" i="22"/>
  <c r="I180" i="22"/>
  <c r="J179" i="22"/>
  <c r="I179" i="22"/>
  <c r="J178" i="22"/>
  <c r="I178" i="22"/>
  <c r="J177" i="22"/>
  <c r="I177" i="22"/>
  <c r="J176" i="22"/>
  <c r="I176" i="22"/>
  <c r="J175" i="22"/>
  <c r="I175" i="22"/>
  <c r="J174" i="22"/>
  <c r="I174" i="22"/>
  <c r="J173" i="22"/>
  <c r="I173" i="22"/>
  <c r="J172" i="22"/>
  <c r="I172" i="22"/>
  <c r="J171" i="22"/>
  <c r="I171" i="22"/>
  <c r="J170" i="22"/>
  <c r="I170" i="22"/>
  <c r="J169" i="22"/>
  <c r="I169" i="22"/>
  <c r="J168" i="22"/>
  <c r="I168" i="22"/>
  <c r="J167" i="22"/>
  <c r="I167" i="22"/>
  <c r="J166" i="22"/>
  <c r="I166" i="22"/>
  <c r="J165" i="22"/>
  <c r="I165" i="22"/>
  <c r="J164" i="22"/>
  <c r="I164" i="22"/>
  <c r="J163" i="22"/>
  <c r="I163" i="22"/>
  <c r="J162" i="22"/>
  <c r="I162" i="22"/>
  <c r="J161" i="22"/>
  <c r="I161" i="22"/>
  <c r="J160" i="22"/>
  <c r="I160" i="22"/>
  <c r="J159" i="22"/>
  <c r="I159" i="22"/>
  <c r="J158" i="22"/>
  <c r="I158" i="22"/>
  <c r="J157" i="22"/>
  <c r="I157" i="22"/>
  <c r="J156" i="22"/>
  <c r="I156" i="22"/>
  <c r="J155" i="22"/>
  <c r="I155" i="22"/>
  <c r="J154" i="22"/>
  <c r="I154" i="22"/>
  <c r="J153" i="22"/>
  <c r="I153" i="22"/>
  <c r="J152" i="22"/>
  <c r="I152" i="22"/>
  <c r="J151" i="22"/>
  <c r="I151" i="22"/>
  <c r="J150" i="22"/>
  <c r="I150" i="22"/>
  <c r="J149" i="22"/>
  <c r="I149" i="22"/>
  <c r="J148" i="22"/>
  <c r="I148" i="22"/>
  <c r="J147" i="22"/>
  <c r="I147" i="22"/>
  <c r="J146" i="22"/>
  <c r="I146" i="22"/>
  <c r="J145" i="22"/>
  <c r="I145" i="22"/>
  <c r="J144" i="22"/>
  <c r="I144" i="22"/>
  <c r="J143" i="22"/>
  <c r="I143" i="22"/>
  <c r="J142" i="22"/>
  <c r="I142" i="22"/>
  <c r="J141" i="22"/>
  <c r="I141" i="22"/>
  <c r="J140" i="22"/>
  <c r="I140" i="22"/>
  <c r="J139" i="22"/>
  <c r="I139" i="22"/>
  <c r="J138" i="22"/>
  <c r="I138" i="22"/>
  <c r="J137" i="22"/>
  <c r="I137" i="22"/>
  <c r="J136" i="22"/>
  <c r="I136" i="22"/>
  <c r="J135" i="22"/>
  <c r="I135" i="22"/>
  <c r="J134" i="22"/>
  <c r="I134" i="22"/>
  <c r="J133" i="22"/>
  <c r="I133" i="22"/>
  <c r="J132" i="22"/>
  <c r="I132" i="22"/>
  <c r="J131" i="22"/>
  <c r="I131" i="22"/>
  <c r="J130" i="22"/>
  <c r="I130" i="22"/>
  <c r="J129" i="22"/>
  <c r="I129" i="22"/>
  <c r="J128" i="22"/>
  <c r="I128" i="22"/>
  <c r="J127" i="22"/>
  <c r="I127" i="22"/>
  <c r="J126" i="22"/>
  <c r="I126" i="22"/>
  <c r="J125" i="22"/>
  <c r="I125" i="22"/>
  <c r="J124" i="22"/>
  <c r="I124" i="22"/>
  <c r="J123" i="22"/>
  <c r="I123" i="22"/>
  <c r="J122" i="22"/>
  <c r="I122" i="22"/>
  <c r="J121" i="22"/>
  <c r="I121" i="22"/>
  <c r="J120" i="22"/>
  <c r="I120" i="22"/>
  <c r="J119" i="22"/>
  <c r="I119" i="22"/>
  <c r="J118" i="22"/>
  <c r="I118" i="22"/>
  <c r="J117" i="22"/>
  <c r="I117" i="22"/>
  <c r="J116" i="22"/>
  <c r="I116" i="22"/>
  <c r="J115" i="22"/>
  <c r="I115" i="22"/>
  <c r="J114" i="22"/>
  <c r="I114" i="22"/>
  <c r="J113" i="22"/>
  <c r="I113" i="22"/>
  <c r="J112" i="22"/>
  <c r="I112" i="22"/>
  <c r="J111" i="22"/>
  <c r="I111" i="22"/>
  <c r="J110" i="22"/>
  <c r="I110" i="22"/>
  <c r="J109" i="22"/>
  <c r="I109" i="22"/>
  <c r="J108" i="22"/>
  <c r="I108" i="22"/>
  <c r="J107" i="22"/>
  <c r="I107" i="22"/>
  <c r="J106" i="22"/>
  <c r="I106" i="22"/>
  <c r="J105" i="22"/>
  <c r="I105" i="22"/>
  <c r="J104" i="22"/>
  <c r="I104" i="22"/>
  <c r="J103" i="22"/>
  <c r="I103" i="22"/>
  <c r="J102" i="22"/>
  <c r="I102" i="22"/>
  <c r="J101" i="22"/>
  <c r="I101" i="22"/>
  <c r="J100" i="22"/>
  <c r="I100" i="22"/>
  <c r="J99" i="22"/>
  <c r="I99" i="22"/>
  <c r="J98" i="22"/>
  <c r="I98" i="22"/>
  <c r="J97" i="22"/>
  <c r="I97" i="22"/>
  <c r="J96" i="22"/>
  <c r="I96" i="22"/>
  <c r="J95" i="22"/>
  <c r="I95" i="22"/>
  <c r="J94" i="22"/>
  <c r="I94" i="22"/>
  <c r="J93" i="22"/>
  <c r="I93" i="22"/>
  <c r="J92" i="22"/>
  <c r="I92" i="22"/>
  <c r="J91" i="22"/>
  <c r="I91" i="22"/>
  <c r="J90" i="22"/>
  <c r="I90" i="22"/>
  <c r="J89" i="22"/>
  <c r="I89" i="22"/>
  <c r="J88" i="22"/>
  <c r="I88" i="22"/>
  <c r="J87" i="22"/>
  <c r="I87" i="22"/>
  <c r="J86" i="22"/>
  <c r="I86" i="22"/>
  <c r="J85" i="22"/>
  <c r="I85" i="22"/>
  <c r="J84" i="22"/>
  <c r="I84" i="22"/>
  <c r="J83" i="22"/>
  <c r="I83" i="22"/>
  <c r="J82" i="22"/>
  <c r="I82" i="22"/>
  <c r="J81" i="22"/>
  <c r="I81" i="22"/>
  <c r="J80" i="22"/>
  <c r="I80" i="22"/>
  <c r="J79" i="22"/>
  <c r="I79" i="22"/>
  <c r="J78" i="22"/>
  <c r="I78" i="22"/>
  <c r="J77" i="22"/>
  <c r="I77" i="22"/>
  <c r="J76" i="22"/>
  <c r="I76" i="22"/>
  <c r="J75" i="22"/>
  <c r="I75" i="22"/>
  <c r="J74" i="22"/>
  <c r="I74" i="22"/>
  <c r="J73" i="22"/>
  <c r="I73" i="22"/>
  <c r="J72" i="22"/>
  <c r="I72" i="22"/>
  <c r="J71" i="22"/>
  <c r="I71" i="22"/>
  <c r="J70" i="22"/>
  <c r="I70" i="22"/>
  <c r="J69" i="22"/>
  <c r="I69" i="22"/>
  <c r="J68" i="22"/>
  <c r="I68" i="22"/>
  <c r="J67" i="22"/>
  <c r="I67" i="22"/>
  <c r="J66" i="22"/>
  <c r="I66" i="22"/>
  <c r="J65" i="22"/>
  <c r="I65" i="22"/>
  <c r="J64" i="22"/>
  <c r="I64" i="22"/>
  <c r="J63" i="22"/>
  <c r="I63" i="22"/>
  <c r="J62" i="22"/>
  <c r="I62" i="22"/>
  <c r="L61" i="22"/>
  <c r="J61" i="22"/>
  <c r="I61" i="22"/>
  <c r="J60" i="22"/>
  <c r="I60" i="22"/>
  <c r="J59" i="22"/>
  <c r="I59" i="22"/>
  <c r="J58" i="22"/>
  <c r="I58" i="22"/>
  <c r="M57" i="22"/>
  <c r="L57" i="22"/>
  <c r="K57" i="22"/>
  <c r="J57" i="22"/>
  <c r="I57" i="22"/>
  <c r="J56" i="22"/>
  <c r="I56" i="22"/>
  <c r="J55" i="22"/>
  <c r="I55" i="22"/>
  <c r="J54" i="22"/>
  <c r="I54" i="22"/>
  <c r="J53" i="22"/>
  <c r="I53" i="22"/>
  <c r="J52" i="22"/>
  <c r="I52" i="22"/>
  <c r="J51" i="22"/>
  <c r="I51" i="22"/>
  <c r="J50" i="22"/>
  <c r="I50" i="22"/>
  <c r="J49" i="22"/>
  <c r="I49" i="22"/>
  <c r="J48" i="22"/>
  <c r="I48" i="22"/>
  <c r="J47" i="22"/>
  <c r="I47" i="22"/>
  <c r="J46" i="22"/>
  <c r="I46" i="22"/>
  <c r="J45" i="22"/>
  <c r="I45" i="22"/>
  <c r="H45" i="22"/>
  <c r="J44" i="22"/>
  <c r="I44" i="22"/>
  <c r="J43" i="22"/>
  <c r="I43" i="22"/>
  <c r="J42" i="22"/>
  <c r="I42" i="22"/>
  <c r="J41" i="22"/>
  <c r="I41" i="22"/>
  <c r="J40" i="22"/>
  <c r="I40" i="22"/>
  <c r="J39" i="22"/>
  <c r="I39" i="22"/>
  <c r="N38" i="22"/>
  <c r="J38" i="22"/>
  <c r="I38" i="22"/>
  <c r="J37" i="22"/>
  <c r="I37" i="22"/>
  <c r="J36" i="22"/>
  <c r="I36" i="22"/>
  <c r="L35" i="22"/>
  <c r="J35" i="22"/>
  <c r="I35" i="22"/>
  <c r="H35" i="22"/>
  <c r="J34" i="22"/>
  <c r="I34" i="22"/>
  <c r="H34" i="22"/>
  <c r="J33" i="22"/>
  <c r="I33" i="22"/>
  <c r="J32" i="22"/>
  <c r="I32" i="22"/>
  <c r="L31" i="22"/>
  <c r="J31" i="22"/>
  <c r="I31" i="22"/>
  <c r="L30" i="22"/>
  <c r="J30" i="22"/>
  <c r="I30" i="22"/>
  <c r="J29" i="22"/>
  <c r="I29" i="22"/>
  <c r="J28" i="22"/>
  <c r="I28" i="22"/>
  <c r="J27" i="22"/>
  <c r="I27" i="22"/>
  <c r="J26" i="22"/>
  <c r="I26" i="22"/>
  <c r="J25" i="22"/>
  <c r="I25" i="22"/>
  <c r="K24" i="22"/>
  <c r="J24" i="22"/>
  <c r="I24" i="22"/>
  <c r="J23" i="22"/>
  <c r="I23" i="22"/>
  <c r="M22" i="22"/>
  <c r="L22" i="22"/>
  <c r="J22" i="22"/>
  <c r="I22" i="22"/>
  <c r="J21" i="22"/>
  <c r="I21" i="22"/>
  <c r="J20" i="22"/>
  <c r="I20" i="22"/>
  <c r="J19" i="22"/>
  <c r="I19" i="22"/>
  <c r="J18" i="22"/>
  <c r="I18" i="22"/>
  <c r="H18" i="22"/>
  <c r="J17" i="22"/>
  <c r="I17" i="22"/>
  <c r="J16" i="22"/>
  <c r="I16" i="22"/>
  <c r="G16" i="22"/>
  <c r="J15" i="22"/>
  <c r="I15" i="22"/>
  <c r="H15" i="22"/>
  <c r="J14" i="22"/>
  <c r="I14" i="22"/>
  <c r="J13" i="22"/>
  <c r="I13" i="22"/>
  <c r="J12" i="22"/>
  <c r="I12" i="22"/>
  <c r="J11" i="22"/>
  <c r="I11" i="22"/>
  <c r="J10" i="22"/>
  <c r="I10" i="22"/>
  <c r="J9" i="22"/>
  <c r="I9" i="22"/>
  <c r="C40" i="17"/>
  <c r="B40" i="17"/>
  <c r="C37" i="17"/>
  <c r="B37" i="17"/>
  <c r="C34" i="17"/>
  <c r="B34" i="17"/>
  <c r="C31" i="17"/>
  <c r="B31" i="17"/>
  <c r="C28" i="17"/>
  <c r="B28" i="17"/>
  <c r="C25" i="17"/>
  <c r="B25" i="17"/>
  <c r="C21" i="17"/>
  <c r="B21" i="17"/>
  <c r="C20" i="17"/>
  <c r="C18" i="17"/>
  <c r="B18" i="17"/>
  <c r="C17" i="17"/>
  <c r="C15" i="17"/>
  <c r="B15" i="17"/>
  <c r="C14" i="17"/>
  <c r="C12" i="17"/>
  <c r="B12" i="17"/>
  <c r="C11" i="17"/>
  <c r="B10" i="17"/>
  <c r="C9" i="17"/>
  <c r="B9" i="17"/>
  <c r="C8" i="17"/>
  <c r="C6" i="17"/>
  <c r="B6" i="17"/>
  <c r="C5" i="17"/>
  <c r="B4" i="17"/>
  <c r="F251" i="5"/>
  <c r="J249" i="5"/>
  <c r="H249" i="5"/>
  <c r="F249" i="5"/>
  <c r="D249" i="5"/>
  <c r="K246" i="5"/>
  <c r="J246" i="5"/>
  <c r="I246" i="5"/>
  <c r="H246" i="5"/>
  <c r="G246" i="5"/>
  <c r="F246" i="5"/>
  <c r="E246" i="5"/>
  <c r="D246" i="5"/>
  <c r="J241" i="5"/>
  <c r="J240" i="5"/>
  <c r="J236" i="5"/>
  <c r="J235" i="5"/>
  <c r="J230" i="5"/>
  <c r="J229" i="5"/>
  <c r="J228" i="5"/>
  <c r="J224" i="5"/>
  <c r="H224" i="5"/>
  <c r="J223" i="5"/>
  <c r="J222" i="5"/>
  <c r="H222" i="5"/>
  <c r="J221" i="5"/>
  <c r="J220" i="5"/>
  <c r="I220" i="5"/>
  <c r="J219" i="5"/>
  <c r="J218" i="5"/>
  <c r="J217" i="5"/>
  <c r="J216" i="5"/>
  <c r="J215" i="5"/>
  <c r="J214" i="5"/>
  <c r="J213" i="5"/>
  <c r="I213" i="5"/>
  <c r="J212" i="5"/>
  <c r="J211" i="5"/>
  <c r="J210" i="5"/>
  <c r="I210" i="5"/>
  <c r="J209" i="5"/>
  <c r="J208" i="5"/>
  <c r="J207" i="5"/>
  <c r="I207" i="5"/>
  <c r="H207" i="5"/>
  <c r="J206" i="5"/>
  <c r="H206" i="5"/>
  <c r="J205" i="5"/>
  <c r="J204" i="5"/>
  <c r="I204" i="5"/>
  <c r="J203" i="5"/>
  <c r="J202" i="5"/>
  <c r="J195" i="5"/>
  <c r="J192" i="5"/>
  <c r="J189" i="5"/>
  <c r="J186" i="5"/>
  <c r="K179" i="5"/>
  <c r="K176" i="5"/>
  <c r="K173" i="5"/>
  <c r="K170" i="5"/>
  <c r="K165" i="5"/>
  <c r="K162" i="5"/>
  <c r="K159" i="5"/>
  <c r="K158" i="5"/>
  <c r="K152" i="5"/>
  <c r="K151" i="5"/>
  <c r="K150" i="5"/>
  <c r="K146" i="5"/>
  <c r="K145" i="5"/>
  <c r="K144" i="5"/>
  <c r="K143" i="5"/>
  <c r="K142" i="5"/>
  <c r="K141" i="5"/>
  <c r="K140" i="5"/>
  <c r="H140" i="5"/>
  <c r="K136" i="5"/>
  <c r="H136" i="5"/>
  <c r="K135" i="5"/>
  <c r="K134" i="5"/>
  <c r="K133" i="5"/>
  <c r="K132" i="5"/>
  <c r="K131" i="5"/>
  <c r="K130" i="5"/>
  <c r="K129" i="5"/>
  <c r="K128" i="5"/>
  <c r="K127" i="5"/>
  <c r="K126" i="5"/>
  <c r="K125" i="5"/>
  <c r="K120" i="5"/>
  <c r="I120" i="5"/>
  <c r="H120" i="5"/>
  <c r="K119" i="5"/>
  <c r="K118" i="5"/>
  <c r="J111" i="5"/>
  <c r="J110" i="5"/>
  <c r="J109" i="5"/>
  <c r="I109" i="5"/>
  <c r="K108" i="5"/>
  <c r="J107" i="5"/>
  <c r="J104" i="5"/>
  <c r="J103" i="5"/>
  <c r="J102" i="5"/>
  <c r="J101" i="5"/>
  <c r="J100" i="5"/>
  <c r="J99" i="5"/>
  <c r="J98" i="5"/>
  <c r="J97" i="5"/>
  <c r="J96" i="5"/>
  <c r="J95" i="5"/>
  <c r="J94" i="5"/>
  <c r="J93" i="5"/>
  <c r="J92" i="5"/>
  <c r="J91" i="5"/>
  <c r="J90" i="5"/>
  <c r="J89" i="5"/>
  <c r="J88" i="5"/>
  <c r="J87" i="5"/>
  <c r="J86" i="5"/>
  <c r="J85" i="5"/>
  <c r="J84" i="5"/>
  <c r="J83" i="5"/>
  <c r="J82" i="5"/>
  <c r="J81" i="5"/>
  <c r="K80" i="5"/>
  <c r="J79" i="5"/>
  <c r="J78" i="5"/>
  <c r="J77" i="5"/>
  <c r="J76" i="5"/>
  <c r="J75" i="5"/>
  <c r="J74" i="5"/>
  <c r="J73" i="5"/>
  <c r="J72" i="5"/>
  <c r="J71" i="5"/>
  <c r="J70" i="5"/>
  <c r="J69" i="5"/>
  <c r="J68" i="5"/>
  <c r="J67" i="5"/>
  <c r="J62" i="5"/>
  <c r="J61" i="5"/>
  <c r="J60" i="5"/>
  <c r="J59" i="5"/>
  <c r="J58" i="5"/>
  <c r="J57" i="5"/>
  <c r="J56" i="5"/>
  <c r="J51" i="5"/>
  <c r="J50" i="5"/>
  <c r="J49" i="5"/>
  <c r="J48" i="5"/>
  <c r="J47" i="5"/>
  <c r="J44" i="5"/>
  <c r="H44" i="5"/>
  <c r="J42" i="5"/>
  <c r="J41" i="5"/>
  <c r="J40" i="5"/>
  <c r="J39" i="5"/>
  <c r="J38" i="5"/>
  <c r="K35" i="5"/>
  <c r="I35" i="5"/>
  <c r="J34" i="5"/>
  <c r="K33" i="5"/>
  <c r="I33" i="5"/>
  <c r="J32" i="5"/>
  <c r="F32" i="5"/>
  <c r="J31" i="5"/>
  <c r="J30" i="5"/>
  <c r="H30" i="5"/>
  <c r="J29" i="5"/>
  <c r="J28" i="5"/>
  <c r="I28" i="5"/>
  <c r="H28" i="5"/>
  <c r="J27" i="5"/>
  <c r="J24" i="5"/>
  <c r="J21" i="5"/>
  <c r="J20" i="5"/>
  <c r="J19" i="5"/>
  <c r="J18" i="5"/>
  <c r="J17" i="5"/>
  <c r="J16" i="5"/>
  <c r="J13" i="5"/>
  <c r="P221" i="8"/>
  <c r="J60" i="8"/>
  <c r="H60" i="8"/>
  <c r="F60" i="8"/>
  <c r="L56" i="8"/>
  <c r="J56" i="8"/>
  <c r="H56" i="8"/>
  <c r="F56" i="8"/>
  <c r="D56" i="8"/>
  <c r="H55" i="8"/>
  <c r="F55" i="8"/>
  <c r="D55" i="8"/>
  <c r="C55" i="8"/>
  <c r="C52" i="8"/>
  <c r="H51" i="8"/>
  <c r="F51" i="8"/>
  <c r="D51" i="8"/>
  <c r="F50" i="8"/>
  <c r="D50" i="8"/>
  <c r="H47" i="8"/>
  <c r="F47" i="8"/>
  <c r="D47" i="8"/>
  <c r="H44" i="8"/>
  <c r="F44" i="8"/>
  <c r="D44" i="8"/>
  <c r="H43" i="8"/>
  <c r="F43" i="8"/>
  <c r="D43" i="8"/>
  <c r="H41" i="8"/>
  <c r="F41" i="8"/>
  <c r="D41" i="8"/>
  <c r="F40" i="8"/>
  <c r="D40" i="8"/>
  <c r="F39" i="8"/>
  <c r="D39" i="8"/>
  <c r="H35" i="8"/>
  <c r="F35" i="8"/>
  <c r="H34" i="8"/>
  <c r="F34" i="8"/>
  <c r="H31" i="8"/>
  <c r="F31" i="8"/>
  <c r="D31" i="8"/>
  <c r="H26" i="8"/>
  <c r="F26" i="8"/>
  <c r="L24" i="8"/>
  <c r="J24" i="8"/>
  <c r="H24" i="8"/>
  <c r="F24" i="8"/>
  <c r="H23" i="8"/>
  <c r="F23" i="8"/>
  <c r="D23" i="8"/>
  <c r="C23" i="8"/>
  <c r="H22" i="8"/>
  <c r="F22" i="8"/>
  <c r="C22" i="8"/>
  <c r="N21" i="8"/>
  <c r="M21" i="8"/>
  <c r="F21" i="8"/>
  <c r="N20" i="8"/>
  <c r="M20" i="8"/>
  <c r="H20" i="8"/>
  <c r="F20" i="8"/>
  <c r="D20" i="8"/>
  <c r="C20" i="8"/>
  <c r="N19" i="8"/>
  <c r="M19" i="8"/>
  <c r="H19" i="8"/>
  <c r="F19" i="8"/>
  <c r="D19" i="8"/>
  <c r="C19" i="8"/>
  <c r="N18" i="8"/>
  <c r="M18" i="8"/>
  <c r="H18" i="8"/>
  <c r="F18" i="8"/>
  <c r="D18" i="8"/>
  <c r="C18" i="8"/>
  <c r="H17" i="8"/>
  <c r="F17" i="8"/>
  <c r="D17" i="8"/>
  <c r="C17" i="8"/>
  <c r="H12" i="8"/>
  <c r="F12" i="8"/>
  <c r="J15" i="7" l="1"/>
  <c r="J16" i="7" s="1"/>
  <c r="J19" i="7" s="1"/>
  <c r="J21" i="7" s="1"/>
  <c r="D24" i="8"/>
  <c r="D26" i="8" s="1"/>
  <c r="K18" i="41"/>
  <c r="K19" i="41" s="1"/>
  <c r="A1" i="22"/>
  <c r="A1" i="6"/>
  <c r="A1" i="41"/>
  <c r="A1" i="7"/>
  <c r="J27" i="7" l="1"/>
  <c r="L230" i="6" s="1"/>
  <c r="L232" i="6" s="1"/>
  <c r="D34" i="8" s="1"/>
  <c r="D35" i="8" s="1"/>
  <c r="C19" i="47"/>
  <c r="C20" i="47" s="1"/>
  <c r="K8" i="41"/>
  <c r="K13" i="41" s="1"/>
  <c r="K28" i="41" s="1"/>
  <c r="K39" i="41" s="1"/>
  <c r="K41" i="41" s="1"/>
  <c r="A2" i="28"/>
  <c r="A1" i="11"/>
  <c r="D60" i="8" l="1"/>
  <c r="D20" i="47"/>
  <c r="E20" i="47" s="1"/>
</calcChain>
</file>

<file path=xl/sharedStrings.xml><?xml version="1.0" encoding="utf-8"?>
<sst xmlns="http://schemas.openxmlformats.org/spreadsheetml/2006/main" count="3451" uniqueCount="1902">
  <si>
    <t>SWIFT MOVERS (PVT.) LTD.</t>
  </si>
  <si>
    <t xml:space="preserve">Detailed Trial Balance </t>
  </si>
  <si>
    <t>Trial Balance KHI</t>
  </si>
  <si>
    <t>Trial Balance LHR</t>
  </si>
  <si>
    <t>Adjustment</t>
  </si>
  <si>
    <t>Adjusted Trial</t>
  </si>
  <si>
    <t>Account Name</t>
  </si>
  <si>
    <t>Debit</t>
  </si>
  <si>
    <t>Credit</t>
  </si>
  <si>
    <t>ASSETS</t>
  </si>
  <si>
    <t>CURRENT ASSETS</t>
  </si>
  <si>
    <t>CASH</t>
  </si>
  <si>
    <t>1020101</t>
  </si>
  <si>
    <t>CASH BOOK</t>
  </si>
  <si>
    <t>BANK</t>
  </si>
  <si>
    <t>1020203</t>
  </si>
  <si>
    <t>BANK ALHABIB DOLLAR A/C</t>
  </si>
  <si>
    <t>1020204</t>
  </si>
  <si>
    <t>BANK ALHABIB RUPEES A/C</t>
  </si>
  <si>
    <t>1020207</t>
  </si>
  <si>
    <t>BANK ALHABIB RUPEES A/C (SSF)</t>
  </si>
  <si>
    <t>1020201</t>
  </si>
  <si>
    <t>FAYSAL BANK DOLLAR A/C</t>
  </si>
  <si>
    <t>1020202</t>
  </si>
  <si>
    <t>FAYSAL BANK RUPEES A/C</t>
  </si>
  <si>
    <t>Lhr</t>
  </si>
  <si>
    <t>BANK ALHABIB 095-01</t>
  </si>
  <si>
    <t>PETTY CASH</t>
  </si>
  <si>
    <t>1020301</t>
  </si>
  <si>
    <t>PETTY CASH BOOK</t>
  </si>
  <si>
    <t>Advance Tax</t>
  </si>
  <si>
    <t>1020420</t>
  </si>
  <si>
    <t>ADVANCE INCOME TAX TELEPHONE</t>
  </si>
  <si>
    <t>1020422</t>
  </si>
  <si>
    <t>ADVANCE INCOME TAXELECTRIC CHARGES</t>
  </si>
  <si>
    <t>1020426</t>
  </si>
  <si>
    <t>ADVANCE INCOMETAX - CASH WITHDRAWL</t>
  </si>
  <si>
    <t>1020425</t>
  </si>
  <si>
    <t>ADVANCE INCOMTAX - MOBILE</t>
  </si>
  <si>
    <t>DEFERRED TAX ASSETS</t>
  </si>
  <si>
    <t>INCOME TAX REFUNDABLE (Asset)</t>
  </si>
  <si>
    <t>PROVISION FOR CURRENT TAX</t>
  </si>
  <si>
    <t>DEFERRED TAX</t>
  </si>
  <si>
    <t>DEFFERD TAX INCOME 2013</t>
  </si>
  <si>
    <t>ADVANCE DEPOSITS &amp; PREPAYMENTS</t>
  </si>
  <si>
    <t>1020417</t>
  </si>
  <si>
    <t>MR ADNAN</t>
  </si>
  <si>
    <t>1020432</t>
  </si>
  <si>
    <t>MR. ALI SHER</t>
  </si>
  <si>
    <t>1020430</t>
  </si>
  <si>
    <t>MR. MAHFOOZ</t>
  </si>
  <si>
    <t>1020434</t>
  </si>
  <si>
    <t>MR. RAMISH MUKADAM</t>
  </si>
  <si>
    <t>1020412</t>
  </si>
  <si>
    <t>MR.ZOHAIB</t>
  </si>
  <si>
    <t>Insurance Prepaid</t>
  </si>
  <si>
    <t>Secutity Deposits</t>
  </si>
  <si>
    <t>1020408</t>
  </si>
  <si>
    <t>SECURITY DEPOSIT MOBILE</t>
  </si>
  <si>
    <t>1020409</t>
  </si>
  <si>
    <t>SECURITY DEPOSIT OFFICE</t>
  </si>
  <si>
    <t>1020206</t>
  </si>
  <si>
    <t>SECURITY DEPOSIT (NESTLE)</t>
  </si>
  <si>
    <t>SECURITY DEPOSIT-OFFICE</t>
  </si>
  <si>
    <t>SECURITY DEPOSIT-PUMP</t>
  </si>
  <si>
    <t>FIXED ASSETS</t>
  </si>
  <si>
    <t>TANGIBLE ASSETS</t>
  </si>
  <si>
    <t>1010102</t>
  </si>
  <si>
    <t>COMPUTER &amp; ACCESSORIES</t>
  </si>
  <si>
    <t>1010101</t>
  </si>
  <si>
    <t>FURNITURE &amp; FIXTURE</t>
  </si>
  <si>
    <t>1010106</t>
  </si>
  <si>
    <t>GENRATOR</t>
  </si>
  <si>
    <t>1010104</t>
  </si>
  <si>
    <t>MOTOR CYCLE</t>
  </si>
  <si>
    <t>1010105</t>
  </si>
  <si>
    <t>MOTOR VEHICLE-LEASED (CULTUS)</t>
  </si>
  <si>
    <t>1010103</t>
  </si>
  <si>
    <t>OFFICE EQUIPMENTS</t>
  </si>
  <si>
    <t>1010108</t>
  </si>
  <si>
    <t>VEHICLE LEASED (HONDA CITY)</t>
  </si>
  <si>
    <t>OTHER ASSETS</t>
  </si>
  <si>
    <t>TRADE DEBITORS</t>
  </si>
  <si>
    <t>10301267</t>
  </si>
  <si>
    <t>AL GRETA SOLUTION</t>
  </si>
  <si>
    <t>10301294</t>
  </si>
  <si>
    <t>CONNECTORS INC</t>
  </si>
  <si>
    <t>1030186</t>
  </si>
  <si>
    <t>DAMCO GERMANY</t>
  </si>
  <si>
    <t>10301228</t>
  </si>
  <si>
    <t>DELMAR INTERNATIONAL</t>
  </si>
  <si>
    <t>10301176</t>
  </si>
  <si>
    <t>DK INDUSTRIES PVT</t>
  </si>
  <si>
    <t>10301308</t>
  </si>
  <si>
    <t>ENERGY INTERNATIONAL LOGISTICS SRL</t>
  </si>
  <si>
    <t>10301265</t>
  </si>
  <si>
    <t>EURO TEXTILES</t>
  </si>
  <si>
    <t>10301324</t>
  </si>
  <si>
    <t>GAUNTLET SPORTS</t>
  </si>
  <si>
    <t>1030163</t>
  </si>
  <si>
    <t>GERBRUEDER WEISS GMBH</t>
  </si>
  <si>
    <t>10301360</t>
  </si>
  <si>
    <t>HENNYS PRIVATE LIMITED</t>
  </si>
  <si>
    <t>10301174</t>
  </si>
  <si>
    <t>INTERCLEAN COMMERCIAL</t>
  </si>
  <si>
    <t>10301105</t>
  </si>
  <si>
    <t>INTERNATIONAL INDUSTRY</t>
  </si>
  <si>
    <t>10301151</t>
  </si>
  <si>
    <t>IRSHAD TANNING WORKS</t>
  </si>
  <si>
    <t>10301349</t>
  </si>
  <si>
    <t>Advance from customers</t>
  </si>
  <si>
    <t>JHJ INTERNATIONAL</t>
  </si>
  <si>
    <t>10301213</t>
  </si>
  <si>
    <t>JNS IMPEX</t>
  </si>
  <si>
    <t>10301278</t>
  </si>
  <si>
    <t>KARLOS IND</t>
  </si>
  <si>
    <t>10301138</t>
  </si>
  <si>
    <t>KNITWEAR ENTERPRISES</t>
  </si>
  <si>
    <t>10301318</t>
  </si>
  <si>
    <t>L V SHIPPING LTD</t>
  </si>
  <si>
    <t>1030143</t>
  </si>
  <si>
    <t>M TAYYAB M TAHIR DYES</t>
  </si>
  <si>
    <t>10301256</t>
  </si>
  <si>
    <t>MAC LOGISTICS</t>
  </si>
  <si>
    <t>10301321</t>
  </si>
  <si>
    <t>MANAKIN TEXTILES</t>
  </si>
  <si>
    <t>1030196</t>
  </si>
  <si>
    <t>MASF SHIPPING SERVICES</t>
  </si>
  <si>
    <t>10301207</t>
  </si>
  <si>
    <t>METRO FREIGHT INTERNATIONAL</t>
  </si>
  <si>
    <t>1030110</t>
  </si>
  <si>
    <t>PELIKAN KNITWEAR</t>
  </si>
  <si>
    <t>10301361</t>
  </si>
  <si>
    <t>PENGELL YS LTD</t>
  </si>
  <si>
    <t>10301269</t>
  </si>
  <si>
    <t>POSTEN LOGISTICS AB</t>
  </si>
  <si>
    <t>10301120</t>
  </si>
  <si>
    <t>RAFIDAIN TRADING CORP</t>
  </si>
  <si>
    <t>10301304</t>
  </si>
  <si>
    <t>RISTEX GROUP INC</t>
  </si>
  <si>
    <t>10301172</t>
  </si>
  <si>
    <t>ROHLIG DEUTERLAND</t>
  </si>
  <si>
    <t>10301163</t>
  </si>
  <si>
    <t>ROHLIG NEDERLAND</t>
  </si>
  <si>
    <t>10301129</t>
  </si>
  <si>
    <t>SAFTAX</t>
  </si>
  <si>
    <t>10301197</t>
  </si>
  <si>
    <t>SAGATRANS (S)</t>
  </si>
  <si>
    <t>1030175</t>
  </si>
  <si>
    <t>SDV LEHAVRE</t>
  </si>
  <si>
    <t>10301196</t>
  </si>
  <si>
    <t>SUMMIT LOGISTICS INTERNATIONAL  INC</t>
  </si>
  <si>
    <t>1030181</t>
  </si>
  <si>
    <t>TRAFFIC TECH ASIA LIMITED</t>
  </si>
  <si>
    <t>10301333</t>
  </si>
  <si>
    <t>TRANSCOMA GLOBAL LOGISTICS</t>
  </si>
  <si>
    <t>10301350</t>
  </si>
  <si>
    <t>TREET CORPORATION</t>
  </si>
  <si>
    <t>10301303</t>
  </si>
  <si>
    <t>UNIQUE LOGISTICS INTERNATIONAL INC</t>
  </si>
  <si>
    <t>BRANCHES</t>
  </si>
  <si>
    <t>1030205</t>
  </si>
  <si>
    <t>FAISALABAD OFFICE</t>
  </si>
  <si>
    <t>1030201</t>
  </si>
  <si>
    <t>GUL AVIATION</t>
  </si>
  <si>
    <t>1030203</t>
  </si>
  <si>
    <t>LAHORE OFFICE (Net off)</t>
  </si>
  <si>
    <t>1030204</t>
  </si>
  <si>
    <t>SIALKOT OFFICE</t>
  </si>
  <si>
    <t>1030202</t>
  </si>
  <si>
    <t>SWIFT INTERNATIONAL</t>
  </si>
  <si>
    <t>LIABLITIES</t>
  </si>
  <si>
    <t>CURRENT LIABILITIES</t>
  </si>
  <si>
    <t>ACCRUED EXPENSES</t>
  </si>
  <si>
    <t>3010111</t>
  </si>
  <si>
    <t>EXPENSES PAYABLE</t>
  </si>
  <si>
    <t>3010109</t>
  </si>
  <si>
    <t>STAFF SAVINGS PAYABLE</t>
  </si>
  <si>
    <t>ACCURED EXPENSES</t>
  </si>
  <si>
    <t>OTHER LIABLITIES</t>
  </si>
  <si>
    <t>TRADE CREDITORS</t>
  </si>
  <si>
    <t>3030121</t>
  </si>
  <si>
    <t>ASKARI BANK LTD. HONDA CITY</t>
  </si>
  <si>
    <t>3030102</t>
  </si>
  <si>
    <t>CARGO CORPORATION</t>
  </si>
  <si>
    <t>3030123</t>
  </si>
  <si>
    <t>GULSONS EXPRESS (PVT) LTD</t>
  </si>
  <si>
    <t>3030110</t>
  </si>
  <si>
    <t>PIONEER EXPRESS (PVT) LTD.</t>
  </si>
  <si>
    <t>3030130</t>
  </si>
  <si>
    <t>PORTLINK</t>
  </si>
  <si>
    <t>3030131</t>
  </si>
  <si>
    <t>PRANTIK EXPRESS LTD</t>
  </si>
  <si>
    <t>3030126</t>
  </si>
  <si>
    <t>R.K ENGINEERING</t>
  </si>
  <si>
    <t>3030132</t>
  </si>
  <si>
    <t>SAMER &amp; CO SHIPPING SRL</t>
  </si>
  <si>
    <t>3030128</t>
  </si>
  <si>
    <t>SEALOG</t>
  </si>
  <si>
    <t>3030127</t>
  </si>
  <si>
    <t>UASACO</t>
  </si>
  <si>
    <t>SWIFT MOVERS LTD. - KHI(Net Off)</t>
  </si>
  <si>
    <t>ACCUMULATED DEPRECIATION</t>
  </si>
  <si>
    <t>3030203</t>
  </si>
  <si>
    <t>ACC. DEP. COMPUTER ACCESSORIES</t>
  </si>
  <si>
    <t>3030201</t>
  </si>
  <si>
    <t>ACC. DEP. FURNITURE &amp; FIXTURE</t>
  </si>
  <si>
    <t>3030206</t>
  </si>
  <si>
    <t>ACC. DEP. GENRATOR</t>
  </si>
  <si>
    <t>3030205</t>
  </si>
  <si>
    <t>ACC. DEP. MOTOR CYCLE</t>
  </si>
  <si>
    <t>3030204</t>
  </si>
  <si>
    <t>ACC. DEP. MOTOR VAHICLE-LEASED (CULTUS)</t>
  </si>
  <si>
    <t>3030202</t>
  </si>
  <si>
    <t>ACC. DEP. OFFICE EQUIPMENTS</t>
  </si>
  <si>
    <t>3030209</t>
  </si>
  <si>
    <t>ACC.DEP.VEHICLE LEASED HONDA CITY</t>
  </si>
  <si>
    <t>CAPITAL</t>
  </si>
  <si>
    <t>EQUITY</t>
  </si>
  <si>
    <t>ACCUMLATED PROFIT / LOSS</t>
  </si>
  <si>
    <t>PAID UP CAPITAL</t>
  </si>
  <si>
    <t>SHARE HOLDER ORD. SHAR</t>
  </si>
  <si>
    <t>REVENUE</t>
  </si>
  <si>
    <t>RECIEPT ACCOUNT</t>
  </si>
  <si>
    <t>INCOME &amp; REVENUE</t>
  </si>
  <si>
    <t>4010106</t>
  </si>
  <si>
    <t>ACCUMULATED PROFIT &amp; LOSS A/C</t>
  </si>
  <si>
    <t>4010103</t>
  </si>
  <si>
    <t>SEA PROFIT SHARE</t>
  </si>
  <si>
    <t>DEFERRED TAX INCOME</t>
  </si>
  <si>
    <t>OTHER INCOME</t>
  </si>
  <si>
    <t>4010202</t>
  </si>
  <si>
    <t>FORIEGN EXCHANGE GAIN &amp; LOSS</t>
  </si>
  <si>
    <t>SALES ACCOUNT</t>
  </si>
  <si>
    <t>AIR EXPORT SALE</t>
  </si>
  <si>
    <t>4020201</t>
  </si>
  <si>
    <t>AIR EXPORT SALE A/C</t>
  </si>
  <si>
    <t>SEA IMPORT SALE</t>
  </si>
  <si>
    <t>4020301</t>
  </si>
  <si>
    <t>SEA IMPORT SALE A/C</t>
  </si>
  <si>
    <t>SEA EXPORT SALE</t>
  </si>
  <si>
    <t>4020401</t>
  </si>
  <si>
    <t>SEA EXPORT SALE A/C</t>
  </si>
  <si>
    <t>LOCAL HANDLING SALE</t>
  </si>
  <si>
    <t>4020501</t>
  </si>
  <si>
    <t>PURCHASES</t>
  </si>
  <si>
    <t>PURCHASE ACCOUNT</t>
  </si>
  <si>
    <t>AIR EXPORT PURCHASE</t>
  </si>
  <si>
    <t>5010201</t>
  </si>
  <si>
    <t>AIR EXPORT PURCHASE A/C</t>
  </si>
  <si>
    <t>SEA EXPORT PURCHASE</t>
  </si>
  <si>
    <t>5010301</t>
  </si>
  <si>
    <t>SEA EXPORT PURCHASE A/C</t>
  </si>
  <si>
    <t>SEA IMPORT PURCHASE</t>
  </si>
  <si>
    <t>5010401</t>
  </si>
  <si>
    <t>SEA IMPORT PURCHASE A/C</t>
  </si>
  <si>
    <t>LOCAL HANDLING PURCHASE</t>
  </si>
  <si>
    <t>5010501</t>
  </si>
  <si>
    <t>EXPENSE</t>
  </si>
  <si>
    <t>ADMINISTRATION EXPENDITURE ACCOUNT</t>
  </si>
  <si>
    <t>ADMINISTRATIVE EXPENSES</t>
  </si>
  <si>
    <t>6010141</t>
  </si>
  <si>
    <t>AUDIT FEES</t>
  </si>
  <si>
    <t>6010104</t>
  </si>
  <si>
    <t>CONVEYANCE</t>
  </si>
  <si>
    <t>6010106</t>
  </si>
  <si>
    <t>DEPRECIATON EXPENSE</t>
  </si>
  <si>
    <t>6010101</t>
  </si>
  <si>
    <t>DIRECTOR REMUNERATION EXPENSES</t>
  </si>
  <si>
    <t>6010140</t>
  </si>
  <si>
    <t>E.O.B.I</t>
  </si>
  <si>
    <t>6010107</t>
  </si>
  <si>
    <t>ELECTRIC CHARGES</t>
  </si>
  <si>
    <t>6010108</t>
  </si>
  <si>
    <t>ENTERTIANMENT</t>
  </si>
  <si>
    <t>6010110</t>
  </si>
  <si>
    <t>FEE &amp; SUBSCRIPTIONS</t>
  </si>
  <si>
    <t>6010131</t>
  </si>
  <si>
    <t>INSURANCE EXPENSE</t>
  </si>
  <si>
    <t>6010113</t>
  </si>
  <si>
    <t>INTERNET CHARGES</t>
  </si>
  <si>
    <t>6010142</t>
  </si>
  <si>
    <t>LEGAL &amp; PROFESSIONAL CHARGES</t>
  </si>
  <si>
    <t>6010116</t>
  </si>
  <si>
    <t>MOBILE CHARGES</t>
  </si>
  <si>
    <t>6010117</t>
  </si>
  <si>
    <t>OFFICE EXPENSE</t>
  </si>
  <si>
    <t>6010119</t>
  </si>
  <si>
    <t>OFFICE RENT</t>
  </si>
  <si>
    <t>6010120</t>
  </si>
  <si>
    <t>POSTAGE AND COURIER</t>
  </si>
  <si>
    <t>6010121</t>
  </si>
  <si>
    <t>PRINTING AND STATIONERY</t>
  </si>
  <si>
    <t>6010129</t>
  </si>
  <si>
    <t>REPAIR AND MAINTENANCE</t>
  </si>
  <si>
    <t>6010143</t>
  </si>
  <si>
    <t>SALES TAX - CED</t>
  </si>
  <si>
    <t>6010102</t>
  </si>
  <si>
    <t>STAFF SALARIES EXPENSE</t>
  </si>
  <si>
    <t>6010134</t>
  </si>
  <si>
    <t>STAFF WELFARE</t>
  </si>
  <si>
    <t>6010124</t>
  </si>
  <si>
    <t>TELEPHONE CHARGES</t>
  </si>
  <si>
    <t>6010125</t>
  </si>
  <si>
    <t>TRAVELING EXPENSE</t>
  </si>
  <si>
    <t>DIRECT EXPENSES</t>
  </si>
  <si>
    <t>6040101</t>
  </si>
  <si>
    <t>CLEARING &amp; FORWARDING CHGS.</t>
  </si>
  <si>
    <t>6040102</t>
  </si>
  <si>
    <t>TRANSPORTATION</t>
  </si>
  <si>
    <t>SHIPMENT EXP</t>
  </si>
  <si>
    <t>FINANCIAL CHARGES</t>
  </si>
  <si>
    <t>FINANCIAL &amp; MARK-UP ACCOUNT</t>
  </si>
  <si>
    <t>6030101</t>
  </si>
  <si>
    <t>BANK CHARGES</t>
  </si>
  <si>
    <t>6030102</t>
  </si>
  <si>
    <t>MARK UP CHARGES</t>
  </si>
  <si>
    <t>SELLING EXPENDITURE ACCOUNT</t>
  </si>
  <si>
    <t>SELLING EXPENSE ACCOUNT</t>
  </si>
  <si>
    <t>6020101</t>
  </si>
  <si>
    <t>ADVERTISMENT EXPENSE</t>
  </si>
  <si>
    <t>6020104</t>
  </si>
  <si>
    <t>SALES COMMISSION</t>
  </si>
  <si>
    <t>Swift Movers (Pvt) Limited</t>
  </si>
  <si>
    <t>Adjusting entries for the year ended on 30 June, 2013</t>
  </si>
  <si>
    <t>Particulars</t>
  </si>
  <si>
    <t>Refferd Trial</t>
  </si>
  <si>
    <t>Client trial</t>
  </si>
  <si>
    <t>Provision for Current tax</t>
  </si>
  <si>
    <t>Lahore</t>
  </si>
  <si>
    <t xml:space="preserve">    Tax Refund Due form Govt</t>
  </si>
  <si>
    <t>POSTED</t>
  </si>
  <si>
    <t>Acc.Depreciation Computer Assecories</t>
  </si>
  <si>
    <t xml:space="preserve">    Depreciation (Administrative Expense)</t>
  </si>
  <si>
    <t>Defferd Tax expense</t>
  </si>
  <si>
    <t xml:space="preserve">    Defferd tax asset</t>
  </si>
  <si>
    <t>Swift Movers ltd Karachi</t>
  </si>
  <si>
    <t>Karachi</t>
  </si>
  <si>
    <t xml:space="preserve">    Swift Movers Lahore</t>
  </si>
  <si>
    <t>Eobi</t>
  </si>
  <si>
    <t xml:space="preserve">    Staff Salary</t>
  </si>
  <si>
    <t>Advance Tax Mobile</t>
  </si>
  <si>
    <t xml:space="preserve">    Mobile Charges</t>
  </si>
  <si>
    <t>Prepaid Insurance</t>
  </si>
  <si>
    <t>Expenses Payable</t>
  </si>
  <si>
    <t xml:space="preserve">    Insurance Expense</t>
  </si>
  <si>
    <t xml:space="preserve">Advance Tax On Electricity </t>
  </si>
  <si>
    <t xml:space="preserve">    Electricity Expense</t>
  </si>
  <si>
    <t>Electricity Expense</t>
  </si>
  <si>
    <t xml:space="preserve">    Expenses Payable</t>
  </si>
  <si>
    <t xml:space="preserve">Electricity expense </t>
  </si>
  <si>
    <t xml:space="preserve">    Advance Tax Electricity</t>
  </si>
  <si>
    <t xml:space="preserve">    Expense Payable</t>
  </si>
  <si>
    <t>Telephone Expense</t>
  </si>
  <si>
    <t>TRIAL BALANCE AS AT 30 JUNE, 2019</t>
  </si>
  <si>
    <t>KARACHI OFFICE</t>
  </si>
  <si>
    <t>LAHORE OFFICE</t>
  </si>
  <si>
    <t>ADJUSTING ENTRIES</t>
  </si>
  <si>
    <t>ADJUSTED TRIAL</t>
  </si>
  <si>
    <t>cash at bank</t>
  </si>
  <si>
    <t>BANK AL HABIB 095-01</t>
  </si>
  <si>
    <t>ADVANCE TAX</t>
  </si>
  <si>
    <t>wht on bank profit and cash withdrawl</t>
  </si>
  <si>
    <t>ADVANCE INCOME TAX</t>
  </si>
  <si>
    <t>1020211</t>
  </si>
  <si>
    <t>ADVANCE INCOME TAX ELECTRIC</t>
  </si>
  <si>
    <t>1020213</t>
  </si>
  <si>
    <t>ADVANCE INCOME TAX MOBILE</t>
  </si>
  <si>
    <t>1020212</t>
  </si>
  <si>
    <t>ADVANCE INCOME TAX ON CASH WITHDRAWAL</t>
  </si>
  <si>
    <t>1020209</t>
  </si>
  <si>
    <t>ADVANCE INCOME TAX ON TELE PH</t>
  </si>
  <si>
    <t>1020429</t>
  </si>
  <si>
    <t>ADVANCE INCOME TAX VEHICLE</t>
  </si>
  <si>
    <t>REFUNDABLE INCOME TAX</t>
  </si>
  <si>
    <t>1020214</t>
  </si>
  <si>
    <t>INCOME TAX  U/S 137</t>
  </si>
  <si>
    <t>CURRENT YEAR INCOME TAX PROVISION REFUNDABLE / (PAYABLE)</t>
  </si>
  <si>
    <t>1020439</t>
  </si>
  <si>
    <t>MUJTABA PARACHA</t>
  </si>
  <si>
    <t>1020431</t>
  </si>
  <si>
    <t>RAHEEL UMAIR</t>
  </si>
  <si>
    <t>security deposits</t>
  </si>
  <si>
    <t>SECURITY DEPOSIT OFFICE - lhr</t>
  </si>
  <si>
    <t>1020428</t>
  </si>
  <si>
    <t>INVENTORY</t>
  </si>
  <si>
    <t>inventory on hand</t>
  </si>
  <si>
    <t>intangible assets</t>
  </si>
  <si>
    <t>1010109</t>
  </si>
  <si>
    <t>HONDA CITY - 2015</t>
  </si>
  <si>
    <t>1010201</t>
  </si>
  <si>
    <t>1010301</t>
  </si>
  <si>
    <t>1010501</t>
  </si>
  <si>
    <t>AKZO NOBEL PAKISTAN LIMITED</t>
  </si>
  <si>
    <t>10301663</t>
  </si>
  <si>
    <t>AGRO HUB INTERNATIONAL (PVT) LTD</t>
  </si>
  <si>
    <t>AHMED MANUFACTURING CORPORATION PVT LTD</t>
  </si>
  <si>
    <t>AL-KARAM TEXTILE MILLS (PVT.)LTD.</t>
  </si>
  <si>
    <t>AL RAHEEM TEXTILE INDUSTRIES</t>
  </si>
  <si>
    <t>Ariston tradelinks</t>
  </si>
  <si>
    <t>AL RAYAHEEN TRADING</t>
  </si>
  <si>
    <t>AL NABOODAH CARGO CENTRE LLC</t>
  </si>
  <si>
    <t>10301686</t>
  </si>
  <si>
    <t>AL-JABBER EXPORT</t>
  </si>
  <si>
    <t>10301582</t>
  </si>
  <si>
    <t>ALSONS INDUSTRIES (PVT) LTD</t>
  </si>
  <si>
    <t>10301651</t>
  </si>
  <si>
    <t>AMTECH</t>
  </si>
  <si>
    <t>10301703</t>
  </si>
  <si>
    <t>AP LOGISTICS SP ZO.O</t>
  </si>
  <si>
    <t>10301439</t>
  </si>
  <si>
    <t>AVION SHIPPING CO LTD</t>
  </si>
  <si>
    <t>10301377</t>
  </si>
  <si>
    <t>BOTAN CORPORATION</t>
  </si>
  <si>
    <t>BASF PAKISTAN PVT LTD</t>
  </si>
  <si>
    <t>BAZI KNITWEAR</t>
  </si>
  <si>
    <t>BEAU ELITE PRODUCTS</t>
  </si>
  <si>
    <t>BIG BIRD FOOD PVT LTD</t>
  </si>
  <si>
    <t>10301195</t>
  </si>
  <si>
    <t>CAB FORWARDING B.V</t>
  </si>
  <si>
    <t>CHISTI ENTERPRISES</t>
  </si>
  <si>
    <t>10301692</t>
  </si>
  <si>
    <t>CHANNA ENERPRISES</t>
  </si>
  <si>
    <t>10301644</t>
  </si>
  <si>
    <t>CHIPPA TEXTILES</t>
  </si>
  <si>
    <t>10301384</t>
  </si>
  <si>
    <t>CHORUS LOGISTICS</t>
  </si>
  <si>
    <t>CHOUDHRI INTERNATIONAL</t>
  </si>
  <si>
    <t>CIROS ENTERPRISES</t>
  </si>
  <si>
    <t>COMMANDING OFFICER NAVAL</t>
  </si>
  <si>
    <t>DAWOOD ENGINEERING PVT LTD</t>
  </si>
  <si>
    <t>DELTA INTERNATIONAL PVT LTD</t>
  </si>
  <si>
    <t>DRILLING SOLUTIONS PAKISTAN PRIVATE LIMITED</t>
  </si>
  <si>
    <t>EURO RACING</t>
  </si>
  <si>
    <t>EXIDE PAKISTAN LTD</t>
  </si>
  <si>
    <t>10301405</t>
  </si>
  <si>
    <t>FINGER SOURCE CORPORATION</t>
  </si>
  <si>
    <t>FAD FASHION &amp; DESIGN</t>
  </si>
  <si>
    <t>FIVE B SPORTING GOODS</t>
  </si>
  <si>
    <t>FUTURE TECHNOLOGIES</t>
  </si>
  <si>
    <t>10301675</t>
  </si>
  <si>
    <t>GENERAL TRADING CORPORATION</t>
  </si>
  <si>
    <t>10301455</t>
  </si>
  <si>
    <t>GLOBAL MARKETING CORPORATION</t>
  </si>
  <si>
    <t>GUL AHMED TEXTILE MILLS LTD</t>
  </si>
  <si>
    <t>GOODRICH MARITIME</t>
  </si>
  <si>
    <t>GLOBAL EXPORTS</t>
  </si>
  <si>
    <t>10301583</t>
  </si>
  <si>
    <t>H. SARDAR ALI AKHTAR ALI (PVT) LTD</t>
  </si>
  <si>
    <t>HANJIN TRANSPORT CO LTD</t>
  </si>
  <si>
    <t>HAFIZ TANNERY</t>
  </si>
  <si>
    <t>HINUCON</t>
  </si>
  <si>
    <t>HAKIM SONS PRIVATE LIMITED</t>
  </si>
  <si>
    <t>10301625</t>
  </si>
  <si>
    <t>INSTRUMENTATION AND MANAGEMENT</t>
  </si>
  <si>
    <t>INNOVATIVE EQUIPMENT</t>
  </si>
  <si>
    <t>10301653</t>
  </si>
  <si>
    <t>INTERNATIONAL BUSINESS LINES</t>
  </si>
  <si>
    <t>10301599</t>
  </si>
  <si>
    <t>ISLAND TEXTILE MILLS LIMITED</t>
  </si>
  <si>
    <t>ITTAHAD IMPEX</t>
  </si>
  <si>
    <t>10301144</t>
  </si>
  <si>
    <t>JET-SPEED-GMBH</t>
  </si>
  <si>
    <t>10301578</t>
  </si>
  <si>
    <t>KAPRAY</t>
  </si>
  <si>
    <t>10301655</t>
  </si>
  <si>
    <t>KARACHI SHIPYARD &amp; ENGINEERING</t>
  </si>
  <si>
    <t>10301683</t>
  </si>
  <si>
    <t>KASSIM TEXTILE PVT LTD</t>
  </si>
  <si>
    <t>KAYSONS INTERNATIONAL PVT LTD</t>
  </si>
  <si>
    <t>10301392</t>
  </si>
  <si>
    <t>KLTW TRADING CO</t>
  </si>
  <si>
    <t>L T ENGINEERING AND TRADE SERVICES</t>
  </si>
  <si>
    <t>L.V.SHIPPING</t>
  </si>
  <si>
    <t>10301680</t>
  </si>
  <si>
    <t>LINK BRIDGE</t>
  </si>
  <si>
    <t>LUCKY IMPEX</t>
  </si>
  <si>
    <t>M.I.Q. LOGISTIC</t>
  </si>
  <si>
    <t>10301690</t>
  </si>
  <si>
    <t>MEDISURE LABORATORIES PAKISTAN PVT LTD</t>
  </si>
  <si>
    <t>MECCA TANNERIES</t>
  </si>
  <si>
    <t>MIMA KNIT (PRIVATE) LTD</t>
  </si>
  <si>
    <t>MRS MOORAJ</t>
  </si>
  <si>
    <t>MUHAMMAD ASHRAF &amp; SONS</t>
  </si>
  <si>
    <t>MS ZARMEE</t>
  </si>
  <si>
    <t>MS APPARELS</t>
  </si>
  <si>
    <t>MIQ LOGISTICS (SHA) LTD SHENZEN</t>
  </si>
  <si>
    <t>MIQ JAPAN</t>
  </si>
  <si>
    <t>MIQ LOGISTICS INDIA PVT LTD</t>
  </si>
  <si>
    <t>10301378</t>
  </si>
  <si>
    <t>MIDAS CLOTHING LIMITED</t>
  </si>
  <si>
    <t>10301462</t>
  </si>
  <si>
    <t>10301300</t>
  </si>
  <si>
    <t>NISHAT MILLS LIMITED</t>
  </si>
  <si>
    <t>NEW MARK INDUSTRIES (PVT) LTD</t>
  </si>
  <si>
    <t>10301666</t>
  </si>
  <si>
    <t>ONETEN PRODUCTION</t>
  </si>
  <si>
    <t>OLEOCORP PVT LTD</t>
  </si>
  <si>
    <t>OTC</t>
  </si>
  <si>
    <t>PEOPLES STEEL MILLS LIMITED</t>
  </si>
  <si>
    <t>PAKMAN ENTERPRISES</t>
  </si>
  <si>
    <t>PHARMEVO PVT LTD</t>
  </si>
  <si>
    <t>10301521</t>
  </si>
  <si>
    <t>PAK CARPETS INDUSTRIES PVT LTD</t>
  </si>
  <si>
    <t>PROTECH LEATHER APPAREL (PVT) LTD.</t>
  </si>
  <si>
    <t>10301491</t>
  </si>
  <si>
    <t>POSTNORD LOGISTICS AB</t>
  </si>
  <si>
    <t>RAVIAN INTERNATIONAL AGENCIES</t>
  </si>
  <si>
    <t>RUSTAM TOWEL PVT LTD</t>
  </si>
  <si>
    <t>SAMI PHARMACUTICAL PVT LTD</t>
  </si>
  <si>
    <t>SEAGUL SHIPPING AND LOGISTICS</t>
  </si>
  <si>
    <t>S.A.H ENTERPRISES INC</t>
  </si>
  <si>
    <t>SAFETY FIRST</t>
  </si>
  <si>
    <t>SALMIS FURNISHER</t>
  </si>
  <si>
    <t>10301633</t>
  </si>
  <si>
    <t>SIDDIQUE TRADING COMPANY</t>
  </si>
  <si>
    <t>SOLUTION DECK</t>
  </si>
  <si>
    <t>SUPER TERRA</t>
  </si>
  <si>
    <t>10301676</t>
  </si>
  <si>
    <t>SHAHDIN TANNERIES</t>
  </si>
  <si>
    <t>10301689</t>
  </si>
  <si>
    <t>SHEHARYAR AKBAR RAJA</t>
  </si>
  <si>
    <t>10301614</t>
  </si>
  <si>
    <t>10301694</t>
  </si>
  <si>
    <t>THE LEGEND</t>
  </si>
  <si>
    <t>THE LEATHER COMPANY</t>
  </si>
  <si>
    <t>10301664</t>
  </si>
  <si>
    <t>TLS  LOGISTICS AS</t>
  </si>
  <si>
    <t>UNITED ENERGY PAKISTAN</t>
  </si>
  <si>
    <t>UNITED ENGINEERING</t>
  </si>
  <si>
    <t>UNICON INTERNATIONAL (PVT) LIMITED</t>
  </si>
  <si>
    <t>10301498</t>
  </si>
  <si>
    <t>WUHAN SARREYING CHNIOT</t>
  </si>
  <si>
    <t>10301677</t>
  </si>
  <si>
    <t>ZILLION EXPORTS</t>
  </si>
  <si>
    <t>ZIQI ENTERPRISES</t>
  </si>
  <si>
    <t>ISLAMABAD OFFICE</t>
  </si>
  <si>
    <t>1030206</t>
  </si>
  <si>
    <t>PIONEER EXPRESS (PVT) LTD</t>
  </si>
  <si>
    <t>al wasal insurance</t>
  </si>
  <si>
    <t>sale tax payable</t>
  </si>
  <si>
    <t>2010103</t>
  </si>
  <si>
    <t>INCOME TAX PAYABLE</t>
  </si>
  <si>
    <t>Deferred tax liability</t>
  </si>
  <si>
    <t>2010101</t>
  </si>
  <si>
    <t>SWIFT MOVERS LTD. - KHI</t>
  </si>
  <si>
    <t>audit fee payable</t>
  </si>
  <si>
    <t>2010201</t>
  </si>
  <si>
    <t>accounts payable</t>
  </si>
  <si>
    <t>AZIZ ENGINEERING</t>
  </si>
  <si>
    <t>GOLLCHER AIR EXPRESS LTD</t>
  </si>
  <si>
    <t>LASANI GOODS</t>
  </si>
  <si>
    <t>MIP LOAN A/C</t>
  </si>
  <si>
    <t>GREENPAK SHIPPING PVT LTD</t>
  </si>
  <si>
    <t>MIQ HONG KONG</t>
  </si>
  <si>
    <t>MIQ LOGISTICS</t>
  </si>
  <si>
    <t>MIQ NEW YOURK</t>
  </si>
  <si>
    <t>MIQ THAILAND</t>
  </si>
  <si>
    <t>INTERTRANS</t>
  </si>
  <si>
    <t>HAPPY MOVERS</t>
  </si>
  <si>
    <t>PRIME CARGO INTERNATIONAL</t>
  </si>
  <si>
    <t>PROMPT LOGISTICS</t>
  </si>
  <si>
    <t>AVION INTERNAIONAL-ITALY</t>
  </si>
  <si>
    <t>HM HOLDING PVT LIMITED</t>
  </si>
  <si>
    <t>AVION SHIPPING (AUSTRALIA)</t>
  </si>
  <si>
    <t>AVION SHIPPING CO - HKG</t>
  </si>
  <si>
    <t>BANSAD INTERNATIONAL</t>
  </si>
  <si>
    <t>DELMAR CHINA INC</t>
  </si>
  <si>
    <t>LINK BRIDGE (BEIJING) INTERNATIONAL LOGISTICS CO.,</t>
  </si>
  <si>
    <t>3030135</t>
  </si>
  <si>
    <t>FREIGHT AIR SERVICES-UK</t>
  </si>
  <si>
    <t>METRO FREIGHT GROUP INC.</t>
  </si>
  <si>
    <t>Action air logistics</t>
  </si>
  <si>
    <t>TRINITY LOGISTIC</t>
  </si>
  <si>
    <t>UNIVERSAL GLOBAL LOGISTIC</t>
  </si>
  <si>
    <t>3030133</t>
  </si>
  <si>
    <t>MAERSK PAKISTAN PVT LTD</t>
  </si>
  <si>
    <t>3030155</t>
  </si>
  <si>
    <t>MIQ NEDERLAND</t>
  </si>
  <si>
    <t>3030144</t>
  </si>
  <si>
    <t>3030157</t>
  </si>
  <si>
    <t>NTG NORDIC</t>
  </si>
  <si>
    <t>clear freight international</t>
  </si>
  <si>
    <t>GLS INTERNATIONAL</t>
  </si>
  <si>
    <t>NAYAB DECONSOLIDATION</t>
  </si>
  <si>
    <t>UNITED MARINE AGENCY</t>
  </si>
  <si>
    <t>CMA CGM PAKISTAN PVT LTD</t>
  </si>
  <si>
    <t>HAPAG-LLOYD PAKISTAN PVT LTD</t>
  </si>
  <si>
    <t>3030158</t>
  </si>
  <si>
    <t>PCI LOGISTICS</t>
  </si>
  <si>
    <t>3030159</t>
  </si>
  <si>
    <t>QUICK CARGO SERVICES</t>
  </si>
  <si>
    <t>3030154</t>
  </si>
  <si>
    <t>SEA HAWK</t>
  </si>
  <si>
    <t>SKY BRIDGE FREIGHT SOLUTION LLC</t>
  </si>
  <si>
    <t>3030160</t>
  </si>
  <si>
    <t>UNVERSAL GLOBAL</t>
  </si>
  <si>
    <t>3030156</t>
  </si>
  <si>
    <t>WINGS LOGISTICS</t>
  </si>
  <si>
    <t>3030210</t>
  </si>
  <si>
    <t>ACC. DEP. HONDA CITY - 2015</t>
  </si>
  <si>
    <t>3010106</t>
  </si>
  <si>
    <t>PROFIT / LOSS</t>
  </si>
  <si>
    <t>3010102</t>
  </si>
  <si>
    <t>3010104</t>
  </si>
  <si>
    <t>Retained earning</t>
  </si>
  <si>
    <t>SALE DHA OUTLET</t>
  </si>
  <si>
    <t>4010102</t>
  </si>
  <si>
    <t>Bank profit</t>
  </si>
  <si>
    <t>NET PROFIT / (LOSS)</t>
  </si>
  <si>
    <t>Other Income (Balance Written off / written back)</t>
  </si>
  <si>
    <t>AIR IMPORT SALE</t>
  </si>
  <si>
    <t>AIR IMPORT SALE ACCOUNT</t>
  </si>
  <si>
    <t>NVO SALE</t>
  </si>
  <si>
    <t>4020601</t>
  </si>
  <si>
    <t>NVOCC SALE</t>
  </si>
  <si>
    <t>purchases</t>
  </si>
  <si>
    <t>AIR IMPORT PURCHASE</t>
  </si>
  <si>
    <t>AIR IMPORT PURCHASE ACCOUNT</t>
  </si>
  <si>
    <t>NVO PURCHASE</t>
  </si>
  <si>
    <t>5010601</t>
  </si>
  <si>
    <t>NVOCC PURCHASE</t>
  </si>
  <si>
    <t>Consulltancy fee</t>
  </si>
  <si>
    <t>6010111</t>
  </si>
  <si>
    <t>GENERATOR EXPENSE</t>
  </si>
  <si>
    <t>fuel and lubricant</t>
  </si>
  <si>
    <t>food testing</t>
  </si>
  <si>
    <t>employee meal expense</t>
  </si>
  <si>
    <t>6010114</t>
  </si>
  <si>
    <t>MEDICAL EXPENSE</t>
  </si>
  <si>
    <t>misc expense</t>
  </si>
  <si>
    <t>resturent cleaning expense</t>
  </si>
  <si>
    <t>security expense</t>
  </si>
  <si>
    <t>Vehicle repair and maintenance</t>
  </si>
  <si>
    <t>resturent  salary expense</t>
  </si>
  <si>
    <t>salary expense HO</t>
  </si>
  <si>
    <t>petrol</t>
  </si>
  <si>
    <t>sui gas and lpg</t>
  </si>
  <si>
    <t>utilities expense</t>
  </si>
  <si>
    <t>water and allied charges</t>
  </si>
  <si>
    <t xml:space="preserve">advertisement and promotion </t>
  </si>
  <si>
    <t>web services and networking</t>
  </si>
  <si>
    <t>6010122</t>
  </si>
  <si>
    <t>PROFESSIONAL TAX</t>
  </si>
  <si>
    <t>6010123</t>
  </si>
  <si>
    <t>REFUND AND DISCOUNT</t>
  </si>
  <si>
    <t>6010137</t>
  </si>
  <si>
    <t>STAFF BONUS</t>
  </si>
  <si>
    <t>Transportation and carriage</t>
  </si>
  <si>
    <t>VEHICLE RUNNING EXPENSE</t>
  </si>
  <si>
    <t>WAGES AND LABOUR</t>
  </si>
  <si>
    <t>TAXATIONS FOR THE YEAR</t>
  </si>
  <si>
    <t>CURRENT YEAR PROVISION CORPORATE TAX</t>
  </si>
  <si>
    <t>CURRENT YEAR CHARGE OF DEFERRED TAX</t>
  </si>
  <si>
    <t>INCOME TAX PRIOR EXPENSE</t>
  </si>
  <si>
    <t>6020102</t>
  </si>
  <si>
    <t>SALES PORMOTION EXPENSE</t>
  </si>
  <si>
    <t>TOTAL</t>
  </si>
  <si>
    <t>DIFFERENCE</t>
  </si>
  <si>
    <t>SWIFT MOVERS PVT LIMITED</t>
  </si>
  <si>
    <t>AUDIT FOR THE YEAR ENDED 30 JUNE, 2019</t>
  </si>
  <si>
    <t>Sr.No</t>
  </si>
  <si>
    <t>City</t>
  </si>
  <si>
    <t>Status</t>
  </si>
  <si>
    <t>Income tax Expense</t>
  </si>
  <si>
    <t>Posted</t>
  </si>
  <si>
    <t>Income tax provision</t>
  </si>
  <si>
    <t>Deffered tax expense</t>
  </si>
  <si>
    <t>deferred tax liability</t>
  </si>
  <si>
    <t>Audit fee</t>
  </si>
  <si>
    <t>Audit fee payable</t>
  </si>
  <si>
    <r>
      <rPr>
        <b/>
        <sz val="12"/>
        <color theme="1"/>
        <rFont val="Calibri"/>
        <charset val="134"/>
        <scheme val="minor"/>
      </rPr>
      <t>Reason</t>
    </r>
    <r>
      <rPr>
        <sz val="12"/>
        <color theme="1"/>
        <rFont val="Calibri"/>
        <charset val="134"/>
        <scheme val="minor"/>
      </rPr>
      <t xml:space="preserve"> : </t>
    </r>
  </si>
  <si>
    <t>Advertisement Expense</t>
  </si>
  <si>
    <t>Bank</t>
  </si>
  <si>
    <t>cash in foreign currency</t>
  </si>
  <si>
    <t>exchange gain</t>
  </si>
  <si>
    <t>Rent expense</t>
  </si>
  <si>
    <t>Payable to staff provident fund account</t>
  </si>
  <si>
    <t>Bank charges</t>
  </si>
  <si>
    <t>Bank Al habib limited -57-01-8</t>
  </si>
  <si>
    <t>Provision for taxation</t>
  </si>
  <si>
    <t>Refundable income tax</t>
  </si>
  <si>
    <t>ADVANCE INCOME TAX-VEHICLE</t>
  </si>
  <si>
    <t>ADVANCE INCOME TAX ON MOBILE</t>
  </si>
  <si>
    <t>Other expenses</t>
  </si>
  <si>
    <t>Entertainment</t>
  </si>
  <si>
    <t>Prior year tax</t>
  </si>
  <si>
    <t>SWIFT MOVERS PRIVATE LIMITED</t>
  </si>
  <si>
    <t xml:space="preserve"> FOR THE PERIOD ENDED JUNE 30, 2019</t>
  </si>
  <si>
    <t>Property and equipment</t>
  </si>
  <si>
    <t xml:space="preserve">A/C Code </t>
  </si>
  <si>
    <t>Accounting Description</t>
  </si>
  <si>
    <t>R.F</t>
  </si>
  <si>
    <t>COST</t>
  </si>
  <si>
    <t>FURNITURE AND FIXTURES</t>
  </si>
  <si>
    <t>OFFICE EQUIPMENT</t>
  </si>
  <si>
    <t>COMPUTERS</t>
  </si>
  <si>
    <t>GENERATOR</t>
  </si>
  <si>
    <t>MOTOR VEHICLE</t>
  </si>
  <si>
    <t>ACC. DEPRECIATION</t>
  </si>
  <si>
    <t>NBV</t>
  </si>
  <si>
    <t>Total</t>
  </si>
  <si>
    <t>Long term deposits</t>
  </si>
  <si>
    <t>Trade debts - unsecured, considered good</t>
  </si>
  <si>
    <t>Due from related party</t>
  </si>
  <si>
    <t xml:space="preserve">Advances, deposits, prepayments and other receivables </t>
  </si>
  <si>
    <t>Tax refunds due from Government - income tax</t>
  </si>
  <si>
    <t>Cash and bank balances</t>
  </si>
  <si>
    <t>Local</t>
  </si>
  <si>
    <t>Al RAHEEM TEXTILES  INDUSTRIES</t>
  </si>
  <si>
    <t>COMMANDINF OOFICER NAVAL</t>
  </si>
  <si>
    <t>GUL AHMED TEXTILE MILLS</t>
  </si>
  <si>
    <t>Foreign</t>
  </si>
  <si>
    <t>Advances to staff against salaries</t>
  </si>
  <si>
    <t>Advance against expenses</t>
  </si>
  <si>
    <t>Advance to suppliers</t>
  </si>
  <si>
    <t>opening</t>
  </si>
  <si>
    <t>provision for taxation</t>
  </si>
  <si>
    <t>Cash in Hand</t>
  </si>
  <si>
    <t>Cash at Bank</t>
  </si>
  <si>
    <t>Cash In Hand</t>
  </si>
  <si>
    <t>Bank balances</t>
  </si>
  <si>
    <t>CAPITAL AND RESERVES</t>
  </si>
  <si>
    <t>Issued, subscribed and paid up capital</t>
  </si>
  <si>
    <t>Unappropriated profit</t>
  </si>
  <si>
    <t>NON CURRENT LIABILITIES</t>
  </si>
  <si>
    <t>Share deposit money</t>
  </si>
  <si>
    <t xml:space="preserve">TRADE AND OTHER PAYABLES </t>
  </si>
  <si>
    <t>2018</t>
  </si>
  <si>
    <t>Trade creditors</t>
  </si>
  <si>
    <t xml:space="preserve">Accrued liabilities </t>
  </si>
  <si>
    <t>Trade Creditors</t>
  </si>
  <si>
    <t>Trade And Other Payables</t>
  </si>
  <si>
    <t>MIQ NEATHERLAND</t>
  </si>
  <si>
    <t>DELMARINTERNATIONAL</t>
  </si>
  <si>
    <t>Advances From Customers</t>
  </si>
  <si>
    <t>Services Rendered</t>
  </si>
  <si>
    <t>ENDORSEMENT</t>
  </si>
  <si>
    <t>DIRECT CHARGES</t>
  </si>
  <si>
    <t>Purchases</t>
  </si>
  <si>
    <t>Freight charges</t>
  </si>
  <si>
    <t>OPERATING EXPENSES</t>
  </si>
  <si>
    <t>Administrative</t>
  </si>
  <si>
    <t>Finance cost</t>
  </si>
  <si>
    <t>Administrative Expenses</t>
  </si>
  <si>
    <t>Director's remuneration</t>
  </si>
  <si>
    <t>Salaries, allowances and benefits</t>
  </si>
  <si>
    <t>Travelling and conveyance</t>
  </si>
  <si>
    <t>Telephone</t>
  </si>
  <si>
    <t>Postage and telegram</t>
  </si>
  <si>
    <t>Internet charges</t>
  </si>
  <si>
    <t>Electricity</t>
  </si>
  <si>
    <t>Rent, rates and taxes</t>
  </si>
  <si>
    <t>Printing and stationery</t>
  </si>
  <si>
    <t xml:space="preserve">Fees and subscription </t>
  </si>
  <si>
    <t xml:space="preserve">Repairs and maintenance </t>
  </si>
  <si>
    <t>Insurance</t>
  </si>
  <si>
    <t>Advertisement</t>
  </si>
  <si>
    <t>Office expense</t>
  </si>
  <si>
    <t>Depreciation</t>
  </si>
  <si>
    <t>Refunds and claims</t>
  </si>
  <si>
    <t>Profesional tax</t>
  </si>
  <si>
    <t>finance cost</t>
  </si>
  <si>
    <t>Telecommunication</t>
  </si>
  <si>
    <t>Rent Rates And Taxes</t>
  </si>
  <si>
    <t>AUTHORISED SHARE CAPITAL</t>
  </si>
  <si>
    <t>PAID UP SHARE CAPITAL</t>
  </si>
  <si>
    <t>UNAPPROPRIATED PROFITS</t>
  </si>
  <si>
    <t>SHARE DEPOSIT MONEY</t>
  </si>
  <si>
    <t>TRADE AND OTHER PAYABLE</t>
  </si>
  <si>
    <t>Payable to staff savings fund account</t>
  </si>
  <si>
    <t>ADVANCE FROM CUSTOMERS</t>
  </si>
  <si>
    <t>3030111</t>
  </si>
  <si>
    <t>AL-NABOODA</t>
  </si>
  <si>
    <t>3030147</t>
  </si>
  <si>
    <t>ACE LOGISTICS</t>
  </si>
  <si>
    <t>3030148</t>
  </si>
  <si>
    <t>BANSARD INTERNATIONAL</t>
  </si>
  <si>
    <t>3030138</t>
  </si>
  <si>
    <t>BEST CHANNEL</t>
  </si>
  <si>
    <t>3030149</t>
  </si>
  <si>
    <t>CARGO PARTNER</t>
  </si>
  <si>
    <t>3030140</t>
  </si>
  <si>
    <t>C-P WORLD</t>
  </si>
  <si>
    <t>3030143</t>
  </si>
  <si>
    <t>GML</t>
  </si>
  <si>
    <t>3030151</t>
  </si>
  <si>
    <t>HAMZA INTERNATIONAL</t>
  </si>
  <si>
    <t>3030150</t>
  </si>
  <si>
    <t>JOUTUN POWDER</t>
  </si>
  <si>
    <t>3030141</t>
  </si>
  <si>
    <t>KUNDI SERVICES</t>
  </si>
  <si>
    <t>3030145</t>
  </si>
  <si>
    <t>3030142</t>
  </si>
  <si>
    <t>MSC AGENCY PAKISTAN</t>
  </si>
  <si>
    <t>3030146</t>
  </si>
  <si>
    <t>NEWPORT</t>
  </si>
  <si>
    <t>3030139</t>
  </si>
  <si>
    <t>P.I.C.T</t>
  </si>
  <si>
    <t>3030152</t>
  </si>
  <si>
    <t>ZAMAN AGENCIES</t>
  </si>
  <si>
    <t>3030153</t>
  </si>
  <si>
    <t>ZAMAN TEXTILE</t>
  </si>
  <si>
    <t>ACCRUED LIABILITIES</t>
  </si>
  <si>
    <t>SALARIES PAYABLE</t>
  </si>
  <si>
    <t>TELEPHONE PAYABLE</t>
  </si>
  <si>
    <t>ELECTRICITY PAYABLE</t>
  </si>
  <si>
    <t>EOBI PAYABLE</t>
  </si>
  <si>
    <t>STAF SAVING PAYABLE</t>
  </si>
  <si>
    <t>PAYABLE TO STAFF SAVING FUNDS</t>
  </si>
  <si>
    <t>DUE TO RELATED PARTY</t>
  </si>
  <si>
    <t>LONG TERM LOAN - Director's Loan</t>
  </si>
  <si>
    <t>DEFFERED LIABILITIES</t>
  </si>
  <si>
    <t>DEFFERED TAXATION</t>
  </si>
  <si>
    <t>Balance As At 1 July</t>
  </si>
  <si>
    <t>Provision For The Year (reversed) / provided</t>
  </si>
  <si>
    <t>Balance As At 30 June</t>
  </si>
  <si>
    <t>STAFF GRATUITY</t>
  </si>
  <si>
    <t>3125</t>
  </si>
  <si>
    <t>Provision For The Year</t>
  </si>
  <si>
    <t>Briter Electroplating Co.</t>
  </si>
  <si>
    <t>Faisal Steel Corp</t>
  </si>
  <si>
    <t>Javed International (Pvt) Limited</t>
  </si>
  <si>
    <t>Salman Steel Craft</t>
  </si>
  <si>
    <t>SALARIES AND WAGES PAYABLE</t>
  </si>
  <si>
    <t>3001</t>
  </si>
  <si>
    <t>3002</t>
  </si>
  <si>
    <t>3003</t>
  </si>
  <si>
    <t>UTILITIES PAYABLE</t>
  </si>
  <si>
    <t>3021</t>
  </si>
  <si>
    <t>3022</t>
  </si>
  <si>
    <t>3023</t>
  </si>
  <si>
    <t>3035</t>
  </si>
  <si>
    <t>3053</t>
  </si>
  <si>
    <t>3054</t>
  </si>
  <si>
    <t>3055</t>
  </si>
  <si>
    <t>3074</t>
  </si>
  <si>
    <t>Water Expenses</t>
  </si>
  <si>
    <t>3075</t>
  </si>
  <si>
    <t>AUDITOR's REMUNERATION &amp; IJARAH RENTAL PAYABLE</t>
  </si>
  <si>
    <t>Ijarah Rental Payable</t>
  </si>
  <si>
    <t>SALARY TAX PAYABLE</t>
  </si>
  <si>
    <t>3102</t>
  </si>
  <si>
    <t>WORKER's PROFIT PARTICIPATION FUND AND WORKER's WELFARE FUND</t>
  </si>
  <si>
    <t>3123</t>
  </si>
  <si>
    <t>3119</t>
  </si>
  <si>
    <t>TRADE AND OTHER PAYABLES</t>
  </si>
  <si>
    <t>INCOME TAX WITHELD PAYABLE</t>
  </si>
  <si>
    <t>WORKER's PROFIT PARTICIPATION FUND</t>
  </si>
  <si>
    <t>WORKER's WELFARE FUND</t>
  </si>
  <si>
    <t>INCOME TAX DEDUCTED AT SOURCE AT PAYABLE</t>
  </si>
  <si>
    <t>3131</t>
  </si>
  <si>
    <t>3134</t>
  </si>
  <si>
    <t>3104</t>
  </si>
  <si>
    <t>3103</t>
  </si>
  <si>
    <t>5224</t>
  </si>
  <si>
    <t>5225</t>
  </si>
  <si>
    <t>5236</t>
  </si>
  <si>
    <t>5237</t>
  </si>
  <si>
    <t>5238</t>
  </si>
  <si>
    <t>5239</t>
  </si>
  <si>
    <t>5240</t>
  </si>
  <si>
    <t>SHORT TERM BORROWINGS - Secured</t>
  </si>
  <si>
    <t>5005</t>
  </si>
  <si>
    <t>Askari Bank Limited (Running Finance Facility)</t>
  </si>
  <si>
    <t>3126</t>
  </si>
  <si>
    <t>SALES - Net</t>
  </si>
  <si>
    <t>6001</t>
  </si>
  <si>
    <t>6007</t>
  </si>
  <si>
    <t>Gross Sales</t>
  </si>
  <si>
    <t>6002</t>
  </si>
  <si>
    <t>Less : Sales Return GST</t>
  </si>
  <si>
    <t>Less : Sales Tax (GST)</t>
  </si>
  <si>
    <t>Net Sales</t>
  </si>
  <si>
    <t>COST OF SALES</t>
  </si>
  <si>
    <t>Opening Stock</t>
  </si>
  <si>
    <t>Add : Purchases &amp; Freight</t>
  </si>
  <si>
    <t>7001</t>
  </si>
  <si>
    <t>7003</t>
  </si>
  <si>
    <t>7015</t>
  </si>
  <si>
    <t>7016</t>
  </si>
  <si>
    <t>7011</t>
  </si>
  <si>
    <t>7002</t>
  </si>
  <si>
    <t>Total Purchases</t>
  </si>
  <si>
    <t>Raw Material Available For Consumption</t>
  </si>
  <si>
    <t>5201</t>
  </si>
  <si>
    <t>Less : Closing Stock</t>
  </si>
  <si>
    <t>Raw Material Consumed</t>
  </si>
  <si>
    <t>Factory Overheads</t>
  </si>
  <si>
    <t>7005</t>
  </si>
  <si>
    <t>7007</t>
  </si>
  <si>
    <t>7008</t>
  </si>
  <si>
    <t>7009</t>
  </si>
  <si>
    <t>8044</t>
  </si>
  <si>
    <t>7010</t>
  </si>
  <si>
    <t>7012</t>
  </si>
  <si>
    <t>COST OF GOODS MANUFACTURED</t>
  </si>
  <si>
    <t>Add : Opening Stock of Finished Goods</t>
  </si>
  <si>
    <t>Less : Closing Stock of Finished Goods</t>
  </si>
  <si>
    <t>ADMINISTRATIVE AND SELLING EXPENSES</t>
  </si>
  <si>
    <t>8002</t>
  </si>
  <si>
    <t>Staff Salaries &amp; Benefits</t>
  </si>
  <si>
    <t>Electricity Water &amp; Gas</t>
  </si>
  <si>
    <t>8023</t>
  </si>
  <si>
    <t>Repair &amp; Maintenance</t>
  </si>
  <si>
    <t>8020</t>
  </si>
  <si>
    <t>8010</t>
  </si>
  <si>
    <t>8019</t>
  </si>
  <si>
    <t>8013</t>
  </si>
  <si>
    <t>Auditor's Remuneration</t>
  </si>
  <si>
    <t>Vehicle Running &amp; Maintanence</t>
  </si>
  <si>
    <t>8027</t>
  </si>
  <si>
    <t>8015</t>
  </si>
  <si>
    <t>8026</t>
  </si>
  <si>
    <t>8014</t>
  </si>
  <si>
    <t>Rent Rates &amp; Taxes</t>
  </si>
  <si>
    <t>Legal &amp; Professional Fees</t>
  </si>
  <si>
    <t>Bad Debt Written Off</t>
  </si>
  <si>
    <t>8056</t>
  </si>
  <si>
    <t>Others</t>
  </si>
  <si>
    <t>STAFF SALARIES</t>
  </si>
  <si>
    <t>7006</t>
  </si>
  <si>
    <t>8012</t>
  </si>
  <si>
    <t>8031</t>
  </si>
  <si>
    <t>8052</t>
  </si>
  <si>
    <t>ELECTRICITY WATER AND GAS</t>
  </si>
  <si>
    <t>8050</t>
  </si>
  <si>
    <t>8011</t>
  </si>
  <si>
    <t>VEHICLE RUNNING AND MAINTENANCE</t>
  </si>
  <si>
    <t>8022</t>
  </si>
  <si>
    <t>8028</t>
  </si>
  <si>
    <t>LEGAL AND PROFESSIONAL CHARGES</t>
  </si>
  <si>
    <t>8047</t>
  </si>
  <si>
    <t>8053</t>
  </si>
  <si>
    <t>OTHERS</t>
  </si>
  <si>
    <t>8024</t>
  </si>
  <si>
    <t>8029</t>
  </si>
  <si>
    <t>8030</t>
  </si>
  <si>
    <t>8041</t>
  </si>
  <si>
    <t>8057</t>
  </si>
  <si>
    <t>6006</t>
  </si>
  <si>
    <t>FINANCE COST</t>
  </si>
  <si>
    <t>MARKUP ON BANK BORROWINGS</t>
  </si>
  <si>
    <t>8054</t>
  </si>
  <si>
    <t>8038</t>
  </si>
  <si>
    <t>8033</t>
  </si>
  <si>
    <t>8034</t>
  </si>
  <si>
    <t>8035</t>
  </si>
  <si>
    <t>8036</t>
  </si>
  <si>
    <t>8037</t>
  </si>
  <si>
    <t>8055</t>
  </si>
  <si>
    <t>AIMAL KHAN TRADERS</t>
  </si>
  <si>
    <t>Audited Financial Statements</t>
  </si>
  <si>
    <t>FOR THE YEAR ENDED DECEMBER 31, 2025</t>
  </si>
  <si>
    <t>STATEMENT OF FINANCIAL POSITION</t>
  </si>
  <si>
    <t>AS AT DECEMBER 31, 2025</t>
  </si>
  <si>
    <t>Note</t>
  </si>
  <si>
    <t>Rupees</t>
  </si>
  <si>
    <t>NON CURRENT ASSETS</t>
  </si>
  <si>
    <t>FIXED ASSETS - NET</t>
  </si>
  <si>
    <t>Deferred taxation</t>
  </si>
  <si>
    <t>Stores and spares</t>
  </si>
  <si>
    <t>Trade receivables</t>
  </si>
  <si>
    <t>Due from related parties</t>
  </si>
  <si>
    <t xml:space="preserve">Advances and prepayments </t>
  </si>
  <si>
    <t>Advances, deposits &amp; other receivables</t>
  </si>
  <si>
    <t>TOTAL ASSETS</t>
  </si>
  <si>
    <t>CAPITAL AND LIABILITIES</t>
  </si>
  <si>
    <t>Authorized capital</t>
  </si>
  <si>
    <t>CAPITAL ACCOUNT</t>
  </si>
  <si>
    <t>Capital Account</t>
  </si>
  <si>
    <t>Long Term Loan - Bank Alfalah</t>
  </si>
  <si>
    <t>Long Term Loan - Habib Bank Limited</t>
  </si>
  <si>
    <t>Deposit for purchase of shares</t>
  </si>
  <si>
    <t>Deferred tax liabilities</t>
  </si>
  <si>
    <t>Current Liability - Long term loan</t>
  </si>
  <si>
    <t>Creditors, accrued expenses &amp; other liabilities</t>
  </si>
  <si>
    <t>Due to related party</t>
  </si>
  <si>
    <t>Current portion of liabilities</t>
  </si>
  <si>
    <t>against asset subject to finance lease</t>
  </si>
  <si>
    <t>CONTINGENCIES AND COMMITMENTS</t>
  </si>
  <si>
    <t>TOTAL CAPITAL AND LIABILITIES</t>
  </si>
  <si>
    <t xml:space="preserve">   </t>
  </si>
  <si>
    <t>The annexed notes form an integral part of these financial statements.</t>
  </si>
  <si>
    <t>PROPRIETOR</t>
  </si>
  <si>
    <t>There was no contingent liability of the business at the terminal date - Nil (2023: Nil).</t>
  </si>
  <si>
    <t>There was no capital commitment of the business at the terminal date- Nil (2023: Nil).</t>
  </si>
  <si>
    <t xml:space="preserve">STATEMENT OF CASH FLOWS </t>
  </si>
  <si>
    <t>CASH FLOW FROM OPERATING ACTIVITIES</t>
  </si>
  <si>
    <t>Profit/(loss) before taxation</t>
  </si>
  <si>
    <t>Adjustment for non-cash and other items:</t>
  </si>
  <si>
    <t>Financial Charges</t>
  </si>
  <si>
    <t>Operating loss before working capital changes</t>
  </si>
  <si>
    <t>Net changes in working capital components:</t>
  </si>
  <si>
    <t>(Increase) / decrease in current assets</t>
  </si>
  <si>
    <t>(Decrease) / increase in current liabilities</t>
  </si>
  <si>
    <t>Cash inflows from operating activities</t>
  </si>
  <si>
    <t>Income tax paid</t>
  </si>
  <si>
    <t>Finance cost paid</t>
  </si>
  <si>
    <t>Financial charges paid</t>
  </si>
  <si>
    <t>Net cash generated from operating activities</t>
  </si>
  <si>
    <t>CASH FLOW FROM INVESTING ACTIVITIES</t>
  </si>
  <si>
    <t>Payments for Property, plant and equipment</t>
  </si>
  <si>
    <t>Net cash (used in) from Investing activities</t>
  </si>
  <si>
    <t>CASH FLOW FROM FINANCING ACTIVITIES</t>
  </si>
  <si>
    <t>Increase in paid up capital</t>
  </si>
  <si>
    <t>NET INCREASE IN CASH AND CASH EQUIVALENTS</t>
  </si>
  <si>
    <t>CASH AND CASH EQUIVALENTS AT BEGINNING OF THE YEAR</t>
  </si>
  <si>
    <t xml:space="preserve">CASH AND CASH EQUIVALENTS  AT END OF THE YEAR </t>
  </si>
  <si>
    <t>SOFP</t>
  </si>
  <si>
    <t>Difference</t>
  </si>
  <si>
    <t xml:space="preserve">STATEMENT OF PROFIT OR LOSS </t>
  </si>
  <si>
    <t>Revenue- net</t>
  </si>
  <si>
    <t>Cost of revenue</t>
  </si>
  <si>
    <t>Gross Profit</t>
  </si>
  <si>
    <t>Administrative expenses</t>
  </si>
  <si>
    <t>OPERATING PROFIT FOR THE YEAR</t>
  </si>
  <si>
    <t>Other Income</t>
  </si>
  <si>
    <t>Profit/(Loss) before taxation</t>
  </si>
  <si>
    <t>Taxation</t>
  </si>
  <si>
    <t>Profit/(Loss) after taxation</t>
  </si>
  <si>
    <t xml:space="preserve">EARNINGS PER SHARE OF RS. 100 EACH - </t>
  </si>
  <si>
    <t>basic and diluted</t>
  </si>
  <si>
    <t xml:space="preserve">91381,500 3,600,000 500,000 800,000 709,300 </t>
  </si>
  <si>
    <t>STATEMENT OF CASH FLOW</t>
  </si>
  <si>
    <t>CASH FLOWS FROM OPERATING ACTIVITIES</t>
  </si>
  <si>
    <t>Adjustment for:</t>
  </si>
  <si>
    <t>Cash flow before working capital changes</t>
  </si>
  <si>
    <t>Adjustment for working capital changes</t>
  </si>
  <si>
    <t>Increase / (decrease) in current liabilities</t>
  </si>
  <si>
    <t>Current Liability</t>
  </si>
  <si>
    <t>Drawings</t>
  </si>
  <si>
    <t>CASH FLOWS FROM INVESTING ACTIVITIES</t>
  </si>
  <si>
    <t>Purchase of property, plant and equipment</t>
  </si>
  <si>
    <t>Net cash generated from investing activities</t>
  </si>
  <si>
    <t xml:space="preserve">                         </t>
  </si>
  <si>
    <t>CASH FLOWS FROM FINANCING ACTIVITIES</t>
  </si>
  <si>
    <t>Non Current Liability</t>
  </si>
  <si>
    <t>Capital</t>
  </si>
  <si>
    <t>Net cash generated from financing activities</t>
  </si>
  <si>
    <t>NET (DECREASE) / INCREASE  IN CASH AND CASH EQUIVALENTS</t>
  </si>
  <si>
    <t>CASH AND CASH EQUIVALENTS AT END OF THE YEAR</t>
  </si>
  <si>
    <t xml:space="preserve"> </t>
  </si>
  <si>
    <t xml:space="preserve">NOTES TO THE FINANCIAL STATEMENTS </t>
  </si>
  <si>
    <t>FIRM AND ITS OPERATION</t>
  </si>
  <si>
    <t xml:space="preserve">Legal status and operations </t>
  </si>
  <si>
    <t>"M/S AIMAL KHAN TRADERS" is a registered business concern engaged in the business of  Distribution of National Products in KPK.</t>
  </si>
  <si>
    <t>STATEMENT OF COMPLIANCE</t>
  </si>
  <si>
    <t xml:space="preserve">SIGNIFICANT ACCOUNTING POLICIES </t>
  </si>
  <si>
    <t>These financial statements have been prepared in accordance with the accounting and reporting standards as applicable in Pakistan. The accounting and reporting standards applicable in Pakistan comprise of:</t>
  </si>
  <si>
    <t>-</t>
  </si>
  <si>
    <t>Revised Accounting and Financial Reporting Standard for the Small -Sized Entities (Revised AFRS for SSEs) issued by the Institute of Chartered Accountants of Pakistan as notified under the Companies Act, 2017; and</t>
  </si>
  <si>
    <t>Provisions of and directives issued under the Companies Act , 2017.</t>
  </si>
  <si>
    <t>Where provisions of and directives issued under the Companies Act, 2017 differ from the Revised AFRS for SSEs, the provisions of and directives issued under the Companies Act, 2017 have been followed.</t>
  </si>
  <si>
    <t>'BASIS OF PREPARATION</t>
  </si>
  <si>
    <t>Statement of compliance</t>
  </si>
  <si>
    <t>These financial statements have been prepared in accordance with the accounting and financial reporting standards as applicable in Pakistan. The accounting and financial reporting standards as applicable in Pakistan comprise of:</t>
  </si>
  <si>
    <r>
      <rPr>
        <b/>
        <sz val="10"/>
        <color indexed="8"/>
        <rFont val="Times New Roman"/>
        <charset val="134"/>
      </rPr>
      <t xml:space="preserve">Basis of </t>
    </r>
    <r>
      <rPr>
        <b/>
        <sz val="10"/>
        <color rgb="FF1A1A1C"/>
        <rFont val="Times New Roman"/>
        <charset val="134"/>
      </rPr>
      <t>measurem</t>
    </r>
    <r>
      <rPr>
        <b/>
        <sz val="10"/>
        <color rgb="FF3D3D3F"/>
        <rFont val="Times New Roman"/>
        <charset val="134"/>
      </rPr>
      <t>e</t>
    </r>
    <r>
      <rPr>
        <b/>
        <sz val="10"/>
        <color rgb="FF1A1A1C"/>
        <rFont val="Times New Roman"/>
        <charset val="134"/>
      </rPr>
      <t>nt</t>
    </r>
  </si>
  <si>
    <t>These financial statements have been prepared under the historical cost convention, except for certain items as disclosed in the relevant accounting policies below.</t>
  </si>
  <si>
    <t>Functional and presentation currency</t>
  </si>
  <si>
    <t>These financial statements are presented in Pakistani Rupees which is also the firm’s functional currency. All financial information presented in Pakistani Rupees has been rounded to nearest rupee, unless otherwise indicated.</t>
  </si>
  <si>
    <t>Key judgments, estimates and assumptions</t>
  </si>
  <si>
    <t>The preparation of financial statements in conformity with the accounting and reporting standards as applicable in Pakistan requires the use of certain critical accounting estimates. In addition, it requires management to exercise judgement in the process of applying the firm's accounting policies. The areas involving a high degree of judgement or complexity, or areas where assumptions and estimates are significant to the financial statements, are documented in the relevant accounting policies and notes.</t>
  </si>
  <si>
    <t>The revisions to ·accounting estimates (if any) are recognized in the period in which the estimate is revised i f the revision affects only that period or in the period of the revision and future periods if the revision affects both current and future periods.</t>
  </si>
  <si>
    <t>IAS-1</t>
  </si>
  <si>
    <t xml:space="preserve">Presentation of Financial Statements – Presentation of items of other comprehensive income
(Amendment)
</t>
  </si>
  <si>
    <t>IAS-12</t>
  </si>
  <si>
    <t>Income Taxes - Recovery of Underlying Assets (Amendment)</t>
  </si>
  <si>
    <t>The adoption of the above amendments did not have any material effect on these financial statements.</t>
  </si>
  <si>
    <t>SUMMARY OF SIGNIFICANT ACCOUNTING POLICIES</t>
  </si>
  <si>
    <t>The significant accounting policies set out below have been applied consistently to all periods presented in these financial statements, unless otherwise stated.</t>
  </si>
  <si>
    <t>Deferred taxation is provided on all temporary timing differences by using the balance sheet method.</t>
  </si>
  <si>
    <t>Deferred income tax asset is recognized for all deductible temporary differences, carry-forward unused tax credits and unused tax losses, to the extent that it is probable that taxable profit will be available against which the deductible temporary differences, carry-forward of unused tax credits and unused tax losses can be utilized.</t>
  </si>
  <si>
    <t>Deferred tax liabilities are generally recognized for all taxable temporary differences .</t>
  </si>
  <si>
    <t>The carrying amount of deferred income tax assets is reviewed at each statement of financial position date and reduced to the extent that it is no longer probable that sufficient taxable profit will be available to allow all or part of the deferred income tax assets to be utilized.</t>
  </si>
  <si>
    <t>Deferred tax assets and liabilities are measured at the tax rates that are expected to apply to the period when the liability is settled based on tax rates that have been enacted or substantively enacted at the statement of financial position date.</t>
  </si>
  <si>
    <t>Staff retirement benefits</t>
  </si>
  <si>
    <t xml:space="preserve">The firm operates un-recognized provident fund for its permanent employees. Equal monthly contribution by the employer and the employees at the rate of 5% of the basic salary is being made. </t>
  </si>
  <si>
    <t>Property, plant and equipment</t>
  </si>
  <si>
    <t>o</t>
  </si>
  <si>
    <t>These are stated at cost less accumulated depreciation and impairment loss, if any.</t>
  </si>
  <si>
    <t>Depreciation is calculated using reducing balance method at the rates stated in note 4. Depreciation charge commences from the month in which asset is available for use and continues until themonth of disposal.</t>
  </si>
  <si>
    <t xml:space="preserve">Useful lives, methods and rates of depreciation and residual values are reviewed and adjusted, if appropriate on regular basis. Any change in estimates in future years might affect the carrying amounts of the respective items of property, plant and equipment.
</t>
  </si>
  <si>
    <t>Normal repairs and maintenance is charged to revenue as and when incurred, while major renewals and replacements are capitalized.</t>
  </si>
  <si>
    <t>Gains and losses on disposal of assets are recognized as an income or expense.</t>
  </si>
  <si>
    <t>Assets under finance lease are stated at lower of present value of minimum lease payments under the lease agreement and the fair value of assets. Depreciation on these assets is charged according to firm's policies for similar assets.</t>
  </si>
  <si>
    <t>The aggregate amount of obligations relating to assets subject to finance lease are accounted for at the net principal liability under the lease agreements.</t>
  </si>
  <si>
    <t>Financial charges are allocated over the lease term so as to produce constant periodic rate of return on the outstanding principal liability for each period.</t>
  </si>
  <si>
    <t>Intangible assets</t>
  </si>
  <si>
    <t xml:space="preserve">Intangible assets, other than goodwill, are measured at cost less accumulated amortization and accumulated impairment losses. Amortization is charged so as to allocate the cost of assets over their estimated useful lives, using the straight-line method at the rates specified in note 5 to the financial statements. </t>
  </si>
  <si>
    <t xml:space="preserve">Intangible assets,which are stated at cost less accamulated amortization and impairement losses, if any. </t>
  </si>
  <si>
    <t>All intangible assets are estimated to have definite useful lives and are amortized using straight line method at the  applicable rates. Amortization on addition is charged for the full month in which these are purchased while no amortization is cahrged for the month in which the assets are disposed off.</t>
  </si>
  <si>
    <t>Impairment</t>
  </si>
  <si>
    <t>The carrying amounts of the assets are reviewed at each balance sheet date to determine whether there is any indication of impairment loss. If any such indication exists the asset's recoverable amount is estimated in order to determine the extent of impairment loss, if any. Impairment losses are recognized in the profit and loss account.</t>
  </si>
  <si>
    <t>An impairment loss is reversed if there has been a change in the estimates used to determine the recoverable amount.  An impairment  loss is reversed only to  the extent that the asset's carrying amount does not exceed the carrying amount that would have been determined , net of depreciation or amortization , if no impairment loss had been recognized.</t>
  </si>
  <si>
    <t>Stores</t>
  </si>
  <si>
    <t>These are valued at cost using First -In-First-Out (FIFO) method.</t>
  </si>
  <si>
    <t xml:space="preserve">Stock in trade </t>
  </si>
  <si>
    <t xml:space="preserve">These have been valued on the basis of lower of cost and net realizable value. </t>
  </si>
  <si>
    <t>Net realizable value signifies the selling price in the ordinary course of business less estimated costs of completion and selling expenses incidental thereto.</t>
  </si>
  <si>
    <t>Raw material</t>
  </si>
  <si>
    <t>- At moving average cost</t>
  </si>
  <si>
    <t>Finished goods</t>
  </si>
  <si>
    <t>Trade debts</t>
  </si>
  <si>
    <t>Trade debts are carried at original invoice amount less an estimate made for doubtful receivables,  if  any, based on a review of  all  outstanding amounts at  the year end.  Bad debts are written off when identified.</t>
  </si>
  <si>
    <t>Cash &amp; cash equivalents</t>
  </si>
  <si>
    <t>Cash and cash equivalents are carried at cost in the statement of financial position. For the purpose of cash flows, cash and cash equivalents comprises cash in hand and cash at banks.</t>
  </si>
  <si>
    <t>Trade and other payables</t>
  </si>
  <si>
    <t>Liabilities for trade and other payables are carried at cost which is the fair value of the consideration to be paid in future for goods and services received.</t>
  </si>
  <si>
    <t>Trade and other receivables</t>
  </si>
  <si>
    <t xml:space="preserve">Trade and other receivables are recognized at transaction price less an allowance for impairment. </t>
  </si>
  <si>
    <t>A provision for impairment of trade receivables is established when there is objective evidence that the firm will not be able to collect all amounts due according to the original terms of the receivables. The amount of the provision is recognized in the statement of profit or loss. Bad debts are written-off in the statement of profit or loss on identification.</t>
  </si>
  <si>
    <t xml:space="preserve">The firm does not operate any staff retirement benefit scheme. </t>
  </si>
  <si>
    <t>Provision</t>
  </si>
  <si>
    <t>A provision is recognized in the statement of financial position of the firm when the firm has a legal or constructive obligation as a result of a past event; and it is probable that an outflow of economic resources embodying economic benefit will be required to settle the obligation and a reliable estimate can be made of the amount of obligation. However, the provisions are adjusted at each reporting period to reflect the best estimate.</t>
  </si>
  <si>
    <t>Provision for current taxation is based on taxable income at the current rates of taxation after taking into account applicable tax credits, rebates and exemptions, if any.</t>
  </si>
  <si>
    <t xml:space="preserve">Foreign currency transactions
</t>
  </si>
  <si>
    <t>Transactions in foreign currencies are converted into Pak rupees at the rate of exchange prevailing on the date of transaction. Monetary assets and liabilities in foreign currencies are translated into Pak rupees at the rates of exchange prevailing at the balance sheet date. Exchange gains and losses are includedin current year's income.</t>
  </si>
  <si>
    <t>Revenue recognition</t>
  </si>
  <si>
    <t>Contract revenue is recognised when goods are dispatched and ownership risk and rewards are transferred to the buyer.</t>
  </si>
  <si>
    <t>PROPERTY AND EQUIPMENT- Tangible</t>
  </si>
  <si>
    <t>Property and equipments (Note 4.1)</t>
  </si>
  <si>
    <t>Reconciliation of carrying amounts at the beginning and end of the year is as follows:</t>
  </si>
  <si>
    <t>Owned</t>
  </si>
  <si>
    <t>Leased</t>
  </si>
  <si>
    <t xml:space="preserve">Total </t>
  </si>
  <si>
    <t>Land &amp; Building</t>
  </si>
  <si>
    <t>Furniture &amp; Fixtures</t>
  </si>
  <si>
    <t>Plant &amp; Machinery</t>
  </si>
  <si>
    <t>Vehicles</t>
  </si>
  <si>
    <t>------------------------------------------------------------------- Rupees ----------------------------------------------------------------------</t>
  </si>
  <si>
    <t>Year ended 30 June 2011</t>
  </si>
  <si>
    <t>Opening net book value</t>
  </si>
  <si>
    <t>Additions</t>
  </si>
  <si>
    <t>Transfers</t>
  </si>
  <si>
    <t>Adjustments</t>
  </si>
  <si>
    <t>Disposal (at NBV)</t>
  </si>
  <si>
    <t>Closing net book value</t>
  </si>
  <si>
    <t>At 30 June 2011</t>
  </si>
  <si>
    <t>Cost</t>
  </si>
  <si>
    <t>Accumulated depreciation</t>
  </si>
  <si>
    <t>Net book value</t>
  </si>
  <si>
    <t>Year ended 30 June 2012</t>
  </si>
  <si>
    <t>At 30 June 2012</t>
  </si>
  <si>
    <t>Year ended 30 June 2013</t>
  </si>
  <si>
    <t>At 30 June 2013</t>
  </si>
  <si>
    <t>Year ended 30 June 2014</t>
  </si>
  <si>
    <t>At 30 June 2014</t>
  </si>
  <si>
    <t>Year ended 30 June 2015</t>
  </si>
  <si>
    <t>Disposal</t>
  </si>
  <si>
    <t>Net book value-(disposal)</t>
  </si>
  <si>
    <t>At 30 June 2015</t>
  </si>
  <si>
    <t>Year ended 30 June 2016</t>
  </si>
  <si>
    <t>At 30 June 2016</t>
  </si>
  <si>
    <t>Year ended 30 June 2017</t>
  </si>
  <si>
    <t>At 30 June 2017</t>
  </si>
  <si>
    <t>Year ended 30 June 2019</t>
  </si>
  <si>
    <t>Disposal/Transfer to IAS-40</t>
  </si>
  <si>
    <t>Net book value-(disposal/transfer)</t>
  </si>
  <si>
    <t>At 30 June 2019</t>
  </si>
  <si>
    <t>Year ended 30 June 2020</t>
  </si>
  <si>
    <t>Transfer to IAS-40</t>
  </si>
  <si>
    <t>Net book value-(transfer)</t>
  </si>
  <si>
    <t>At 30 June 2020</t>
  </si>
  <si>
    <t>Year ended 30 June 2021</t>
  </si>
  <si>
    <t>At 30 June 2021</t>
  </si>
  <si>
    <t>Annual rate of depreciation (%)</t>
  </si>
  <si>
    <t>Cost of goods sold</t>
  </si>
  <si>
    <t>PARTICULARS</t>
  </si>
  <si>
    <t>Rate%</t>
  </si>
  <si>
    <t>DEPRECIATION</t>
  </si>
  <si>
    <t>W.D.V As at 31/12/2025</t>
  </si>
  <si>
    <t>As at 1/1/2025</t>
  </si>
  <si>
    <t>Additions / Deletions</t>
  </si>
  <si>
    <t>As at 31/12/2025</t>
  </si>
  <si>
    <t>For the Year</t>
  </si>
  <si>
    <t>Office Decoration</t>
  </si>
  <si>
    <t>Motor Vehicles</t>
  </si>
  <si>
    <t>Computer &amp; Electric Equipments</t>
  </si>
  <si>
    <t>Other Assets</t>
  </si>
  <si>
    <t>Deprecation for the year has been allocated as under:</t>
  </si>
  <si>
    <t>Cost of Sales</t>
  </si>
  <si>
    <t>Operating Expenses</t>
  </si>
  <si>
    <t>COMPANY AND ITS OPERATION</t>
  </si>
  <si>
    <t>Food Caravan (Pvt) Limited was incorporated in Pakistan on October 5, 2018 under the Companies Act, 2017  on May 30, 2017 as a private company limited by shares and is engaged in the business of provision of food. The registered office of the company is situated at 435K-Block Model town Lahore, whereas the location of principal place of its business is situated at CCA 237, Sector FF, Phase IV Commercial, DHA, Lahore.</t>
  </si>
  <si>
    <t>Summary of significant events and transactions in the current reporting period.</t>
  </si>
  <si>
    <t>The Third and Fifth Schedules to the Companies Act, 2017 became applicable to the Company for the first time for the preparation of these financial statements. The Companies Act, 2017 (including its Third and Fifth Schedule) forms an integral part of the statutory financial reporting framework applicable to the Company and amongst others, prescribes the nature and content of disclosures in relation to various elements of the financial statements. Additional disclosures include but are not limited to, additional disclosure requirements for related parties (refer note 21) and management assessment of sufficiency of tax provision in the financial statements (refer note 18), etc.</t>
  </si>
  <si>
    <t>BASIS OF PREPARATION</t>
  </si>
  <si>
    <t>Accounting convention</t>
  </si>
  <si>
    <t>These financial statements  have  been  prepared  under the  historical cost convention without any adjustment for inflation or current values. In these financial statements, except for cash flow statement, all the transactions have been accounted for on accrual basis.</t>
  </si>
  <si>
    <t>The preparation of financial statements in conformity with Revised AFRS for SSEs requires management to make judgments, estimates and assumptions that affect the application of policies and reported amounts of assets and liabilities, income and expenses. The estimates and associated assumptions are based on historical experience and various other factors that are believed to be reasonable under the circumstances, the results of which form the basis of making the judgments about carrying values of assets and liabilities that are not readily apparent from other sources. Actual results may differ from these estimates.</t>
  </si>
  <si>
    <t>The estimates and underline assumptions are reviewed on an on going basis. Revisions to accounting estimates are recognized in the period in which the estimates are revised.</t>
  </si>
  <si>
    <t>Significant areas requiring the use of the management estimates in these financial statements relates to the useful lives and residual values of the property, plant and equipment,  provision for doubtful debts on account receivables, estimation of contingencies, and estimation of taxation. However, assumptions and judgments  made by management in the application of accounting policies that have significant effect on the financial statements are not expected to result in material adjustment to the carrying amounts of assets and liabilities in the next year.</t>
  </si>
  <si>
    <t>Current</t>
  </si>
  <si>
    <t>The current taxation is computed on the basis of profit for the year adjusted for fiscal purposes after taking into account the tax credit or rebate, if any or Alternative Corporate Tax @ 17% of accounting income u/s 113 C of the Income Tax Ordinance, 2001 or minimum tax u/s 113 of the Income Tax Ordinance, 2001, whichever is higher.</t>
  </si>
  <si>
    <t>Deferred</t>
  </si>
  <si>
    <t>The accounting standards applicable to size and stature of the company do not require the recognition of deferred tax. Accordingly deferred tax (asset)/liability is not recognized in these financial statements being not applicable in the instant case.</t>
  </si>
  <si>
    <t xml:space="preserve">The company operates un-recognized provident fund for its permanent employees. Equal monthly contribution by the employer and the employees at the rate of 5% of the basic salary is being made. </t>
  </si>
  <si>
    <t>Depreciation is charged to income  by  applying the reducing balance method at the rates  specified in note 5, considering the useful lives of these assets and after taking into account that no depreciation  is  provided on assets in  the month in  which these  are sold  while charge for the full month is made in which these are purchased.</t>
  </si>
  <si>
    <t>Minor renewals, replacements, maintenance   and   repairs  are  expensed.  Major  renewals  and  betterments  are capitalized.</t>
  </si>
  <si>
    <t>Gains and losses on deleted assets are recognized as an income or expense.</t>
  </si>
  <si>
    <t>Assets under finance lease are stated at lower of present value of minimum lease payments under the lease agreement and the fair value of assets. Depreciation on these assets is charged according to company's policies for similar assets.</t>
  </si>
  <si>
    <t>Initial Recognition</t>
  </si>
  <si>
    <t>Intangible assets, which are stated at cost less accumulated amortization and impairment losses, if any, represent the cost of software. Cost associated with maintaining these assets are charged to the statement of comprehensive incomes and when incurred, however, cost that directly attributable to the identifiable asset and have probable economic benefits exceeding one year, are recognized as intangible assets.</t>
  </si>
  <si>
    <t>All intangible assets are estimated to have definite useful lives and are amortized using straight line method over period of 3 years. Amortization on addition is charged for the full month in which these are purchased while no amortization is charged for the month in which the assets are disposed off.</t>
  </si>
  <si>
    <t>Judgment and estimates</t>
  </si>
  <si>
    <t>The useful lives, residual values and amortization method are reviewed on a regular basis. The effect of any changes in estimate accounted for on a prospective basis.</t>
  </si>
  <si>
    <t>The property &amp; equipment and intangible assets 'residual value and useful lives are reviewed, and adjusted if appropriate, at each financial year end. The effect of any adjustment to residual values and useful lives is recognized prospectively as a change in accounting estimate.</t>
  </si>
  <si>
    <t>Impairment of non-financial assets</t>
  </si>
  <si>
    <t xml:space="preserve">The assets that are subject to depreciation or amortization are assessed at each reporting date to determine whether there is any indication that the assets are impaired. If there is an indication of possible impairment, the recoverable amount of the asset is estimated and compared with its carrying amount. </t>
  </si>
  <si>
    <t xml:space="preserve">An impairment loss is recognized if the carrying amount of an asset exceeds its estimated recoverable amount. The impairment loss is recognized in the statement of profit or loss, unless the relevant asset is carried at a revalued amount, in which case the impairment loss is treated as a revaluation decrease. </t>
  </si>
  <si>
    <t>An impairment loss is reversed only to the extent that the asset carrying amount does not exceed the carrying amount that would have been determined, net of depreciation or amortization, if no impairment loss had been recognized. The Company recognizes the reversal immediately in the statement of profit or loss, unless the asset is carried at a revalued amount in accordance with the revaluation model. Any reversal of an impairment loss of a revalued asset is treated as a revaluation increase.</t>
  </si>
  <si>
    <t>Impairment of financial assets other than trade receivables</t>
  </si>
  <si>
    <t>The financial assets other than those that are carried at fair value are assessed at each reporting date to determine whether there is any objective evidence of their impairment. A financial asset is impaired if there is objective evidence of impairment as a result of one or more events that occurred after the initial recognition of the asset, and that loss event(s) had an impact on the estimated future cash flows of that asset that can be estimated reliably.</t>
  </si>
  <si>
    <t>The impairment loss is recognized immediately in the statement of profit or loss and the carrying amount of the related financial asset is reduced accordingly. An impairment loss is reversed only if the reversal can be related objectively to an event occurring after the impairment loss was recognized.</t>
  </si>
  <si>
    <t>Deposits are non-derivative financial assets with fixed or determinable payments that are not quoted in an active market. They are included in non-current assets for having maturities greater than 12 months after the reporting date. Initially they are recognized at fair value and subsequently stated at amortized cost.</t>
  </si>
  <si>
    <t>These are valued at lower of cost, which is calculated by using moving average method less any allowance for obsolete and slow moving store items and net realizable value. Stores in transit are stated at invoice value included incidental charges accumulated till the statement of financial position date, if any, incurred thereon. Net realizable value specifies the estimated selling price in the ordinary course of business less the estimated cost of completion and cost necessary to make the sale.</t>
  </si>
  <si>
    <t>Judgement and Estimates</t>
  </si>
  <si>
    <t>The company reviews the carry amount of stores, spare parts and loose tools on a regular basis and provision is made for identified obsolete and slow moving items based on their condition at the statement of financial position date depending upon the management's judgement.</t>
  </si>
  <si>
    <t>These have been valued on the basis of lower of cost and net realizable value. The cost is determined, as under:</t>
  </si>
  <si>
    <t xml:space="preserve">Food Items &amp; packing materials </t>
  </si>
  <si>
    <t>at average moving cost</t>
  </si>
  <si>
    <t>Cash and cash equivalents are carried at cost in the statement of financial position. For the purpose of cash flows, cash and cash equivalents comprises cash in hand and cash at banks in the current and savings accounts.</t>
  </si>
  <si>
    <t>Liabilities for trade and other payable are carried at cost, which is the fair value of the consideration to be paid in future for the goods and services, whether or not billed to the company.</t>
  </si>
  <si>
    <t>A provision for impairment of trade receivables is established when there is objective evidence that the Company will not be able to collect all amounts due according to the original terms of the receivables. The amount of the provision is recognized in the statement of profit or loss. Bad debts are written-off in the statement of profit or loss on identification.</t>
  </si>
  <si>
    <t>The allowance for doubtful debts of the Company is based on the ageing analysis and management’s continuous evaluation of the recoverability of the outstanding receivables. In assessing the ultimate realization of these receivables, management considers, among other factors, the creditworthiness and the past collection history of each customer.</t>
  </si>
  <si>
    <t>Basic Financial Instruments</t>
  </si>
  <si>
    <t>Financial Assets</t>
  </si>
  <si>
    <t xml:space="preserve">Financial assets are trade and other receivables, long term deposits, due from related parties and cash and bank balances. Financial assets are initially recognized at cost plus transaction costs which is the fair value of the consideration given or received at the time when the Company becomes party to the contractual provisions of the instrument, except for financial assets at fair value through profit or loss, which are initially recognized at fair value and transaction costs are expensed in the statement of profit or loss. The Company derecognizes a financial asset or a portion of financial asset when, and only when, the right to receive the cash flows from the assets have been expired or have been transferred; and the company has transferred substantially all the risks and rewards of ownership or the enterprise loses control of the contractual rights that comprise financial assets or a portion of financial assets. </t>
  </si>
  <si>
    <t>Financial Liabilities</t>
  </si>
  <si>
    <t xml:space="preserve">Financial liabilities are recognized according to the substance of the contractual arrangements entered into. Significant financial liabilities are amounts due to related parties, accrued liabilities and trade creditors. A financial liability is derecognized when the obligation under the liability is discharged, cancelled or expired. </t>
  </si>
  <si>
    <t>Any gain or loss on the recognition and de-recognition of the financial assets and liabilities is included in the statement of profit or loss for the period in which it arises.</t>
  </si>
  <si>
    <t>Off setting of financial assets and financial liabilities</t>
  </si>
  <si>
    <t xml:space="preserve">A financial asset and financial liability is off set and the net amount is reported in the statement of financial position if the Company has a legally enforceable right to set off the recognized amounts and indents either to settle on a net basis or to realize the asset and settle the liability simultaneously.
</t>
  </si>
  <si>
    <t>Related party transactions</t>
  </si>
  <si>
    <t>All transactions with related parties are executed at arm’s length prices, determined in accordance with the pricing method as approved by the Board of Directors, except in the rarely extreme circumstances, where it is in the interest of the company to do so. Parties are said to be related if they are able to influence the operating and financial decisions of the company.</t>
  </si>
  <si>
    <t>A provision is recognized in the statement of financial position of the company when the company has a legal or constructive obligation as a result of a past event; and it is probable that an outflow of economic resources embodying economic benefit will be required to settle the obligation and a reliable estimate can be made of the amount of obligation. However, the provisions are adjusted at each reporting period to reflect the best estimate.</t>
  </si>
  <si>
    <t xml:space="preserve">Contingencies and commitments </t>
  </si>
  <si>
    <t xml:space="preserve">A contingent liability is disclosed when the Company has a possible obligation as a result of past events, whose existence will be confirmed only by the occurrence or non-occurrence, of one or more uncertain future events not wholly within the control of the Company; or the Company has a present legal or constructive obligation that arises from past events, but it is not probable that an outflow of resources embodying economic benefits will be required to settle the obligation, or the amount of the obligation cannot be measured with sufficient reliability. </t>
  </si>
  <si>
    <t>Capital  commitments, unless  those  are  actual  liabilities,  are  not  incorporated in  the books of accounts.</t>
  </si>
  <si>
    <t>Sales of goods:</t>
  </si>
  <si>
    <t>Sales are recognized at the time the goods are dispatched to customers, and when significant risk and rewards associated with goods transferred to the customers and revenue can be measured reliably.</t>
  </si>
  <si>
    <t>Other income</t>
  </si>
  <si>
    <t>Other income is recognized on accrual basis.</t>
  </si>
  <si>
    <t>PROPERTY AND EQUIPMENT - tangible</t>
  </si>
  <si>
    <t xml:space="preserve">  </t>
  </si>
  <si>
    <t>STOCK IN HAND</t>
  </si>
  <si>
    <t>Increase</t>
  </si>
  <si>
    <t>ADVANCES, DEPOSITS &amp; PREPAYMENTS</t>
  </si>
  <si>
    <t>Staff Advances</t>
  </si>
  <si>
    <t>Security and Advances</t>
  </si>
  <si>
    <t>CASH AND BANK BALANCES</t>
  </si>
  <si>
    <t>Cash &amp; Bank Balance</t>
  </si>
  <si>
    <t>Capital Account Balance b/f</t>
  </si>
  <si>
    <t xml:space="preserve">Capital </t>
  </si>
  <si>
    <t>Profit for the year</t>
  </si>
  <si>
    <t>BORROWING</t>
  </si>
  <si>
    <t>10.1</t>
  </si>
  <si>
    <t>Bank Alfalah</t>
  </si>
  <si>
    <t>Bank Alfalah - Loan @ 7% - 14 June 2024</t>
  </si>
  <si>
    <t>Bank Alfalah - Loan @ 9% - 5 June 2024</t>
  </si>
  <si>
    <t>Opening Loan</t>
  </si>
  <si>
    <t>Loan Obtained</t>
  </si>
  <si>
    <t>Interest Payable</t>
  </si>
  <si>
    <t>Principal Repayment</t>
  </si>
  <si>
    <t>Interest Payment</t>
  </si>
  <si>
    <t>Closing Loan</t>
  </si>
  <si>
    <t>Payable within one year</t>
  </si>
  <si>
    <t>Payable After one year</t>
  </si>
  <si>
    <t>Sr.</t>
  </si>
  <si>
    <t xml:space="preserve">Bank </t>
  </si>
  <si>
    <t>Facility</t>
  </si>
  <si>
    <t>Mark up</t>
  </si>
  <si>
    <t>Limit (PKR)</t>
  </si>
  <si>
    <t>Purpose</t>
  </si>
  <si>
    <t>Expiry Date</t>
  </si>
  <si>
    <t>Long term loan</t>
  </si>
  <si>
    <t>To meet working capital requirment</t>
  </si>
  <si>
    <t>10.2</t>
  </si>
  <si>
    <t>Habib Bank Limited</t>
  </si>
  <si>
    <t>Habib Bank Limited - 31 December 2025</t>
  </si>
  <si>
    <t>7% Fixed Rate</t>
  </si>
  <si>
    <t>CREDITORS, ACCRUED EXPENSES &amp; OTHER RECEIVABLES</t>
  </si>
  <si>
    <t>Creditors</t>
  </si>
  <si>
    <t>Accrued liabilities and other payables</t>
  </si>
  <si>
    <t xml:space="preserve">The revenue amounted to 897,536,903 pertains to period starting from 1 July 2023 to 30 June 2024 whereas, there is change in accounting period resulting in variance with revenue amount of 732,164,323. </t>
  </si>
  <si>
    <t>Opening Balance</t>
  </si>
  <si>
    <t>Total Stock</t>
  </si>
  <si>
    <t>Less: Closing Stock</t>
  </si>
  <si>
    <t>Stock Sold</t>
  </si>
  <si>
    <t>Labor Charges</t>
  </si>
  <si>
    <t>Transportation Charges</t>
  </si>
  <si>
    <t>Other direct cost</t>
  </si>
  <si>
    <t>Salaries and Wages</t>
  </si>
  <si>
    <t>Utilities</t>
  </si>
  <si>
    <t>Rates and taxes</t>
  </si>
  <si>
    <t>Priniting and stationary</t>
  </si>
  <si>
    <t>Postage and Bilty</t>
  </si>
  <si>
    <t>Legal, Professional &amp; Audit fee</t>
  </si>
  <si>
    <t>Newspaper and periodicals</t>
  </si>
  <si>
    <t>Miscellaneous expenses</t>
  </si>
  <si>
    <t>FINANCIAL EXPENSES</t>
  </si>
  <si>
    <t>Bank Charges &amp; Commission</t>
  </si>
  <si>
    <t>Interest expense @ 7%</t>
  </si>
  <si>
    <t>Interest expense @ 9%</t>
  </si>
  <si>
    <t>There was no contingent liability of the business at the terminal date - Nil (2025: Nil).</t>
  </si>
  <si>
    <t>There was no capital commitment of the business at the terminal date- Nil (2024: Nil).</t>
  </si>
  <si>
    <t>GENERAL</t>
  </si>
  <si>
    <t>Figures in these financial statements have been rearranged and regrouped wherever necessary to facilitate comparison and for better presentation. However, no material rearrangement or regrouping has been made in these financial statements.</t>
  </si>
  <si>
    <t>Figures in these statements have been rounded off to the nearest rupee.</t>
  </si>
  <si>
    <t>DATE OF AUTHORIZATION FOR ISSUE</t>
  </si>
  <si>
    <t>These financial statements were authorized for issuance on ______________________by the Board of Directors of the company.</t>
  </si>
  <si>
    <t>LOAN AMORTISATION SCHEDULE</t>
  </si>
  <si>
    <t>Loan 1</t>
  </si>
  <si>
    <t>Loan 2</t>
  </si>
  <si>
    <t>Date</t>
  </si>
  <si>
    <t>Total Amount</t>
  </si>
  <si>
    <t>Principal</t>
  </si>
  <si>
    <t>Interest</t>
  </si>
  <si>
    <t>Outstanding</t>
  </si>
  <si>
    <t>Payable</t>
  </si>
  <si>
    <t>Paid</t>
  </si>
  <si>
    <t>Year 2024</t>
  </si>
  <si>
    <t>Year 2025</t>
  </si>
  <si>
    <t>CL</t>
  </si>
  <si>
    <t>NCL</t>
  </si>
  <si>
    <t>W.D.V As at 31/12/2024</t>
  </si>
  <si>
    <t>As at 1/1/2024</t>
  </si>
  <si>
    <t>As at 31/12/2024</t>
  </si>
  <si>
    <t>\</t>
  </si>
  <si>
    <t>3.</t>
  </si>
  <si>
    <t>P A R T I C U L A R S</t>
  </si>
  <si>
    <t>C       O       S       T</t>
  </si>
  <si>
    <t xml:space="preserve"> Rate (%)</t>
  </si>
  <si>
    <t xml:space="preserve">D   E   P   R   E   C   I   A   T   I   O   N </t>
  </si>
  <si>
    <t>W.D.V</t>
  </si>
  <si>
    <t>As  at            01-04-2022</t>
  </si>
  <si>
    <t>As  at             31-03-2023</t>
  </si>
  <si>
    <t>For  the                     year</t>
  </si>
  <si>
    <t>Residential House (Street No. 4 Gujrat)</t>
  </si>
  <si>
    <t>Residential House (DHA, Rawalpindi)</t>
  </si>
  <si>
    <t>Residential House (Kathala Chenab)</t>
  </si>
  <si>
    <t>Poultry Farm (Control Shed)</t>
  </si>
  <si>
    <t>Office Building (3264-sq.ft.)</t>
  </si>
  <si>
    <t>RUPEES:   2023</t>
  </si>
  <si>
    <t>RUPEES :  2022</t>
  </si>
  <si>
    <t>Name of related parties</t>
  </si>
  <si>
    <t xml:space="preserve">Nature of transactions </t>
  </si>
  <si>
    <t>HM Holding Company</t>
  </si>
  <si>
    <t>Working capital assistance provided</t>
  </si>
  <si>
    <t>Written down</t>
  </si>
  <si>
    <t>As at</t>
  </si>
  <si>
    <t xml:space="preserve"> Deletion /</t>
  </si>
  <si>
    <t xml:space="preserve">As at </t>
  </si>
  <si>
    <t>Rate</t>
  </si>
  <si>
    <t>Deletion / Transfer</t>
  </si>
  <si>
    <t>For the</t>
  </si>
  <si>
    <t xml:space="preserve">value as on </t>
  </si>
  <si>
    <t>July 01, 2018</t>
  </si>
  <si>
    <t>Transfer</t>
  </si>
  <si>
    <t>June 30, 2019</t>
  </si>
  <si>
    <t>%</t>
  </si>
  <si>
    <t>year</t>
  </si>
  <si>
    <t>June 30, 2020</t>
  </si>
  <si>
    <t>Furniture and fixtures</t>
  </si>
  <si>
    <t>Office equipment</t>
  </si>
  <si>
    <t>Computers</t>
  </si>
  <si>
    <t>Machinery</t>
  </si>
  <si>
    <t>Games equipment</t>
  </si>
  <si>
    <t>Generator</t>
  </si>
  <si>
    <t>Leasehold improvement</t>
  </si>
  <si>
    <t>Motor vehicle</t>
  </si>
  <si>
    <t>2019</t>
  </si>
  <si>
    <t xml:space="preserve">Additions </t>
  </si>
  <si>
    <t>July 01, 2017</t>
  </si>
  <si>
    <t>June 30, 2018</t>
  </si>
  <si>
    <t>Dep</t>
  </si>
  <si>
    <t>Acc.dep-equip</t>
  </si>
  <si>
    <t>Acc dep-gen</t>
  </si>
  <si>
    <t>Acc dep-mot</t>
  </si>
  <si>
    <t>Computer equipment</t>
  </si>
  <si>
    <t>Acc dep-office</t>
  </si>
  <si>
    <t>Acc dep-vehicles</t>
  </si>
  <si>
    <t>Motor cycle</t>
  </si>
  <si>
    <t>PROPERTY, PLANT AND EQUIPMENT</t>
  </si>
  <si>
    <t>Property , plant and equipments (Note 5.1)</t>
  </si>
  <si>
    <t>Total Operating assets</t>
  </si>
  <si>
    <t>FOOD CARAVAN (PVT) LTD</t>
  </si>
  <si>
    <t>TAXABLE INCOME FOR THE YEAR ENDED JUNE 30, 2020</t>
  </si>
  <si>
    <t>RUPEES</t>
  </si>
  <si>
    <t>TAXABLE LOSS</t>
  </si>
  <si>
    <t>Net loss as per accounts</t>
  </si>
  <si>
    <t>Add: Accounting depreciation</t>
  </si>
  <si>
    <t>Amortization</t>
  </si>
  <si>
    <t>Addition in unrecognized P. Fund</t>
  </si>
  <si>
    <t xml:space="preserve">Less: </t>
  </si>
  <si>
    <t>Tax depreciation</t>
  </si>
  <si>
    <t>Taxable loss</t>
  </si>
  <si>
    <t>COMPUTATION OF TAX ON NORMAL LAW INCOME</t>
  </si>
  <si>
    <t>(1</t>
  </si>
  <si>
    <t>Tax under normal law @ 29 %</t>
  </si>
  <si>
    <t xml:space="preserve">Less adjustment of minimum tax </t>
  </si>
  <si>
    <t>Less adjustment of minimum tax for the tax years 2011, 2012 &amp; 2013</t>
  </si>
  <si>
    <t>Rs 416,061    +     ( Rs 251,961    -     Rs 215,427 )</t>
  </si>
  <si>
    <t>From Last Audited Accounts</t>
  </si>
  <si>
    <t>Normal Tax for the tax year 2013</t>
  </si>
  <si>
    <t>Minimum Tax for the tax year 2013</t>
  </si>
  <si>
    <t>(2</t>
  </si>
  <si>
    <t>Minimum tax u/s 113 on sale and other income @ 1.5 %</t>
  </si>
  <si>
    <t>(3</t>
  </si>
  <si>
    <t>Alternate Corporate Tax @ 17% on Accounting profit</t>
  </si>
  <si>
    <t>Total Liability</t>
  </si>
  <si>
    <t>Tax already paid</t>
  </si>
  <si>
    <t>Opening balance</t>
  </si>
  <si>
    <t>Add: Tax deducted / collected  :</t>
  </si>
  <si>
    <t>Bank profit &amp; Cash Withdrawls</t>
  </si>
  <si>
    <t>WHT-utilities</t>
  </si>
  <si>
    <t>Total deduction</t>
  </si>
  <si>
    <t>Total Refundable</t>
  </si>
  <si>
    <t>Admitted tax</t>
  </si>
  <si>
    <t>Tax Refundable/ (Payable)</t>
  </si>
  <si>
    <t>SWIFT MOVERS (PVT) LIMITED</t>
  </si>
  <si>
    <t>BALANCE SHEET AS AT JUNE 30, 2019</t>
  </si>
  <si>
    <t>Account base</t>
  </si>
  <si>
    <t>Tax base</t>
  </si>
  <si>
    <t>Temporary 
difference</t>
  </si>
  <si>
    <t>EQUITY AND LIABILITIES</t>
  </si>
  <si>
    <t>SHARE CAPITAL AND RESERVES</t>
  </si>
  <si>
    <t>Authorized Capital</t>
  </si>
  <si>
    <t>NON-CURRENT LIABILITIES</t>
  </si>
  <si>
    <t>Liability against asset subject to finance lease</t>
  </si>
  <si>
    <t>TOTAL EQUITY AND LIABILITIES</t>
  </si>
  <si>
    <t>NON-CURRENT ASSETS</t>
  </si>
  <si>
    <t xml:space="preserve">Advances, prepayments </t>
  </si>
  <si>
    <t>and other receivables</t>
  </si>
  <si>
    <t>Income tax refundable</t>
  </si>
  <si>
    <t>Deferred tax asset</t>
  </si>
  <si>
    <t>Net deferred tax asset as on June 30, 2018</t>
  </si>
  <si>
    <t>Opening Deferred Tax  asset</t>
  </si>
  <si>
    <t>Difference charged to P &amp; L  Expense / (Income)</t>
  </si>
  <si>
    <t>TAX DEPRECIATION SCHDULE</t>
  </si>
  <si>
    <t>OPERATING FIXED ASSETS - TANGIBLE</t>
  </si>
  <si>
    <t>WRITTEN DOWN VALUE</t>
  </si>
  <si>
    <t>BOOK VALUE</t>
  </si>
  <si>
    <t xml:space="preserve">TIMING </t>
  </si>
  <si>
    <t xml:space="preserve">INITIAL </t>
  </si>
  <si>
    <t>WDV AFTER INITIAL DEPRECIATION</t>
  </si>
  <si>
    <t>NORMAL</t>
  </si>
  <si>
    <t>As per tax</t>
  </si>
  <si>
    <t>DIFFERENCES</t>
  </si>
  <si>
    <t>DESCRIPTION</t>
  </si>
  <si>
    <t>As at July 1,</t>
  </si>
  <si>
    <t>Disposals/</t>
  </si>
  <si>
    <t>As at June 30,</t>
  </si>
  <si>
    <t>Amount</t>
  </si>
  <si>
    <t>Initial</t>
  </si>
  <si>
    <t>Generators</t>
  </si>
  <si>
    <t xml:space="preserve">Rupees: </t>
  </si>
  <si>
    <t>Rupees: 2003</t>
  </si>
  <si>
    <t>Food Caravan (Private) Limited</t>
  </si>
  <si>
    <t>Trial Balance</t>
  </si>
  <si>
    <t>As at 30/06/2020</t>
  </si>
  <si>
    <t>Accrual basis</t>
  </si>
  <si>
    <t>30/06/2020</t>
  </si>
  <si>
    <t>Revenue</t>
  </si>
  <si>
    <t>Bank Profit</t>
  </si>
  <si>
    <t>Gain/Loss on Disposal</t>
  </si>
  <si>
    <t>Sales</t>
  </si>
  <si>
    <t>Sales - Outlet</t>
  </si>
  <si>
    <t>Expenses</t>
  </si>
  <si>
    <t>Deprecialion Lease Vehicle</t>
  </si>
  <si>
    <t>Depreciation Computer Equipment</t>
  </si>
  <si>
    <t>Depreciation Furniture &amp; Fixture</t>
  </si>
  <si>
    <t>Depreciation Office Equipment</t>
  </si>
  <si>
    <t>Depreciation Office Vehicle</t>
  </si>
  <si>
    <t>Fixed assets - depreciation</t>
  </si>
  <si>
    <t>Intangible assets - amortization</t>
  </si>
  <si>
    <t>Official Entertainment exp</t>
  </si>
  <si>
    <t>Restaurants Employee Meals Expense</t>
  </si>
  <si>
    <t>Annual Audit Fee</t>
  </si>
  <si>
    <t>Consultancy Fee</t>
  </si>
  <si>
    <t>Fee &amp; Subscription Charges</t>
  </si>
  <si>
    <t>Misc. Professional Expense</t>
  </si>
  <si>
    <t>Courier &amp; Postage</t>
  </si>
  <si>
    <t>Decoration Expense</t>
  </si>
  <si>
    <t>Food Testing</t>
  </si>
  <si>
    <t>Fumigation</t>
  </si>
  <si>
    <t>Insurance Expense</t>
  </si>
  <si>
    <t>Misc. Expense</t>
  </si>
  <si>
    <t>Restaurant Cleaning Items</t>
  </si>
  <si>
    <t>Security Expense</t>
  </si>
  <si>
    <t>Uniform Expense</t>
  </si>
  <si>
    <t>Printing Expense</t>
  </si>
  <si>
    <t>Stationary Expense</t>
  </si>
  <si>
    <t>Rent - Head Office</t>
  </si>
  <si>
    <t>Rent - Outlets</t>
  </si>
  <si>
    <t>Equipment Maintenance</t>
  </si>
  <si>
    <t>Repair &amp; Maintenance - Outlets</t>
  </si>
  <si>
    <t>Vehicle Repair &amp; Maintennace</t>
  </si>
  <si>
    <t>Bonus</t>
  </si>
  <si>
    <t>Medical</t>
  </si>
  <si>
    <t>Provision for Gratuity - Head Office</t>
  </si>
  <si>
    <t>Provision for Gratuity - Restaurant</t>
  </si>
  <si>
    <t>Salary - Head Office Staff</t>
  </si>
  <si>
    <t>Salary - Restaurant Staff</t>
  </si>
  <si>
    <t>Deferred Tax Exp</t>
  </si>
  <si>
    <t>Provision for Tax-Normal</t>
  </si>
  <si>
    <t>Provision for Tax-PTR</t>
  </si>
  <si>
    <t>Fuel Allowance &amp; Reimbursement</t>
  </si>
  <si>
    <t>Transportation &amp; Carriage</t>
  </si>
  <si>
    <t>Traveling &amp; Hotel</t>
  </si>
  <si>
    <t>Electricity Bill</t>
  </si>
  <si>
    <t>Generator Diesel</t>
  </si>
  <si>
    <t>LPG</t>
  </si>
  <si>
    <t>Mobile Phone Bills</t>
  </si>
  <si>
    <t>PTCL &amp; Internet</t>
  </si>
  <si>
    <t>Sui Gas</t>
  </si>
  <si>
    <t>Utilities Expenses</t>
  </si>
  <si>
    <t>Water &amp; Allied Charges</t>
  </si>
  <si>
    <t>Cost of Sale</t>
  </si>
  <si>
    <t>Inventory - cost</t>
  </si>
  <si>
    <t>Bank Charges</t>
  </si>
  <si>
    <t>Bank Charges - Credit/Debit Card</t>
  </si>
  <si>
    <t>Pool - Employee Salaries</t>
  </si>
  <si>
    <t>Pool - Utility Expenses</t>
  </si>
  <si>
    <t>Advertisement &amp; Promotion</t>
  </si>
  <si>
    <t>Commission - Cheetay</t>
  </si>
  <si>
    <t xml:space="preserve">                                                                                                                                                                                                                                     </t>
  </si>
  <si>
    <t>Commission - Food Panda</t>
  </si>
  <si>
    <t>Software maintenance</t>
  </si>
  <si>
    <t>Web service &amp; Networking</t>
  </si>
  <si>
    <t>Net profit (loss)</t>
  </si>
  <si>
    <t>Assets</t>
  </si>
  <si>
    <t>Advance to Supplier</t>
  </si>
  <si>
    <t>Prepaid Expenses</t>
  </si>
  <si>
    <t>Cash on Hand</t>
  </si>
  <si>
    <t>Accounts Receivable</t>
  </si>
  <si>
    <t>Advance to Employees</t>
  </si>
  <si>
    <t>Other Receivables</t>
  </si>
  <si>
    <t>Trade Receivables</t>
  </si>
  <si>
    <t>Income Tax Refund From Govt</t>
  </si>
  <si>
    <t>Cash Withdrawal</t>
  </si>
  <si>
    <t>Motor Vehicle Token Tax</t>
  </si>
  <si>
    <t>Sales Tax Adjustable</t>
  </si>
  <si>
    <t>Vehicle purchase</t>
  </si>
  <si>
    <t>W.Tax on Bank Profit &amp; Cash Withdrawal</t>
  </si>
  <si>
    <t>WHT on Utilities</t>
  </si>
  <si>
    <t>Stores &amp; Spares</t>
  </si>
  <si>
    <t>Inventory on hand</t>
  </si>
  <si>
    <t>Intangible assets, accumulated amortization</t>
  </si>
  <si>
    <t>Security Deposits</t>
  </si>
  <si>
    <t>Fixed assets</t>
  </si>
  <si>
    <t>Fixed assets, accumulated depreciation</t>
  </si>
  <si>
    <t>Liabilities</t>
  </si>
  <si>
    <t>Accounts payable</t>
  </si>
  <si>
    <t>Annual Audit Fee Payable</t>
  </si>
  <si>
    <t>Gratuity Payable</t>
  </si>
  <si>
    <t>Salary Payable</t>
  </si>
  <si>
    <t>Utility Bills Payable</t>
  </si>
  <si>
    <t>HM Holding Pvt Ltd.</t>
  </si>
  <si>
    <t>Wasl Marketing Limited</t>
  </si>
  <si>
    <t>Sundry Creditors</t>
  </si>
  <si>
    <t>Syed Hassan Mujtaba Kazmi</t>
  </si>
  <si>
    <t>Deferred Tax Payable</t>
  </si>
  <si>
    <t>I.Tax Ded Rent</t>
  </si>
  <si>
    <t>I.Tax Ded-Servc-Support</t>
  </si>
  <si>
    <t>I.Tax Ded. Salaries</t>
  </si>
  <si>
    <t>Provision For I.Tax</t>
  </si>
  <si>
    <t>Sales Tax Payable</t>
  </si>
  <si>
    <t>Withholding Tax Payable</t>
  </si>
  <si>
    <t>Finance Lease</t>
  </si>
  <si>
    <t>Equity</t>
  </si>
  <si>
    <t>Paid Up Capital</t>
  </si>
  <si>
    <t>Retained earnings</t>
  </si>
  <si>
    <t>Page 4 of 4</t>
  </si>
  <si>
    <t>HM HOLDING (PRIVATE) LIMITED</t>
  </si>
  <si>
    <t>Deferred tax 2017</t>
  </si>
  <si>
    <t>DEFERRED TAXATION</t>
  </si>
  <si>
    <t>Opening</t>
  </si>
  <si>
    <t>FOR THE PERIOD ENDED JUNE 30, 2020</t>
  </si>
  <si>
    <t>Oci charge</t>
  </si>
  <si>
    <t>Defferred Tax expenses</t>
  </si>
  <si>
    <t>Charge to PL</t>
  </si>
  <si>
    <t>Temporary Difference</t>
  </si>
  <si>
    <t>Transfer to</t>
  </si>
  <si>
    <t>Accounting Base</t>
  </si>
  <si>
    <t>Tax Base</t>
  </si>
  <si>
    <t>Permanent difference</t>
  </si>
  <si>
    <t>Taxable Temporary Difference</t>
  </si>
  <si>
    <t>Deductible Temporary difference</t>
  </si>
  <si>
    <t>Deferred tax liability/(asset) @ 29%</t>
  </si>
  <si>
    <t>Closing</t>
  </si>
  <si>
    <t>Timing Difference</t>
  </si>
  <si>
    <t>Deferred tax liability/(asset) @ 35%</t>
  </si>
  <si>
    <t>Deferred Tax Income</t>
  </si>
  <si>
    <t>Equity (remaining balance)</t>
  </si>
  <si>
    <t>Land</t>
  </si>
  <si>
    <t>Fixed assets and Investment property ( Other than land)</t>
  </si>
  <si>
    <t>Building</t>
  </si>
  <si>
    <t>Biological Assets</t>
  </si>
  <si>
    <t>Long Term Invetments</t>
  </si>
  <si>
    <t>Advance to employees</t>
  </si>
  <si>
    <t>Advance to Suppliers</t>
  </si>
  <si>
    <t>Turnover tax-Finance Act 2004 Note - 1</t>
  </si>
  <si>
    <t>Deferred gratuity</t>
  </si>
  <si>
    <t>Loss for the year</t>
  </si>
  <si>
    <r>
      <rPr>
        <sz val="11"/>
        <rFont val="Trebuchet MS"/>
        <charset val="134"/>
      </rPr>
      <t xml:space="preserve">Turnover tax-Finance Act 2004 </t>
    </r>
    <r>
      <rPr>
        <b/>
        <sz val="11"/>
        <rFont val="Trebuchet MS"/>
        <charset val="134"/>
      </rPr>
      <t>Note - 1</t>
    </r>
  </si>
  <si>
    <t>Brought forward losses previous period (2019)</t>
  </si>
  <si>
    <t xml:space="preserve">Year </t>
  </si>
  <si>
    <t>Losses</t>
  </si>
  <si>
    <t>Assessed losses</t>
  </si>
  <si>
    <t>Upto 2003</t>
  </si>
  <si>
    <t>Brought forward losses</t>
  </si>
  <si>
    <t>Current year profit (unassessed)</t>
  </si>
  <si>
    <t>Deferred tax (asset) /liability</t>
  </si>
  <si>
    <t>Opening liability</t>
  </si>
  <si>
    <t>Effect of impairment</t>
  </si>
  <si>
    <t>P &amp; L charge</t>
  </si>
  <si>
    <t>exports sales</t>
  </si>
  <si>
    <t>Closing liabiliy</t>
  </si>
  <si>
    <t>local sales</t>
  </si>
  <si>
    <t>Waste</t>
  </si>
  <si>
    <t>rate change</t>
  </si>
  <si>
    <t>Transfer frm surplus</t>
  </si>
  <si>
    <t>Profit exp</t>
  </si>
  <si>
    <t>oci</t>
  </si>
  <si>
    <t>p&amp; L</t>
  </si>
  <si>
    <t>@ 35%</t>
  </si>
  <si>
    <t>Tax on taxable income</t>
  </si>
  <si>
    <t>Turnover as
 per income tax return</t>
  </si>
  <si>
    <t>Note : 1    Turnover tax-Finance Act 2004</t>
  </si>
  <si>
    <t>Deferred tax 2016</t>
  </si>
  <si>
    <t>On surplus</t>
  </si>
  <si>
    <t>ANNEX - A</t>
  </si>
  <si>
    <t>Tax Depreciation Schedule</t>
  </si>
  <si>
    <t>Tax Year 2020</t>
  </si>
  <si>
    <t>D E P R E C I A T I O N</t>
  </si>
  <si>
    <t>Book Value</t>
  </si>
  <si>
    <t>Description</t>
  </si>
  <si>
    <t>As at July 01,</t>
  </si>
  <si>
    <t>Addition</t>
  </si>
  <si>
    <t xml:space="preserve">Disposals / </t>
  </si>
  <si>
    <t>Initial Allowance</t>
  </si>
  <si>
    <t>Charge</t>
  </si>
  <si>
    <t xml:space="preserve">As at June 30, </t>
  </si>
  <si>
    <t>New Machinery</t>
  </si>
  <si>
    <t>for the Year</t>
  </si>
  <si>
    <t xml:space="preserve">Building </t>
  </si>
  <si>
    <t>Office Equipments</t>
  </si>
  <si>
    <t>15</t>
  </si>
  <si>
    <t>10</t>
  </si>
  <si>
    <t>Computer Equipments</t>
  </si>
  <si>
    <t>30</t>
  </si>
  <si>
    <t>Electric Equipment</t>
  </si>
  <si>
    <t>Vehicles not plying for hire</t>
  </si>
  <si>
    <t xml:space="preserve"> 2020    Rupees</t>
  </si>
  <si>
    <t>General Ledger Summary</t>
  </si>
  <si>
    <t>For the period from 01/07/2020 to 30/06/2021</t>
  </si>
  <si>
    <t>Total debits</t>
  </si>
  <si>
    <t>Total credits</t>
  </si>
  <si>
    <t>Net movement  Closing balance</t>
  </si>
  <si>
    <t>balance</t>
  </si>
  <si>
    <t>11,316.47 Cr</t>
  </si>
  <si>
    <t>Event Charges</t>
  </si>
  <si>
    <t>7,465.00 Cr</t>
  </si>
  <si>
    <t>196,904.00 Cr</t>
  </si>
  <si>
    <t>8,080,585.00 Cr</t>
  </si>
  <si>
    <t>ADMIN &amp; GENERAL EXPENSES</t>
  </si>
  <si>
    <t>Official Entertainment Expense</t>
  </si>
  <si>
    <t>14,577.00 Dr</t>
  </si>
  <si>
    <t>Restaurants Employee Meals</t>
  </si>
  <si>
    <t>482,954.00 Dr</t>
  </si>
  <si>
    <t>Expense</t>
  </si>
  <si>
    <t>Legal &amp; Professional</t>
  </si>
  <si>
    <t>3,750.00 Dr</t>
  </si>
  <si>
    <t>44,333.00 Dr</t>
  </si>
  <si>
    <t>532,743.00 Dr</t>
  </si>
  <si>
    <t>Other Expense</t>
  </si>
  <si>
    <t>7,479.00 Dr</t>
  </si>
  <si>
    <t>42,095.00 Dr</t>
  </si>
  <si>
    <t>9,161.00 Dr</t>
  </si>
  <si>
    <t>53,100.00 Dr</t>
  </si>
  <si>
    <t>Grocery Expense</t>
  </si>
  <si>
    <t>120,677.00 Dr</t>
  </si>
  <si>
    <t>263,008.00 Dr</t>
  </si>
  <si>
    <t>391,313.00 Dr</t>
  </si>
  <si>
    <t>Product Development /</t>
  </si>
  <si>
    <t>24,378.00 Dr</t>
  </si>
  <si>
    <t>Competitor Check</t>
  </si>
  <si>
    <t>411,993.00 Dr</t>
  </si>
  <si>
    <t>528,167.00 Dr</t>
  </si>
  <si>
    <t>294,634.00 Dr</t>
  </si>
  <si>
    <t>Printing &amp; Stationary</t>
  </si>
  <si>
    <t>185,819.00 Dr</t>
  </si>
  <si>
    <t>140,894.00 Dr</t>
  </si>
  <si>
    <t>Rent &amp; Rates</t>
  </si>
  <si>
    <t>4,030,000.00 Dr</t>
  </si>
  <si>
    <t>Repair &amp; Maintennace</t>
  </si>
  <si>
    <t>Equipment Repair &amp;</t>
  </si>
  <si>
    <t>146,940.00 Dr</t>
  </si>
  <si>
    <t>Maintenance</t>
  </si>
  <si>
    <t>1,426,847.00 Dr</t>
  </si>
  <si>
    <t>/ HO</t>
  </si>
  <si>
    <t>Page 1 of 4</t>
  </si>
  <si>
    <t>40,870.00 Dr</t>
  </si>
  <si>
    <t>Salary &amp; Other Benefits</t>
  </si>
  <si>
    <t>Annual Leave Encashment</t>
  </si>
  <si>
    <t>13,125.00 Dr</t>
  </si>
  <si>
    <t>EOBI</t>
  </si>
  <si>
    <t>62,400.00 Dr</t>
  </si>
  <si>
    <t>185,734.00 Dr</t>
  </si>
  <si>
    <t>Provision for Gratuity - Head</t>
  </si>
  <si>
    <t>390,325.00 Dr</t>
  </si>
  <si>
    <t>Office</t>
  </si>
  <si>
    <t>5,697,844.00 Dr</t>
  </si>
  <si>
    <t>6,250,632.00 Dr</t>
  </si>
  <si>
    <t>Excess Tax Expense (3% etc.)</t>
  </si>
  <si>
    <t>76,990.00 Dr</t>
  </si>
  <si>
    <t>Traveling &amp; Conveyance</t>
  </si>
  <si>
    <t>Fuel - Delivery / Pickups</t>
  </si>
  <si>
    <t>246,506.00 Dr</t>
  </si>
  <si>
    <t>Fuel Allowance &amp;</t>
  </si>
  <si>
    <t>713,269.00 Dr</t>
  </si>
  <si>
    <t>Reimbursement</t>
  </si>
  <si>
    <t>3,515,397.00 Dr</t>
  </si>
  <si>
    <t>446,305.00 Dr</t>
  </si>
  <si>
    <t>596,160.00 Dr</t>
  </si>
  <si>
    <t>108,123.50 Dr</t>
  </si>
  <si>
    <t>248,801.50 Dr</t>
  </si>
  <si>
    <t>1,900.00 Dr</t>
  </si>
  <si>
    <t>73,081.00 Dr</t>
  </si>
  <si>
    <t>59,854.00 Dr</t>
  </si>
  <si>
    <t>5,765,764.63 Dr</t>
  </si>
  <si>
    <t>16,253.00 Dr</t>
  </si>
  <si>
    <t>71,192.72 Dr</t>
  </si>
  <si>
    <t>POOL EXPENSES</t>
  </si>
  <si>
    <t>Pool - Generator Diesel</t>
  </si>
  <si>
    <t>Pool - Grocery</t>
  </si>
  <si>
    <t>Pool - Office Repair &amp; Maintenance</t>
  </si>
  <si>
    <t>Pool - Security Expense</t>
  </si>
  <si>
    <t>Pool - Stationary</t>
  </si>
  <si>
    <t>Pool - Web Services &amp; Networking</t>
  </si>
  <si>
    <t>SELLING &amp; DISTRIBUTION</t>
  </si>
  <si>
    <t>Page 2 of 4</t>
  </si>
  <si>
    <t>Commission Expense</t>
  </si>
  <si>
    <t>Commission - Careem NOW</t>
  </si>
  <si>
    <t>42,295.00 Dr</t>
  </si>
  <si>
    <t>59,705.02 Dr</t>
  </si>
  <si>
    <t>342,399.80 Dr</t>
  </si>
  <si>
    <t>Marketing Expense</t>
  </si>
  <si>
    <t>Marketing - Brochures /</t>
  </si>
  <si>
    <t>338,455.00 Dr</t>
  </si>
  <si>
    <t>Leaflets / Pamphlets</t>
  </si>
  <si>
    <t>Marketing - Social Media /</t>
  </si>
  <si>
    <t>429,109.00 Dr</t>
  </si>
  <si>
    <t>Mainstream Media</t>
  </si>
  <si>
    <t>Marketing - Streamers /</t>
  </si>
  <si>
    <t>511,824.00 Dr</t>
  </si>
  <si>
    <t>Billboards / News Paper</t>
  </si>
  <si>
    <t>Web Service &amp; Networking</t>
  </si>
  <si>
    <t>Software Maintenance</t>
  </si>
  <si>
    <t>142,496.00 Dr</t>
  </si>
  <si>
    <t>154,796.00 Dr</t>
  </si>
  <si>
    <t>Profit (loss) for the period</t>
  </si>
  <si>
    <t>Current Assets</t>
  </si>
  <si>
    <t>Inventory / Stores &amp; Spares</t>
  </si>
  <si>
    <t>302,130.00 Dr</t>
  </si>
  <si>
    <t>364,577.00 Dr</t>
  </si>
  <si>
    <t>666,707.00 Dr</t>
  </si>
  <si>
    <t>858,658.87 Dr</t>
  </si>
  <si>
    <t>647,733.37 Dr</t>
  </si>
  <si>
    <t>1,506,392.24 Dr</t>
  </si>
  <si>
    <t>Tax Deducted at Source</t>
  </si>
  <si>
    <t>Sales Tax - Adjustable</t>
  </si>
  <si>
    <t>2,829.86 Dr</t>
  </si>
  <si>
    <t>392,448.70 Dr</t>
  </si>
  <si>
    <t>395,278.56 Dr</t>
  </si>
  <si>
    <t>WHT - Bank Profit</t>
  </si>
  <si>
    <t>22,739.45 Dr</t>
  </si>
  <si>
    <t>6,000.54 Cr</t>
  </si>
  <si>
    <t>16,738.91 Dr</t>
  </si>
  <si>
    <t>WHT - Services</t>
  </si>
  <si>
    <t>8,000.00 Dr</t>
  </si>
  <si>
    <t>WHT - Utilities</t>
  </si>
  <si>
    <t>78,845.00 Dr</t>
  </si>
  <si>
    <t>370,914.00 Dr</t>
  </si>
  <si>
    <t>449,759.00 Dr</t>
  </si>
  <si>
    <t>Advance &amp; Prepayments</t>
  </si>
  <si>
    <t>53,403.00 Dr</t>
  </si>
  <si>
    <t>33,471.00 Cr</t>
  </si>
  <si>
    <t>19,932.00 Dr</t>
  </si>
  <si>
    <t>Cash &amp; Bank</t>
  </si>
  <si>
    <t>731,271.42 Dr</t>
  </si>
  <si>
    <t>423,399.62 Cr</t>
  </si>
  <si>
    <t>307,871.80 Dr</t>
  </si>
  <si>
    <t>45,284.00 Dr</t>
  </si>
  <si>
    <t>163,283.00 Dr</t>
  </si>
  <si>
    <t>208,567.00 Dr</t>
  </si>
  <si>
    <t>Debtors</t>
  </si>
  <si>
    <t>11,954.47 Dr</t>
  </si>
  <si>
    <t>125,997.39 Dr</t>
  </si>
  <si>
    <t>137,951.86 Dr</t>
  </si>
  <si>
    <t>120,000.00 Dr</t>
  </si>
  <si>
    <t>11,999.00 Cr</t>
  </si>
  <si>
    <t>108,001.00 Dr</t>
  </si>
  <si>
    <t>Non-Current Assets</t>
  </si>
  <si>
    <t>Intangible Assets</t>
  </si>
  <si>
    <t>136,126.00 Dr</t>
  </si>
  <si>
    <t>1,056,000.00 Dr</t>
  </si>
  <si>
    <t>1,192,126.00 Dr</t>
  </si>
  <si>
    <t>Page 3 of 4</t>
  </si>
  <si>
    <t>Intangible assets, accumulated</t>
  </si>
  <si>
    <t>62,365.00 Cr</t>
  </si>
  <si>
    <t>amortization</t>
  </si>
  <si>
    <t>Long Term Deposit</t>
  </si>
  <si>
    <t>Security Deposits - Outlets</t>
  </si>
  <si>
    <t>1,200,000.00 Dr</t>
  </si>
  <si>
    <t>339,000.00 Dr</t>
  </si>
  <si>
    <t>1,539,000.00 Dr</t>
  </si>
  <si>
    <t>Tangible Assets</t>
  </si>
  <si>
    <t>15,957,761.00 Dr</t>
  </si>
  <si>
    <t>10,130,399.00 Dr</t>
  </si>
  <si>
    <t>26,088,160.00 Dr</t>
  </si>
  <si>
    <t>Fixed assets, accumulated</t>
  </si>
  <si>
    <t>3,227,511.00 Cr</t>
  </si>
  <si>
    <t>depreciation</t>
  </si>
  <si>
    <t>Current Liabilities</t>
  </si>
  <si>
    <t>Accounts Payable</t>
  </si>
  <si>
    <t>291,295.00 Cr</t>
  </si>
  <si>
    <t>75,000.00 Cr</t>
  </si>
  <si>
    <t>75,000.00 Dr</t>
  </si>
  <si>
    <t>Expense claims</t>
  </si>
  <si>
    <t>205,000.00 Cr</t>
  </si>
  <si>
    <t>753,975.00 Cr</t>
  </si>
  <si>
    <t>958,975.00 Cr</t>
  </si>
  <si>
    <t>644,719.00 Cr</t>
  </si>
  <si>
    <t>Loan from associated companies</t>
  </si>
  <si>
    <t>52,222,195.00 Cr</t>
  </si>
  <si>
    <t>39,358,211.00 Cr</t>
  </si>
  <si>
    <t>91,580,406.00 Cr</t>
  </si>
  <si>
    <t>Royal Syndicate Insurance</t>
  </si>
  <si>
    <t>Brokers (Pvt.) Limited</t>
  </si>
  <si>
    <t>506,000.00 Cr</t>
  </si>
  <si>
    <t>Other Payable</t>
  </si>
  <si>
    <t>905,571.00 Cr</t>
  </si>
  <si>
    <t>905,571.00 Dr</t>
  </si>
  <si>
    <t>Taxation Payable</t>
  </si>
  <si>
    <t>Income Tax - Provision</t>
  </si>
  <si>
    <t>109,912.00 Cr</t>
  </si>
  <si>
    <t>109,918.00 Dr</t>
  </si>
  <si>
    <t>6.00 Dr</t>
  </si>
  <si>
    <t>Sales Tax - Payable</t>
  </si>
  <si>
    <t>44,338.00 Cr</t>
  </si>
  <si>
    <t>69,576.00 Cr</t>
  </si>
  <si>
    <t>113,914.00 Cr</t>
  </si>
  <si>
    <t>WHT - Payable</t>
  </si>
  <si>
    <t>16,315.00 Cr</t>
  </si>
  <si>
    <t>50,394.00 Cr</t>
  </si>
  <si>
    <t>66,709.00 Cr</t>
  </si>
  <si>
    <t>WHT - Salaries</t>
  </si>
  <si>
    <t>1,000,000.00 Cr</t>
  </si>
  <si>
    <t>38,347,203.93 Dr</t>
  </si>
  <si>
    <t>27,460,198.70 Dr</t>
  </si>
  <si>
    <t>65,807,402.63 Dr</t>
  </si>
  <si>
    <t>Entries 2019-2020</t>
  </si>
  <si>
    <t>Dr.</t>
  </si>
  <si>
    <t>Cr.</t>
  </si>
  <si>
    <t>Audit Fee - Accrual</t>
  </si>
  <si>
    <t>Audit Fee</t>
  </si>
  <si>
    <t>Accrued liabilities</t>
  </si>
  <si>
    <t>Accrued liability paid</t>
  </si>
  <si>
    <t>Accrued liability</t>
  </si>
  <si>
    <t>Tax Expense</t>
  </si>
  <si>
    <t>Witholding tax payable</t>
  </si>
  <si>
    <t>Askari Bank</t>
  </si>
  <si>
    <t>Depriciation</t>
  </si>
  <si>
    <t>Opening Depriciation</t>
  </si>
  <si>
    <t>Accumulated Depreciation</t>
  </si>
  <si>
    <t>Amortization Expense</t>
  </si>
  <si>
    <t>Accumulated Amortization</t>
  </si>
  <si>
    <t>Stock Consumed</t>
  </si>
  <si>
    <t>Cost of goods sold (Consumption)</t>
  </si>
  <si>
    <t>Stock in trade</t>
  </si>
  <si>
    <t>Bad Debt Expenses</t>
  </si>
  <si>
    <t>Accounts payable- Write off</t>
  </si>
  <si>
    <t>Sales tax payable</t>
  </si>
  <si>
    <t>Prepaid expense</t>
  </si>
  <si>
    <t>Misc. Expenses</t>
  </si>
  <si>
    <t>Trial Balance As At 9 june 2026</t>
  </si>
  <si>
    <t>Debit (Dr)</t>
  </si>
  <si>
    <t>Credit (Cr)</t>
  </si>
  <si>
    <t>Fixed Assets - Cost</t>
  </si>
  <si>
    <t>Stores and Spares</t>
  </si>
  <si>
    <t>Advances, Deposits &amp; Other Receivables</t>
  </si>
  <si>
    <t>Cash and Bank Balances</t>
  </si>
  <si>
    <t>Long-Term Financing / Loans</t>
  </si>
  <si>
    <t>Creditors, Accrued Exp. &amp; Other Liab.</t>
  </si>
  <si>
    <t>Revenue - Net</t>
  </si>
  <si>
    <t>Cost of Revenue</t>
  </si>
  <si>
    <t>Taxation for the Year</t>
  </si>
  <si>
    <t>TOTALS</t>
  </si>
  <si>
    <t>Retained Earnings (True Opening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</si>
</sst>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9">
    <numFmt numFmtId="6" formatCode="&quot;£&quot;#,##0;[Red]\-&quot;£&quot;#,##0"/>
    <numFmt numFmtId="41" formatCode="_-* #,##0_-;\-* #,##0_-;_-* &quot;-&quot;_-;_-@_-"/>
    <numFmt numFmtId="44" formatCode="_-&quot;£&quot;* #,##0.00_-;\-&quot;£&quot;* #,##0.00_-;_-&quot;£&quot;* &quot;-&quot;??_-;_-@_-"/>
    <numFmt numFmtId="43" formatCode="_-* #,##0.00_-;\-* #,##0.00_-;_-* &quot;-&quot;??_-;_-@_-"/>
    <numFmt numFmtId="164" formatCode="_(* #,##0.00_);_(* \(#,##0.00\);_(* &quot;-&quot;??_);_(@_)"/>
    <numFmt numFmtId="165" formatCode="&quot;$&quot;#,##0;[Red]\-&quot;$&quot;#,##0"/>
    <numFmt numFmtId="166" formatCode="&quot;$&quot;#,##0;\-&quot;$&quot;#,##0"/>
    <numFmt numFmtId="167" formatCode="&quot;$&quot;#,##0.00;\-&quot;$&quot;#,##0.00"/>
    <numFmt numFmtId="168" formatCode="&quot;$&quot;#,##0.00;[Red]\-&quot;$&quot;#,##0.00"/>
    <numFmt numFmtId="169" formatCode="[$-409]d\-mmm\-yy;@"/>
    <numFmt numFmtId="170" formatCode="&quot;£&quot;\ #,##0_);[Red]\(&quot;£&quot;\ #,##0\)"/>
    <numFmt numFmtId="171" formatCode="\¥\ #,##0_);[Red]\(\¥\ #,##0\)"/>
    <numFmt numFmtId="172" formatCode="0_)"/>
    <numFmt numFmtId="173" formatCode="&quot;•&quot;\ \ @"/>
    <numFmt numFmtId="174" formatCode="0.0000%"/>
    <numFmt numFmtId="175" formatCode="_(* #,##0.0_);_(* \(#,##0.0\);_(* &quot;-&quot;??_);_(@_)"/>
    <numFmt numFmtId="176" formatCode="#,##0.00;\-#,##0.00;&quot;-&quot;"/>
    <numFmt numFmtId="177" formatCode="0.0%"/>
    <numFmt numFmtId="178" formatCode="0.00000%"/>
    <numFmt numFmtId="179" formatCode="#,##0.00%;\-#,##0.00%;&quot;- &quot;"/>
    <numFmt numFmtId="180" formatCode="_-* #,##0\ _T_L_-;\-* #,##0\ _T_L_-;_-* &quot;-&quot;\ _T_L_-;_-@_-"/>
    <numFmt numFmtId="181" formatCode="#,##0;\-#,##0;&quot;-&quot;"/>
    <numFmt numFmtId="182" formatCode="#,##0.0000_);\(#,##0.0000\)"/>
    <numFmt numFmtId="183" formatCode="#,##0.0;\-#,##0.0;&quot;-&quot;"/>
    <numFmt numFmtId="184" formatCode="_(* #,##0_);_(* \(#,##0\);_(* &quot;-&quot;_);_(@_)"/>
    <numFmt numFmtId="185" formatCode="_(* #,##0.000000_);_(* \(#,##0.000000\);_(* &quot;-&quot;??_);_(@_)"/>
    <numFmt numFmtId="186" formatCode="_(* #,##0_);_(* \(#,##0\);_(* &quot;-&quot;??_);_(@_)"/>
    <numFmt numFmtId="187" formatCode="0.0"/>
    <numFmt numFmtId="188" formatCode="#."/>
    <numFmt numFmtId="189" formatCode="General_)"/>
    <numFmt numFmtId="190" formatCode="_(&quot;$&quot;* #,##0.00_);_(&quot;$&quot;* \(#,##0.00\);_(&quot;$&quot;* &quot;-&quot;??_);_(@_)"/>
    <numFmt numFmtId="191" formatCode="_(* #,##0.00000_);_(* \(#,##0.00000\);_(* &quot;-&quot;??_);_(@_)"/>
    <numFmt numFmtId="192" formatCode="[$-409]mmmm\ d\,\ yyyy;@"/>
    <numFmt numFmtId="193" formatCode="\ \ _•&quot;–&quot;\ \ \ \ @"/>
    <numFmt numFmtId="194" formatCode="&quot;R$ &quot;#,##0_);[Red]\(&quot;R$ &quot;#,##0\)"/>
    <numFmt numFmtId="195" formatCode="#,##0.000"/>
    <numFmt numFmtId="196" formatCode="_([$€-2]* #,##0.00_);_([$€-2]* \(#,##0.00\);_([$€-2]* &quot;-&quot;??_)"/>
    <numFmt numFmtId="197" formatCode="0.000%"/>
    <numFmt numFmtId="198" formatCode="&quot;$&quot;##,##0_);[Red]\(&quot;$&quot;#,##0\)"/>
    <numFmt numFmtId="199" formatCode="_-* #,##0\ _P_t_s_-;\-* #,##0\ _P_t_s_-;_-* &quot;-&quot;\ _P_t_s_-;_-@_-"/>
    <numFmt numFmtId="200" formatCode="_-* #,##0.00\ _P_t_s_-;\-* #,##0.00\ _P_t_s_-;_-* &quot;-&quot;??\ _P_t_s_-;_-@_-"/>
    <numFmt numFmtId="201" formatCode="_(&quot;$&quot;* #,##0_);_(&quot;$&quot;* \(#,##0\);_(&quot;$&quot;* &quot;-&quot;_);_(@_)"/>
    <numFmt numFmtId="202" formatCode="&quot;$&quot;#,##0_);[Red]\(&quot;$&quot;#,##0\)"/>
    <numFmt numFmtId="203" formatCode="&quot;$&quot;#,##0.00_);[Red]\(&quot;$&quot;#,##0.00\)"/>
    <numFmt numFmtId="204" formatCode="#,##0.000_);\(#,##0.000\)"/>
    <numFmt numFmtId="205" formatCode="&quot;$&quot;#,\);\(&quot;$&quot;#,\)"/>
    <numFmt numFmtId="206" formatCode="#,##0\ &quot;F&quot;;[Red]\-#,##0\ &quot;F&quot;"/>
    <numFmt numFmtId="207" formatCode="#,##0.00\ &quot;F&quot;;[Red]\-#,##0.00\ &quot;F&quot;"/>
    <numFmt numFmtId="208" formatCode="#,##0.000000_);\(#,##0.000000\)"/>
    <numFmt numFmtId="209" formatCode="#,##0.0_);[Red]\(#,##0.0\)"/>
    <numFmt numFmtId="210" formatCode="&quot;$&quot;#,###"/>
    <numFmt numFmtId="211" formatCode="0%;\(0%\)"/>
    <numFmt numFmtId="212" formatCode="#,##0;\(#,##0\)"/>
    <numFmt numFmtId="213" formatCode="_-* #,##0\ _D_M_-;\-* #,##0\ _D_M_-;_-* &quot;-&quot;\ _D_M_-;_-@_-"/>
    <numFmt numFmtId="214" formatCode="_-* #,##0.00\ _D_M_-;\-* #,##0.00\ _D_M_-;_-* &quot;-&quot;??\ _D_M_-;_-@_-"/>
    <numFmt numFmtId="215" formatCode="\ \ \ \ @"/>
    <numFmt numFmtId="216" formatCode="&quot;R$ &quot;#,##0_);\(&quot;R$ &quot;#,##0\)"/>
    <numFmt numFmtId="217" formatCode="d\.mmm"/>
    <numFmt numFmtId="218" formatCode="mmm\.yy"/>
    <numFmt numFmtId="219" formatCode="_ * #,##0_ ;_ * \-#,##0_ ;_ * &quot;-&quot;_ ;_ @_ "/>
    <numFmt numFmtId="220" formatCode="_(* #,##0.0000_);_(* \(#,##0.0000\);_(* &quot;-&quot;??_);_(@_)"/>
    <numFmt numFmtId="221" formatCode="mmmm\ d\,\ yyyy"/>
    <numFmt numFmtId="222" formatCode="0_);\(0\)"/>
    <numFmt numFmtId="223" formatCode="_-* #,##0_-;\-* #,##0_-;_-* &quot;-&quot;??_-;_-@_-"/>
    <numFmt numFmtId="224" formatCode="#,##0.0_);\(#,##0.0\)"/>
    <numFmt numFmtId="225" formatCode="#,##0.0;\-#,##0.0"/>
    <numFmt numFmtId="226" formatCode="_(* #,##0.00_);_(* \(#,##0.00\);_(* &quot;-&quot;??.0_);_(@_)"/>
    <numFmt numFmtId="227" formatCode="#,##0_);[Red]\(#,##0\);\-"/>
    <numFmt numFmtId="228" formatCode="_(* #,##0.000_);_(* \(#,##0.000\);_(* &quot;-&quot;??_);_(@_)"/>
  </numFmts>
  <fonts count="227">
    <font>
      <sz val="11"/>
      <color theme="1"/>
      <name val="Calibri"/>
      <charset val="134"/>
      <scheme val="minor"/>
    </font>
    <font>
      <sz val="10"/>
      <color theme="1"/>
      <name val="Tahoma"/>
      <charset val="134"/>
    </font>
    <font>
      <b/>
      <sz val="10"/>
      <color theme="1"/>
      <name val="Tahoma"/>
      <charset val="134"/>
    </font>
    <font>
      <sz val="9"/>
      <color rgb="FF000000"/>
      <name val="Arial Bold"/>
      <charset val="134"/>
    </font>
    <font>
      <sz val="14"/>
      <color rgb="FF000000"/>
      <name val="Arial Bold"/>
      <charset val="134"/>
    </font>
    <font>
      <sz val="8"/>
      <color rgb="FF000000"/>
      <name val="Arial Bold"/>
      <charset val="134"/>
    </font>
    <font>
      <sz val="8"/>
      <color rgb="FF000000"/>
      <name val="Arial"/>
      <charset val="134"/>
    </font>
    <font>
      <sz val="10"/>
      <name val="Century"/>
      <charset val="134"/>
    </font>
    <font>
      <b/>
      <sz val="14"/>
      <name val="Century"/>
      <charset val="134"/>
    </font>
    <font>
      <b/>
      <sz val="10"/>
      <name val="Century"/>
      <charset val="134"/>
    </font>
    <font>
      <b/>
      <sz val="12"/>
      <name val="Century"/>
      <charset val="134"/>
    </font>
    <font>
      <b/>
      <sz val="10"/>
      <color indexed="9"/>
      <name val="Century"/>
      <charset val="134"/>
    </font>
    <font>
      <sz val="10"/>
      <name val="Century Gothic"/>
      <charset val="134"/>
    </font>
    <font>
      <b/>
      <sz val="11"/>
      <name val="Trebuchet MS"/>
      <charset val="134"/>
    </font>
    <font>
      <sz val="11"/>
      <name val="Trebuchet MS"/>
      <charset val="134"/>
    </font>
    <font>
      <b/>
      <sz val="14"/>
      <name val="Trebuchet MS"/>
      <charset val="134"/>
    </font>
    <font>
      <sz val="10"/>
      <name val="Trebuchet MS"/>
      <charset val="134"/>
    </font>
    <font>
      <sz val="11"/>
      <color indexed="10"/>
      <name val="Trebuchet MS"/>
      <charset val="134"/>
    </font>
    <font>
      <b/>
      <sz val="11"/>
      <color indexed="10"/>
      <name val="Trebuchet MS"/>
      <charset val="134"/>
    </font>
    <font>
      <sz val="11"/>
      <color rgb="FFFF0000"/>
      <name val="Trebuchet MS"/>
      <charset val="134"/>
    </font>
    <font>
      <b/>
      <sz val="8"/>
      <color rgb="FF000000"/>
      <name val="Arial"/>
      <charset val="134"/>
    </font>
    <font>
      <sz val="10"/>
      <name val="Arial Narrow"/>
      <charset val="134"/>
    </font>
    <font>
      <b/>
      <sz val="14"/>
      <name val="Arial Narrow"/>
      <charset val="134"/>
    </font>
    <font>
      <sz val="14"/>
      <name val="Arial Narrow"/>
      <charset val="134"/>
    </font>
    <font>
      <b/>
      <sz val="10"/>
      <name val="Arial Narrow"/>
      <charset val="134"/>
    </font>
    <font>
      <b/>
      <u/>
      <sz val="10"/>
      <name val="Arial Narrow"/>
      <charset val="134"/>
    </font>
    <font>
      <sz val="9"/>
      <name val="Arial Narrow"/>
      <charset val="134"/>
    </font>
    <font>
      <sz val="10"/>
      <name val="Times New Roman"/>
      <charset val="134"/>
    </font>
    <font>
      <b/>
      <sz val="12"/>
      <color indexed="8"/>
      <name val="Times New Roman"/>
      <charset val="134"/>
    </font>
    <font>
      <b/>
      <u/>
      <sz val="12"/>
      <color indexed="8"/>
      <name val="Times New Roman"/>
      <charset val="134"/>
    </font>
    <font>
      <b/>
      <sz val="10"/>
      <color indexed="8"/>
      <name val="Times New Roman"/>
      <charset val="134"/>
    </font>
    <font>
      <b/>
      <u/>
      <sz val="10"/>
      <color indexed="8"/>
      <name val="Times New Roman"/>
      <charset val="134"/>
    </font>
    <font>
      <sz val="10"/>
      <color indexed="8"/>
      <name val="Times New Roman"/>
      <charset val="134"/>
    </font>
    <font>
      <b/>
      <sz val="10"/>
      <name val="Times New Roman"/>
      <charset val="134"/>
    </font>
    <font>
      <b/>
      <sz val="10"/>
      <color indexed="10"/>
      <name val="Times New Roman"/>
      <charset val="134"/>
    </font>
    <font>
      <b/>
      <u/>
      <sz val="9"/>
      <color indexed="8"/>
      <name val="Times New Roman"/>
      <charset val="134"/>
    </font>
    <font>
      <u/>
      <sz val="10"/>
      <color indexed="8"/>
      <name val="Times New Roman"/>
      <charset val="134"/>
    </font>
    <font>
      <sz val="12"/>
      <name val="Arial Narrow"/>
      <charset val="134"/>
    </font>
    <font>
      <b/>
      <sz val="12"/>
      <name val="Arial Narrow"/>
      <charset val="134"/>
    </font>
    <font>
      <b/>
      <u/>
      <sz val="12"/>
      <name val="Arial Narrow"/>
      <charset val="134"/>
    </font>
    <font>
      <b/>
      <u/>
      <sz val="9"/>
      <name val="Arial Narrow"/>
      <charset val="134"/>
    </font>
    <font>
      <sz val="10"/>
      <name val="Tahoma"/>
      <charset val="134"/>
    </font>
    <font>
      <b/>
      <sz val="10"/>
      <name val="Tahoma"/>
      <charset val="134"/>
    </font>
    <font>
      <b/>
      <i/>
      <sz val="10"/>
      <name val="Tahoma"/>
      <charset val="134"/>
    </font>
    <font>
      <i/>
      <sz val="10"/>
      <name val="Tahoma"/>
      <charset val="134"/>
    </font>
    <font>
      <b/>
      <sz val="10"/>
      <color indexed="8"/>
      <name val="Tahoma"/>
      <charset val="134"/>
    </font>
    <font>
      <sz val="9"/>
      <name val="Tahoma"/>
      <charset val="134"/>
    </font>
    <font>
      <u/>
      <sz val="12"/>
      <name val="Arial Narrow"/>
      <charset val="134"/>
    </font>
    <font>
      <b/>
      <u/>
      <sz val="12"/>
      <color indexed="8"/>
      <name val="Arial Narrow"/>
      <charset val="134"/>
    </font>
    <font>
      <sz val="12"/>
      <color indexed="8"/>
      <name val="Arial Narrow"/>
      <charset val="134"/>
    </font>
    <font>
      <sz val="11"/>
      <name val="Century Gothic"/>
      <charset val="134"/>
    </font>
    <font>
      <b/>
      <sz val="11"/>
      <name val="Century Gothic"/>
      <charset val="134"/>
    </font>
    <font>
      <sz val="11"/>
      <color indexed="8"/>
      <name val="Century Gothic"/>
      <charset val="134"/>
    </font>
    <font>
      <b/>
      <sz val="11"/>
      <color indexed="8"/>
      <name val="Century Gothic"/>
      <charset val="134"/>
    </font>
    <font>
      <sz val="11"/>
      <color theme="1"/>
      <name val="Times New Roman Regular"/>
      <charset val="134"/>
    </font>
    <font>
      <b/>
      <sz val="12"/>
      <name val="Times New Roman Regular"/>
      <charset val="134"/>
    </font>
    <font>
      <sz val="12"/>
      <name val="Times New Roman Regular"/>
      <charset val="134"/>
    </font>
    <font>
      <sz val="12"/>
      <color theme="1"/>
      <name val="Times New Roman Regular"/>
      <charset val="134"/>
    </font>
    <font>
      <b/>
      <sz val="12"/>
      <color theme="1"/>
      <name val="Times New Roman Regular"/>
      <charset val="134"/>
    </font>
    <font>
      <b/>
      <sz val="14"/>
      <color theme="1"/>
      <name val="Calibri"/>
      <charset val="134"/>
      <scheme val="minor"/>
    </font>
    <font>
      <b/>
      <sz val="11"/>
      <color theme="1"/>
      <name val="Calibri"/>
      <charset val="134"/>
      <scheme val="minor"/>
    </font>
    <font>
      <sz val="12"/>
      <name val="Times New Roman"/>
      <charset val="134"/>
    </font>
    <font>
      <b/>
      <sz val="12"/>
      <name val="Times New Roman"/>
      <charset val="134"/>
    </font>
    <font>
      <sz val="10"/>
      <color theme="1"/>
      <name val="Times New Roman"/>
      <charset val="134"/>
    </font>
    <font>
      <b/>
      <u/>
      <sz val="10"/>
      <name val="Times New Roman"/>
      <charset val="134"/>
    </font>
    <font>
      <sz val="13"/>
      <color theme="1"/>
      <name val="ArialMT"/>
      <charset val="134"/>
    </font>
    <font>
      <sz val="10"/>
      <color rgb="FFFF0000"/>
      <name val="Times New Roman"/>
      <charset val="134"/>
    </font>
    <font>
      <b/>
      <sz val="10"/>
      <color theme="1"/>
      <name val="Times New Roman"/>
      <charset val="134"/>
    </font>
    <font>
      <b/>
      <sz val="14"/>
      <color theme="1"/>
      <name val="Times New Roman Regular"/>
      <charset val="134"/>
    </font>
    <font>
      <sz val="10"/>
      <name val="Palatino Linotype"/>
      <charset val="134"/>
    </font>
    <font>
      <b/>
      <sz val="10"/>
      <name val="Palatino Linotype"/>
      <charset val="134"/>
    </font>
    <font>
      <sz val="10"/>
      <color indexed="10"/>
      <name val="Palatino Linotype"/>
      <charset val="134"/>
    </font>
    <font>
      <i/>
      <sz val="10"/>
      <name val="Palatino Linotype"/>
      <charset val="134"/>
    </font>
    <font>
      <b/>
      <i/>
      <sz val="10"/>
      <name val="Palatino Linotype"/>
      <charset val="134"/>
    </font>
    <font>
      <b/>
      <sz val="10"/>
      <color indexed="8"/>
      <name val="Palatino Linotype"/>
      <charset val="134"/>
    </font>
    <font>
      <sz val="8.5"/>
      <color rgb="FF3D3D3F"/>
      <name val="Times New Roman"/>
      <charset val="134"/>
    </font>
    <font>
      <b/>
      <sz val="10"/>
      <color rgb="FF232324"/>
      <name val="Times New Roman"/>
      <charset val="134"/>
    </font>
    <font>
      <b/>
      <sz val="10"/>
      <color rgb="FF3A3A3B"/>
      <name val="Times New Roman"/>
      <charset val="134"/>
    </font>
    <font>
      <b/>
      <sz val="8.5"/>
      <color rgb="FF232324"/>
      <name val="Times New Roman"/>
      <charset val="134"/>
    </font>
    <font>
      <sz val="11"/>
      <color rgb="FF000000"/>
      <name val="Calibri"/>
      <charset val="134"/>
    </font>
    <font>
      <sz val="13"/>
      <color theme="1"/>
      <name val="Times New Roman"/>
      <charset val="134"/>
    </font>
    <font>
      <sz val="13"/>
      <color theme="1"/>
      <name val="Calibri"/>
      <charset val="134"/>
    </font>
    <font>
      <b/>
      <u/>
      <sz val="10"/>
      <name val="Palatino Linotype"/>
      <charset val="134"/>
    </font>
    <font>
      <b/>
      <u/>
      <sz val="10"/>
      <name val="Tahoma"/>
      <charset val="134"/>
    </font>
    <font>
      <u/>
      <sz val="10"/>
      <name val="Tahoma"/>
      <charset val="134"/>
    </font>
    <font>
      <sz val="10"/>
      <color theme="1"/>
      <name val="Helvetica"/>
      <charset val="134"/>
    </font>
    <font>
      <b/>
      <sz val="10"/>
      <color rgb="FFFFFF00"/>
      <name val="Times New Roman"/>
      <charset val="134"/>
    </font>
    <font>
      <b/>
      <sz val="14"/>
      <name val="Times New Roman"/>
      <charset val="134"/>
    </font>
    <font>
      <b/>
      <sz val="13"/>
      <name val="Times New Roman"/>
      <charset val="134"/>
    </font>
    <font>
      <b/>
      <i/>
      <sz val="11"/>
      <name val="Times New Roman"/>
      <charset val="134"/>
    </font>
    <font>
      <b/>
      <sz val="16"/>
      <name val="Times New Roman"/>
      <charset val="134"/>
    </font>
    <font>
      <sz val="22"/>
      <name val="Times New Roman"/>
      <charset val="134"/>
    </font>
    <font>
      <sz val="14"/>
      <name val="Times New Roman"/>
      <charset val="134"/>
    </font>
    <font>
      <b/>
      <u/>
      <sz val="11"/>
      <name val="Times New Roman"/>
      <charset val="134"/>
    </font>
    <font>
      <sz val="10"/>
      <color indexed="8"/>
      <name val="Arial"/>
      <charset val="134"/>
    </font>
    <font>
      <sz val="12"/>
      <color rgb="FF000000"/>
      <name val="Times New Roman"/>
      <charset val="134"/>
    </font>
    <font>
      <sz val="12"/>
      <color rgb="FFFF0000"/>
      <name val="Times New Roman"/>
      <charset val="134"/>
    </font>
    <font>
      <sz val="10"/>
      <color rgb="FF000000"/>
      <name val="Arial"/>
      <charset val="134"/>
    </font>
    <font>
      <sz val="12"/>
      <color theme="1"/>
      <name val="Calibri"/>
      <charset val="134"/>
      <scheme val="minor"/>
    </font>
    <font>
      <b/>
      <sz val="12"/>
      <color theme="1"/>
      <name val="Calibri"/>
      <charset val="134"/>
      <scheme val="minor"/>
    </font>
    <font>
      <sz val="12"/>
      <name val="Calibri"/>
      <charset val="134"/>
      <scheme val="minor"/>
    </font>
    <font>
      <sz val="12"/>
      <color rgb="FFFF0000"/>
      <name val="Calibri"/>
      <charset val="134"/>
      <scheme val="minor"/>
    </font>
    <font>
      <b/>
      <sz val="11"/>
      <color indexed="8"/>
      <name val="Arial"/>
      <charset val="134"/>
    </font>
    <font>
      <b/>
      <sz val="10"/>
      <color indexed="8"/>
      <name val="Arial"/>
      <charset val="134"/>
    </font>
    <font>
      <sz val="12"/>
      <color rgb="FFFF0000"/>
      <name val="Arial"/>
      <charset val="134"/>
    </font>
    <font>
      <b/>
      <sz val="16"/>
      <color indexed="8"/>
      <name val="Tahoma"/>
      <charset val="134"/>
    </font>
    <font>
      <b/>
      <sz val="14"/>
      <color indexed="8"/>
      <name val="Tahoma"/>
      <charset val="134"/>
    </font>
    <font>
      <b/>
      <sz val="10"/>
      <color indexed="8"/>
      <name val="ARIAL"/>
      <charset val="134"/>
    </font>
    <font>
      <b/>
      <u/>
      <sz val="10"/>
      <color indexed="8"/>
      <name val="Arial"/>
      <charset val="134"/>
    </font>
    <font>
      <b/>
      <sz val="11"/>
      <name val="Book Antiqua"/>
      <charset val="134"/>
    </font>
    <font>
      <sz val="11"/>
      <name val="??"/>
      <charset val="128"/>
    </font>
    <font>
      <sz val="11"/>
      <name val="?? ?????"/>
      <charset val="128"/>
    </font>
    <font>
      <sz val="10"/>
      <name val="MS Sans Serif"/>
      <charset val="134"/>
    </font>
    <font>
      <sz val="14"/>
      <name val="CordiaUPC"/>
      <charset val="134"/>
    </font>
    <font>
      <sz val="10"/>
      <name val="Arial"/>
      <charset val="134"/>
    </font>
    <font>
      <sz val="10"/>
      <name val="Helv"/>
      <charset val="238"/>
    </font>
    <font>
      <i/>
      <sz val="10"/>
      <name val="Arial"/>
      <charset val="134"/>
    </font>
    <font>
      <sz val="10"/>
      <name val="Helv"/>
      <charset val="134"/>
    </font>
    <font>
      <b/>
      <sz val="10"/>
      <name val="Arial"/>
      <charset val="134"/>
    </font>
    <font>
      <b/>
      <i/>
      <sz val="9"/>
      <name val="Arial"/>
      <charset val="134"/>
    </font>
    <font>
      <b/>
      <sz val="9"/>
      <name val="Arial"/>
      <charset val="134"/>
    </font>
    <font>
      <sz val="8"/>
      <name val="Arial"/>
      <charset val="134"/>
    </font>
    <font>
      <sz val="11"/>
      <name val="?? ??"/>
      <charset val="128"/>
    </font>
    <font>
      <sz val="10"/>
      <color indexed="8"/>
      <name val="MS Sans Serif"/>
      <charset val="134"/>
    </font>
    <font>
      <sz val="11"/>
      <color indexed="8"/>
      <name val="Calibri"/>
      <charset val="134"/>
    </font>
    <font>
      <sz val="11"/>
      <name val="Times New Roman"/>
      <charset val="134"/>
    </font>
    <font>
      <sz val="10"/>
      <name val="Courier"/>
      <charset val="134"/>
    </font>
    <font>
      <sz val="12"/>
      <color indexed="8"/>
      <name val="Arial"/>
      <charset val="134"/>
    </font>
    <font>
      <sz val="12"/>
      <name val="Arial"/>
      <charset val="134"/>
    </font>
    <font>
      <sz val="11"/>
      <color indexed="9"/>
      <name val="Calibri"/>
      <charset val="134"/>
    </font>
    <font>
      <sz val="11"/>
      <color theme="0"/>
      <name val="Calibri"/>
      <charset val="134"/>
      <scheme val="minor"/>
    </font>
    <font>
      <sz val="11"/>
      <color indexed="20"/>
      <name val="Calibri"/>
      <charset val="134"/>
    </font>
    <font>
      <sz val="12"/>
      <name val="Tms Rmn"/>
      <charset val="134"/>
    </font>
    <font>
      <sz val="10"/>
      <name val="Book Antiqua"/>
      <charset val="134"/>
    </font>
    <font>
      <sz val="11"/>
      <name val="ＭＳ Ｐゴシック"/>
      <charset val="128"/>
    </font>
    <font>
      <sz val="10"/>
      <name val="Arial Tur"/>
      <charset val="162"/>
    </font>
    <font>
      <b/>
      <sz val="11"/>
      <color indexed="52"/>
      <name val="Calibri"/>
      <charset val="134"/>
    </font>
    <font>
      <b/>
      <sz val="10"/>
      <name val="Helv"/>
      <charset val="134"/>
    </font>
    <font>
      <b/>
      <sz val="11"/>
      <color indexed="9"/>
      <name val="Calibri"/>
      <charset val="134"/>
    </font>
    <font>
      <sz val="12"/>
      <name val="Helv"/>
      <charset val="134"/>
    </font>
    <font>
      <sz val="12"/>
      <color indexed="8"/>
      <name val="Tahoma"/>
      <charset val="134"/>
    </font>
    <font>
      <sz val="8"/>
      <name val="Tahoma"/>
      <charset val="134"/>
    </font>
    <font>
      <sz val="11"/>
      <color theme="1"/>
      <name val="Times New Roman"/>
      <charset val="134"/>
    </font>
    <font>
      <sz val="10"/>
      <color rgb="FF000000"/>
      <name val="Times New Roman"/>
      <charset val="134"/>
    </font>
    <font>
      <sz val="9"/>
      <color indexed="8"/>
      <name val="Times New Roman"/>
      <charset val="134"/>
    </font>
    <font>
      <sz val="8"/>
      <color indexed="8"/>
      <name val="Tahoma"/>
      <charset val="134"/>
    </font>
    <font>
      <sz val="10"/>
      <color indexed="8"/>
      <name val="Tahoma"/>
      <charset val="134"/>
    </font>
    <font>
      <sz val="10"/>
      <color indexed="0"/>
      <name val="MS Sans Serif"/>
      <charset val="134"/>
    </font>
    <font>
      <sz val="1"/>
      <color indexed="16"/>
      <name val="Courier"/>
      <charset val="134"/>
    </font>
    <font>
      <b/>
      <sz val="11"/>
      <name val="Times New Roman"/>
      <charset val="134"/>
    </font>
    <font>
      <sz val="10"/>
      <color indexed="12"/>
      <name val="Arial"/>
      <charset val="134"/>
    </font>
    <font>
      <i/>
      <sz val="11"/>
      <color indexed="23"/>
      <name val="Calibri"/>
      <charset val="134"/>
    </font>
    <font>
      <sz val="1"/>
      <color indexed="8"/>
      <name val="Courier"/>
      <charset val="134"/>
    </font>
    <font>
      <i/>
      <sz val="1"/>
      <color indexed="8"/>
      <name val="Courier"/>
      <charset val="134"/>
    </font>
    <font>
      <b/>
      <i/>
      <sz val="20"/>
      <color indexed="49"/>
      <name val="Book Antiqua"/>
      <charset val="134"/>
    </font>
    <font>
      <sz val="12"/>
      <name val="Arial MT"/>
      <charset val="134"/>
    </font>
    <font>
      <sz val="11"/>
      <color rgb="FF006100"/>
      <name val="Calibri"/>
      <charset val="134"/>
      <scheme val="minor"/>
    </font>
    <font>
      <sz val="11"/>
      <color indexed="17"/>
      <name val="Calibri"/>
      <charset val="134"/>
    </font>
    <font>
      <b/>
      <sz val="10"/>
      <color indexed="9"/>
      <name val="Arial"/>
      <charset val="134"/>
    </font>
    <font>
      <sz val="8"/>
      <name val="Arial"/>
      <charset val="178"/>
    </font>
    <font>
      <b/>
      <sz val="12"/>
      <name val="Helv"/>
      <charset val="134"/>
    </font>
    <font>
      <b/>
      <sz val="12"/>
      <name val="Arial"/>
      <charset val="178"/>
    </font>
    <font>
      <b/>
      <sz val="12"/>
      <name val="Arial"/>
      <charset val="134"/>
    </font>
    <font>
      <b/>
      <sz val="15"/>
      <color indexed="56"/>
      <name val="Calibri"/>
      <charset val="134"/>
    </font>
    <font>
      <b/>
      <sz val="13"/>
      <color indexed="56"/>
      <name val="Calibri"/>
      <charset val="134"/>
    </font>
    <font>
      <b/>
      <sz val="11"/>
      <color indexed="56"/>
      <name val="Calibri"/>
      <charset val="134"/>
    </font>
    <font>
      <u/>
      <sz val="12"/>
      <color indexed="12"/>
      <name val="Arial"/>
      <charset val="134"/>
    </font>
    <font>
      <u/>
      <sz val="10"/>
      <color indexed="12"/>
      <name val="Arial"/>
      <charset val="134"/>
    </font>
    <font>
      <u/>
      <sz val="9"/>
      <color indexed="12"/>
      <name val="Times New Roman"/>
      <charset val="134"/>
    </font>
    <font>
      <u/>
      <sz val="7.5"/>
      <color indexed="12"/>
      <name val="Arial"/>
      <charset val="134"/>
    </font>
    <font>
      <u/>
      <sz val="10"/>
      <color theme="10"/>
      <name val="Times New Roman"/>
      <charset val="134"/>
    </font>
    <font>
      <u/>
      <sz val="10"/>
      <color indexed="36"/>
      <name val="Arial"/>
      <charset val="134"/>
    </font>
    <font>
      <sz val="11"/>
      <color indexed="62"/>
      <name val="Calibri"/>
      <charset val="134"/>
    </font>
    <font>
      <u/>
      <sz val="7.5"/>
      <color indexed="36"/>
      <name val="Arial"/>
      <charset val="134"/>
    </font>
    <font>
      <sz val="10"/>
      <color indexed="14"/>
      <name val="Arial"/>
      <charset val="134"/>
    </font>
    <font>
      <sz val="11"/>
      <color indexed="52"/>
      <name val="Calibri"/>
      <charset val="134"/>
    </font>
    <font>
      <b/>
      <sz val="11"/>
      <name val="Helv"/>
      <charset val="134"/>
    </font>
    <font>
      <sz val="12"/>
      <name val="Roman 12cpi"/>
      <charset val="134"/>
    </font>
    <font>
      <sz val="11"/>
      <color indexed="60"/>
      <name val="Calibri"/>
      <charset val="134"/>
    </font>
    <font>
      <sz val="10"/>
      <name val="Bookman Old Style"/>
      <charset val="134"/>
    </font>
    <font>
      <sz val="7"/>
      <name val="Small Fonts"/>
      <charset val="134"/>
    </font>
    <font>
      <b/>
      <sz val="16"/>
      <name val="Abadi MT Condensed"/>
      <charset val="134"/>
    </font>
    <font>
      <sz val="12"/>
      <name val="SWISS"/>
      <charset val="134"/>
    </font>
    <font>
      <sz val="10"/>
      <color theme="1"/>
      <name val="Calibri"/>
      <charset val="134"/>
      <scheme val="minor"/>
    </font>
    <font>
      <sz val="8"/>
      <name val="Univers (W1)"/>
      <charset val="134"/>
    </font>
    <font>
      <sz val="10"/>
      <name val="Arial CE"/>
      <charset val="134"/>
    </font>
    <font>
      <b/>
      <sz val="16"/>
      <name val="Arial"/>
      <charset val="134"/>
    </font>
    <font>
      <sz val="11"/>
      <name val="–¾’©"/>
      <charset val="128"/>
    </font>
    <font>
      <b/>
      <sz val="11"/>
      <color indexed="63"/>
      <name val="Calibri"/>
      <charset val="134"/>
    </font>
    <font>
      <sz val="11"/>
      <color indexed="8"/>
      <name val="Times New Roman"/>
      <charset val="134"/>
    </font>
    <font>
      <b/>
      <i/>
      <sz val="11"/>
      <color indexed="8"/>
      <name val="Times New Roman"/>
      <charset val="134"/>
    </font>
    <font>
      <b/>
      <sz val="11"/>
      <color indexed="12"/>
      <name val="Tahoma"/>
      <charset val="134"/>
    </font>
    <font>
      <b/>
      <sz val="11"/>
      <color indexed="16"/>
      <name val="Times New Roman"/>
      <charset val="134"/>
    </font>
    <font>
      <sz val="16"/>
      <color indexed="12"/>
      <name val="Tahoma"/>
      <charset val="134"/>
    </font>
    <font>
      <b/>
      <sz val="22"/>
      <color indexed="8"/>
      <name val="Times New Roman"/>
      <charset val="134"/>
    </font>
    <font>
      <sz val="22"/>
      <color indexed="12"/>
      <name val="Tahoma"/>
      <charset val="134"/>
    </font>
    <font>
      <sz val="10"/>
      <color indexed="10"/>
      <name val="Arial"/>
      <charset val="134"/>
    </font>
    <font>
      <sz val="12"/>
      <color indexed="9"/>
      <name val="Arial"/>
      <charset val="134"/>
    </font>
    <font>
      <b/>
      <sz val="10"/>
      <name val="MS Sans Serif"/>
      <charset val="134"/>
    </font>
    <font>
      <sz val="10"/>
      <color indexed="39"/>
      <name val="Arial"/>
      <charset val="134"/>
    </font>
    <font>
      <b/>
      <sz val="12"/>
      <color indexed="8"/>
      <name val="Arial"/>
      <charset val="134"/>
    </font>
    <font>
      <b/>
      <sz val="16"/>
      <color indexed="23"/>
      <name val="Arial"/>
      <charset val="134"/>
    </font>
    <font>
      <sz val="10"/>
      <name val="Helv"/>
      <charset val="204"/>
    </font>
    <font>
      <b/>
      <sz val="12"/>
      <name val="SWISS"/>
      <charset val="134"/>
    </font>
    <font>
      <sz val="12"/>
      <color indexed="13"/>
      <name val="SWISS"/>
      <charset val="134"/>
    </font>
    <font>
      <b/>
      <sz val="12"/>
      <name val="Albertus Medium"/>
      <charset val="134"/>
    </font>
    <font>
      <b/>
      <sz val="10"/>
      <color indexed="9"/>
      <name val="Palatino Linotype"/>
      <charset val="134"/>
    </font>
    <font>
      <b/>
      <sz val="14"/>
      <name val="Tms Rmn"/>
      <charset val="134"/>
    </font>
    <font>
      <sz val="24"/>
      <color indexed="13"/>
      <name val="Helv"/>
      <charset val="134"/>
    </font>
    <font>
      <sz val="12"/>
      <color indexed="13"/>
      <name val="Helv"/>
      <charset val="134"/>
    </font>
    <font>
      <b/>
      <sz val="18"/>
      <color theme="3"/>
      <name val="Cambria"/>
      <charset val="134"/>
      <scheme val="major"/>
    </font>
    <font>
      <b/>
      <sz val="18"/>
      <color indexed="56"/>
      <name val="Cambria"/>
      <charset val="134"/>
    </font>
    <font>
      <b/>
      <sz val="18"/>
      <name val="Times New Roman"/>
      <charset val="134"/>
    </font>
    <font>
      <b/>
      <sz val="11"/>
      <color indexed="8"/>
      <name val="Calibri"/>
      <charset val="134"/>
    </font>
    <font>
      <b/>
      <sz val="14"/>
      <name val="Helv"/>
      <charset val="134"/>
    </font>
    <font>
      <sz val="11"/>
      <color indexed="10"/>
      <name val="Calibri"/>
      <charset val="134"/>
    </font>
    <font>
      <sz val="14"/>
      <name val="Angsana New"/>
      <charset val="134"/>
    </font>
    <font>
      <sz val="12"/>
      <name val="宋体"/>
      <charset val="134"/>
    </font>
    <font>
      <sz val="11"/>
      <name val="明朝"/>
      <charset val="128"/>
    </font>
    <font>
      <b/>
      <sz val="10"/>
      <color rgb="FF1A1A1C"/>
      <name val="Times New Roman"/>
      <charset val="134"/>
    </font>
    <font>
      <b/>
      <sz val="10"/>
      <color rgb="FF3D3D3F"/>
      <name val="Times New Roman"/>
      <charset val="134"/>
    </font>
    <font>
      <sz val="11"/>
      <color theme="1"/>
      <name val="Calibri"/>
      <charset val="134"/>
      <scheme val="minor"/>
    </font>
    <font>
      <b/>
      <sz val="11"/>
      <color theme="1"/>
      <name val="Calibri"/>
      <family val="2"/>
      <scheme val="minor"/>
    </font>
    <font>
      <sz val="10"/>
      <name val="Times New Roman"/>
      <family val="1"/>
    </font>
    <font>
      <sz val="11"/>
      <color theme="1"/>
      <name val="Arial"/>
      <family val="2"/>
    </font>
    <font>
      <b/>
      <sz val="11"/>
      <color theme="1"/>
      <name val="Arial"/>
      <family val="2"/>
    </font>
    <font>
      <b/>
      <sz val="14"/>
      <color theme="1"/>
      <name val="Calibri"/>
      <family val="2"/>
      <scheme val="minor"/>
    </font>
  </fonts>
  <fills count="77">
    <fill>
      <patternFill patternType="none"/>
    </fill>
    <fill>
      <patternFill patternType="gray125"/>
    </fill>
    <fill>
      <patternFill patternType="solid">
        <fgColor indexed="8"/>
        <bgColor indexed="64"/>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3" tint="0.79992065187536243"/>
        <bgColor indexed="64"/>
      </patternFill>
    </fill>
    <fill>
      <patternFill patternType="solid">
        <fgColor theme="5" tint="0.39991454817346722"/>
        <bgColor indexed="64"/>
      </patternFill>
    </fill>
    <fill>
      <patternFill patternType="solid">
        <fgColor theme="7" tint="0.39991454817346722"/>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6" tint="0.39991454817346722"/>
        <bgColor indexed="64"/>
      </patternFill>
    </fill>
    <fill>
      <patternFill patternType="solid">
        <fgColor theme="5" tint="-0.249977111117893"/>
        <bgColor indexed="64"/>
      </patternFill>
    </fill>
    <fill>
      <patternFill patternType="solid">
        <fgColor theme="6" tint="-0.249977111117893"/>
        <bgColor indexed="64"/>
      </patternFill>
    </fill>
    <fill>
      <patternFill patternType="solid">
        <fgColor theme="4" tint="-0.249977111117893"/>
        <bgColor indexed="64"/>
      </patternFill>
    </fill>
    <fill>
      <patternFill patternType="solid">
        <fgColor theme="6" tint="0.79992065187536243"/>
        <bgColor indexed="64"/>
      </patternFill>
    </fill>
    <fill>
      <patternFill patternType="solid">
        <fgColor theme="0" tint="-0.499984740745262"/>
        <bgColor indexed="64"/>
      </patternFill>
    </fill>
    <fill>
      <patternFill patternType="solid">
        <fgColor theme="2" tint="-0.249977111117893"/>
        <bgColor indexed="64"/>
      </patternFill>
    </fill>
    <fill>
      <patternFill patternType="solid">
        <fgColor theme="4" tint="0.39991454817346722"/>
        <bgColor indexed="64"/>
      </patternFill>
    </fill>
    <fill>
      <patternFill patternType="solid">
        <fgColor theme="2" tint="-0.499984740745262"/>
        <bgColor indexed="64"/>
      </patternFill>
    </fill>
    <fill>
      <patternFill patternType="solid">
        <fgColor theme="5" tint="0.79992065187536243"/>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7" tint="0.79992065187536243"/>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9" tint="0.79992065187536243"/>
        <bgColor indexed="64"/>
      </patternFill>
    </fill>
    <fill>
      <patternFill patternType="solid">
        <fgColor theme="8" tint="0.39991454817346722"/>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theme="9" tint="-0.249977111117893"/>
        <bgColor indexed="64"/>
      </patternFill>
    </fill>
    <fill>
      <patternFill patternType="solid">
        <fgColor theme="9" tint="0.39991454817346722"/>
        <bgColor indexed="64"/>
      </patternFill>
    </fill>
    <fill>
      <patternFill patternType="solid">
        <fgColor rgb="FFFF0000"/>
        <bgColor indexed="64"/>
      </patternFill>
    </fill>
    <fill>
      <patternFill patternType="solid">
        <fgColor rgb="FFFFC000"/>
        <bgColor indexed="64"/>
      </patternFill>
    </fill>
    <fill>
      <patternFill patternType="solid">
        <fgColor theme="2" tint="-9.9978637043366805E-2"/>
        <bgColor indexed="64"/>
      </patternFill>
    </fill>
    <fill>
      <patternFill patternType="solid">
        <fgColor rgb="FF00B050"/>
        <bgColor indexed="64"/>
      </patternFill>
    </fill>
    <fill>
      <patternFill patternType="solid">
        <fgColor rgb="FF92D050"/>
        <bgColor indexed="64"/>
      </patternFill>
    </fill>
    <fill>
      <patternFill patternType="solid">
        <fgColor rgb="FFC6EFCE"/>
        <bgColor indexed="64"/>
      </patternFill>
    </fill>
    <fill>
      <patternFill patternType="solid">
        <fgColor theme="4"/>
        <bgColor indexed="64"/>
      </patternFill>
    </fill>
    <fill>
      <patternFill patternType="solid">
        <fgColor theme="6"/>
        <bgColor indexed="64"/>
      </patternFill>
    </fill>
    <fill>
      <patternFill patternType="solid">
        <fgColor indexed="26"/>
        <bgColor indexed="64"/>
      </patternFill>
    </fill>
    <fill>
      <patternFill patternType="solid">
        <fgColor indexed="22"/>
        <bgColor indexed="64"/>
      </patternFill>
    </fill>
    <fill>
      <patternFill patternType="solid">
        <fgColor indexed="9"/>
        <bgColor indexed="64"/>
      </patternFill>
    </fill>
    <fill>
      <patternFill patternType="solid">
        <fgColor theme="4" tint="0.79992065187536243"/>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31"/>
        <bgColor indexed="31"/>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28"/>
        <bgColor indexed="64"/>
      </patternFill>
    </fill>
    <fill>
      <patternFill patternType="solid">
        <fgColor indexed="13"/>
        <bgColor indexed="64"/>
      </patternFill>
    </fill>
    <fill>
      <patternFill patternType="solid">
        <fgColor indexed="43"/>
        <bgColor indexed="64"/>
      </patternFill>
    </fill>
    <fill>
      <patternFill patternType="solid">
        <fgColor indexed="50"/>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13"/>
        <bgColor indexed="13"/>
      </patternFill>
    </fill>
    <fill>
      <patternFill patternType="solid">
        <fgColor indexed="12"/>
        <bgColor indexed="12"/>
      </patternFill>
    </fill>
    <fill>
      <patternFill patternType="darkGray">
        <bgColor indexed="16"/>
      </patternFill>
    </fill>
    <fill>
      <patternFill patternType="solid">
        <fgColor indexed="12"/>
        <bgColor indexed="64"/>
      </patternFill>
    </fill>
  </fills>
  <borders count="8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style="thin">
        <color auto="1"/>
      </top>
      <bottom style="thin">
        <color auto="1"/>
      </bottom>
      <diagonal/>
    </border>
    <border>
      <left/>
      <right/>
      <top/>
      <bottom style="thin">
        <color auto="1"/>
      </bottom>
      <diagonal/>
    </border>
    <border>
      <left style="thin">
        <color auto="1"/>
      </left>
      <right/>
      <top/>
      <bottom style="thin">
        <color auto="1"/>
      </bottom>
      <diagonal/>
    </border>
    <border>
      <left/>
      <right/>
      <top style="thin">
        <color auto="1"/>
      </top>
      <bottom style="double">
        <color auto="1"/>
      </bottom>
      <diagonal/>
    </border>
    <border>
      <left/>
      <right/>
      <top style="thin">
        <color auto="1"/>
      </top>
      <bottom/>
      <diagonal/>
    </border>
    <border>
      <left/>
      <right/>
      <top style="thin">
        <color auto="1"/>
      </top>
      <bottom style="medium">
        <color auto="1"/>
      </bottom>
      <diagonal/>
    </border>
    <border>
      <left style="medium">
        <color auto="1"/>
      </left>
      <right style="medium">
        <color auto="1"/>
      </right>
      <top style="medium">
        <color auto="1"/>
      </top>
      <bottom/>
      <diagonal/>
    </border>
    <border>
      <left/>
      <right style="thin">
        <color auto="1"/>
      </right>
      <top/>
      <bottom/>
      <diagonal/>
    </border>
    <border>
      <left/>
      <right style="thin">
        <color auto="1"/>
      </right>
      <top style="thin">
        <color auto="1"/>
      </top>
      <bottom/>
      <diagonal/>
    </border>
    <border>
      <left style="medium">
        <color auto="1"/>
      </left>
      <right style="medium">
        <color auto="1"/>
      </right>
      <top style="medium">
        <color auto="1"/>
      </top>
      <bottom style="medium">
        <color auto="1"/>
      </bottom>
      <diagonal/>
    </border>
    <border>
      <left/>
      <right/>
      <top/>
      <bottom style="double">
        <color auto="1"/>
      </bottom>
      <diagonal/>
    </border>
    <border>
      <left style="medium">
        <color auto="1"/>
      </left>
      <right/>
      <top style="medium">
        <color auto="1"/>
      </top>
      <bottom style="medium">
        <color auto="1"/>
      </bottom>
      <diagonal/>
    </border>
    <border>
      <left style="medium">
        <color auto="1"/>
      </left>
      <right style="medium">
        <color auto="1"/>
      </right>
      <top/>
      <bottom/>
      <diagonal/>
    </border>
    <border>
      <left style="medium">
        <color auto="1"/>
      </left>
      <right/>
      <top style="medium">
        <color auto="1"/>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right style="medium">
        <color auto="1"/>
      </right>
      <top/>
      <bottom style="medium">
        <color auto="1"/>
      </bottom>
      <diagonal/>
    </border>
    <border>
      <left/>
      <right style="thin">
        <color auto="1"/>
      </right>
      <top/>
      <bottom style="thin">
        <color auto="1"/>
      </bottom>
      <diagonal/>
    </border>
    <border>
      <left/>
      <right/>
      <top/>
      <bottom style="thin">
        <color theme="1"/>
      </bottom>
      <diagonal/>
    </border>
    <border>
      <left/>
      <right/>
      <top style="thin">
        <color indexed="8"/>
      </top>
      <bottom/>
      <diagonal/>
    </border>
    <border>
      <left/>
      <right/>
      <top/>
      <bottom style="thin">
        <color indexed="8"/>
      </bottom>
      <diagonal/>
    </border>
    <border>
      <left/>
      <right/>
      <top style="thin">
        <color indexed="8"/>
      </top>
      <bottom style="double">
        <color indexed="8"/>
      </bottom>
      <diagonal/>
    </border>
    <border>
      <left/>
      <right/>
      <top/>
      <bottom style="medium">
        <color auto="1"/>
      </bottom>
      <diagonal/>
    </border>
    <border>
      <left/>
      <right style="thin">
        <color indexed="8"/>
      </right>
      <top/>
      <bottom/>
      <diagonal/>
    </border>
    <border>
      <left style="thin">
        <color indexed="8"/>
      </left>
      <right/>
      <top/>
      <bottom/>
      <diagonal/>
    </border>
    <border>
      <left style="medium">
        <color auto="1"/>
      </left>
      <right/>
      <top/>
      <bottom/>
      <diagonal/>
    </border>
    <border>
      <left style="thin">
        <color auto="1"/>
      </left>
      <right style="thin">
        <color auto="1"/>
      </right>
      <top style="thin">
        <color auto="1"/>
      </top>
      <bottom style="double">
        <color auto="1"/>
      </bottom>
      <diagonal/>
    </border>
    <border>
      <left/>
      <right style="thin">
        <color auto="1"/>
      </right>
      <top style="thin">
        <color auto="1"/>
      </top>
      <bottom style="double">
        <color auto="1"/>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top style="thin">
        <color indexed="8"/>
      </top>
      <bottom style="thin">
        <color auto="1"/>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n">
        <color auto="1"/>
      </left>
      <right/>
      <top style="thin">
        <color auto="1"/>
      </top>
      <bottom style="double">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double">
        <color auto="1"/>
      </bottom>
      <diagonal/>
    </border>
    <border>
      <left/>
      <right/>
      <top style="thin">
        <color theme="4"/>
      </top>
      <bottom style="double">
        <color theme="4"/>
      </bottom>
      <diagonal/>
    </border>
    <border>
      <left/>
      <right/>
      <top/>
      <bottom style="hair">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8"/>
      </left>
      <right style="thin">
        <color indexed="8"/>
      </right>
      <top style="thin">
        <color indexed="8"/>
      </top>
      <bottom style="thin">
        <color indexed="8"/>
      </bottom>
      <diagonal/>
    </border>
    <border>
      <left/>
      <right style="medium">
        <color auto="1"/>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hair">
        <color auto="1"/>
      </left>
      <right style="hair">
        <color auto="1"/>
      </right>
      <top style="hair">
        <color auto="1"/>
      </top>
      <bottom style="hair">
        <color auto="1"/>
      </bottom>
      <diagonal/>
    </border>
    <border>
      <left/>
      <right/>
      <top/>
      <bottom style="double">
        <color indexed="52"/>
      </bottom>
      <diagonal/>
    </border>
    <border>
      <left style="thin">
        <color auto="1"/>
      </left>
      <right style="hair">
        <color auto="1"/>
      </right>
      <top style="hair">
        <color auto="1"/>
      </top>
      <bottom style="hair">
        <color auto="1"/>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auto="1"/>
      </top>
      <bottom style="thin">
        <color indexed="63"/>
      </bottom>
      <diagonal/>
    </border>
    <border>
      <left style="thin">
        <color indexed="8"/>
      </left>
      <right style="thin">
        <color indexed="8"/>
      </right>
      <top style="double">
        <color indexed="8"/>
      </top>
      <bottom style="thin">
        <color indexed="8"/>
      </bottom>
      <diagonal/>
    </border>
    <border>
      <left style="double">
        <color indexed="9"/>
      </left>
      <right style="double">
        <color indexed="9"/>
      </right>
      <top style="double">
        <color indexed="9"/>
      </top>
      <bottom style="double">
        <color indexed="9"/>
      </bottom>
      <diagonal/>
    </border>
    <border>
      <left style="thin">
        <color indexed="8"/>
      </left>
      <right/>
      <top style="thin">
        <color indexed="8"/>
      </top>
      <bottom/>
      <diagonal/>
    </border>
    <border>
      <left style="hair">
        <color auto="1"/>
      </left>
      <right style="hair">
        <color auto="1"/>
      </right>
      <top style="thin">
        <color auto="1"/>
      </top>
      <bottom style="hair">
        <color auto="1"/>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692">
    <xf numFmtId="0" fontId="0" fillId="0" borderId="0"/>
    <xf numFmtId="164" fontId="221" fillId="0" borderId="0" applyFont="0" applyFill="0" applyBorder="0" applyAlignment="0" applyProtection="0"/>
    <xf numFmtId="9" fontId="221" fillId="0" borderId="0" applyFont="0" applyFill="0" applyBorder="0" applyAlignment="0" applyProtection="0"/>
    <xf numFmtId="0" fontId="109" fillId="0" borderId="0"/>
    <xf numFmtId="0" fontId="110" fillId="0" borderId="0"/>
    <xf numFmtId="165" fontId="111" fillId="0" borderId="0" applyFont="0" applyFill="0" applyBorder="0" applyAlignment="0" applyProtection="0"/>
    <xf numFmtId="4" fontId="112" fillId="0" borderId="0" applyFont="0" applyFill="0" applyBorder="0" applyAlignment="0" applyProtection="0"/>
    <xf numFmtId="165" fontId="111" fillId="0" borderId="0" applyFont="0" applyFill="0" applyBorder="0" applyAlignment="0" applyProtection="0"/>
    <xf numFmtId="166" fontId="111" fillId="0" borderId="0" applyFont="0" applyFill="0" applyBorder="0" applyAlignment="0" applyProtection="0"/>
    <xf numFmtId="167" fontId="111" fillId="0" borderId="0" applyFont="0" applyFill="0" applyBorder="0" applyAlignment="0" applyProtection="0"/>
    <xf numFmtId="168" fontId="111" fillId="0" borderId="0" applyFont="0" applyFill="0" applyBorder="0" applyAlignment="0" applyProtection="0"/>
    <xf numFmtId="0" fontId="113" fillId="0" borderId="0"/>
    <xf numFmtId="0" fontId="114" fillId="0" borderId="0" applyFont="0" applyFill="0" applyBorder="0" applyAlignment="0" applyProtection="0"/>
    <xf numFmtId="0" fontId="114" fillId="0" borderId="0" applyFont="0" applyFill="0" applyBorder="0" applyAlignment="0" applyProtection="0"/>
    <xf numFmtId="0" fontId="114" fillId="0" borderId="0"/>
    <xf numFmtId="0" fontId="114" fillId="0" borderId="0"/>
    <xf numFmtId="0" fontId="114" fillId="0" borderId="0"/>
    <xf numFmtId="0" fontId="114" fillId="0" borderId="0"/>
    <xf numFmtId="0" fontId="114" fillId="0" borderId="0"/>
    <xf numFmtId="0" fontId="94" fillId="0" borderId="0">
      <alignment vertical="top"/>
    </xf>
    <xf numFmtId="0" fontId="114" fillId="0" borderId="0"/>
    <xf numFmtId="0" fontId="114" fillId="0" borderId="0"/>
    <xf numFmtId="0" fontId="114" fillId="0" borderId="0">
      <alignment horizontal="justify" vertical="justify" textRotation="127" wrapText="1"/>
      <protection hidden="1"/>
    </xf>
    <xf numFmtId="0" fontId="94" fillId="0" borderId="0">
      <alignment vertical="top"/>
    </xf>
    <xf numFmtId="0" fontId="114" fillId="0" borderId="0"/>
    <xf numFmtId="0" fontId="114" fillId="41" borderId="65"/>
    <xf numFmtId="0" fontId="114" fillId="41" borderId="65"/>
    <xf numFmtId="169" fontId="114" fillId="41" borderId="65"/>
    <xf numFmtId="169" fontId="114" fillId="41" borderId="65"/>
    <xf numFmtId="0" fontId="114" fillId="41" borderId="65"/>
    <xf numFmtId="0" fontId="114" fillId="41" borderId="65"/>
    <xf numFmtId="0" fontId="114" fillId="41" borderId="65"/>
    <xf numFmtId="0" fontId="114" fillId="41" borderId="65"/>
    <xf numFmtId="0" fontId="114" fillId="0" borderId="0"/>
    <xf numFmtId="0" fontId="115" fillId="0" borderId="0"/>
    <xf numFmtId="0" fontId="94" fillId="0" borderId="0">
      <alignment vertical="top"/>
    </xf>
    <xf numFmtId="0" fontId="116" fillId="41" borderId="0"/>
    <xf numFmtId="0" fontId="114" fillId="0" borderId="0">
      <alignment horizontal="justify" vertical="justify" textRotation="127" wrapText="1"/>
      <protection hidden="1"/>
    </xf>
    <xf numFmtId="0" fontId="115" fillId="0" borderId="0"/>
    <xf numFmtId="0" fontId="117" fillId="0" borderId="0"/>
    <xf numFmtId="0" fontId="114" fillId="42" borderId="0"/>
    <xf numFmtId="0" fontId="114" fillId="42" borderId="0"/>
    <xf numFmtId="0" fontId="114" fillId="42" borderId="0"/>
    <xf numFmtId="0" fontId="114" fillId="42" borderId="0"/>
    <xf numFmtId="0" fontId="114" fillId="42" borderId="0"/>
    <xf numFmtId="0" fontId="114" fillId="42" borderId="0"/>
    <xf numFmtId="0" fontId="118" fillId="42" borderId="0"/>
    <xf numFmtId="0" fontId="116" fillId="42" borderId="0"/>
    <xf numFmtId="0" fontId="114" fillId="42" borderId="0"/>
    <xf numFmtId="0" fontId="114" fillId="42" borderId="0"/>
    <xf numFmtId="0" fontId="114" fillId="42" borderId="0"/>
    <xf numFmtId="0" fontId="114" fillId="42" borderId="0"/>
    <xf numFmtId="0" fontId="114" fillId="42" borderId="0"/>
    <xf numFmtId="0" fontId="114" fillId="42" borderId="0"/>
    <xf numFmtId="0" fontId="119" fillId="42" borderId="0"/>
    <xf numFmtId="0" fontId="120" fillId="42" borderId="0"/>
    <xf numFmtId="0" fontId="121" fillId="42" borderId="0"/>
    <xf numFmtId="0" fontId="121" fillId="42" borderId="0"/>
    <xf numFmtId="0" fontId="121" fillId="42" borderId="0"/>
    <xf numFmtId="0" fontId="121" fillId="42" borderId="0"/>
    <xf numFmtId="0" fontId="121" fillId="42" borderId="0"/>
    <xf numFmtId="0" fontId="121" fillId="42" borderId="0"/>
    <xf numFmtId="0" fontId="114" fillId="0" borderId="0"/>
    <xf numFmtId="0" fontId="114" fillId="0" borderId="0"/>
    <xf numFmtId="0" fontId="94" fillId="0" borderId="0">
      <alignment vertical="top"/>
    </xf>
    <xf numFmtId="0" fontId="94" fillId="0" borderId="0">
      <alignment vertical="top"/>
    </xf>
    <xf numFmtId="0" fontId="114" fillId="0" borderId="0"/>
    <xf numFmtId="0" fontId="114" fillId="0" borderId="0"/>
    <xf numFmtId="0" fontId="115" fillId="0" borderId="0"/>
    <xf numFmtId="0" fontId="114" fillId="0" borderId="0"/>
    <xf numFmtId="0" fontId="94" fillId="0" borderId="0">
      <alignment vertical="top"/>
    </xf>
    <xf numFmtId="0" fontId="114" fillId="0" borderId="0" applyFont="0" applyFill="0" applyBorder="0" applyAlignment="0" applyProtection="0"/>
    <xf numFmtId="0" fontId="114" fillId="0" borderId="0" applyFont="0" applyFill="0" applyBorder="0" applyAlignment="0" applyProtection="0"/>
    <xf numFmtId="170" fontId="61" fillId="0" borderId="0" applyFont="0" applyFill="0" applyBorder="0" applyAlignment="0" applyProtection="0"/>
    <xf numFmtId="171" fontId="61" fillId="0" borderId="0" applyFont="0" applyFill="0" applyBorder="0" applyAlignment="0" applyProtection="0"/>
    <xf numFmtId="0" fontId="122" fillId="0" borderId="0" applyNumberFormat="0" applyFill="0" applyBorder="0" applyAlignment="0" applyProtection="0"/>
    <xf numFmtId="0" fontId="114" fillId="0" borderId="0"/>
    <xf numFmtId="0" fontId="114" fillId="0" borderId="0"/>
    <xf numFmtId="0" fontId="123" fillId="0" borderId="0"/>
    <xf numFmtId="0" fontId="114" fillId="0" borderId="0"/>
    <xf numFmtId="0" fontId="124" fillId="0" borderId="0"/>
    <xf numFmtId="0" fontId="125" fillId="0" borderId="0"/>
    <xf numFmtId="0" fontId="27" fillId="0" borderId="0"/>
    <xf numFmtId="0" fontId="27" fillId="0" borderId="0"/>
    <xf numFmtId="0" fontId="114" fillId="0" borderId="0"/>
    <xf numFmtId="0" fontId="126" fillId="0" borderId="0"/>
    <xf numFmtId="0" fontId="126" fillId="0" borderId="0"/>
    <xf numFmtId="0" fontId="109" fillId="0" borderId="0">
      <alignment horizontal="centerContinuous"/>
    </xf>
    <xf numFmtId="0" fontId="127" fillId="0" borderId="32"/>
    <xf numFmtId="0"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0" fontId="128" fillId="43" borderId="0"/>
    <xf numFmtId="0" fontId="128" fillId="43" borderId="0"/>
    <xf numFmtId="0" fontId="128" fillId="43" borderId="0"/>
    <xf numFmtId="0" fontId="128" fillId="43" borderId="0"/>
    <xf numFmtId="0" fontId="128" fillId="43" borderId="0"/>
    <xf numFmtId="0" fontId="128" fillId="43" borderId="0"/>
    <xf numFmtId="0" fontId="128" fillId="43" borderId="0"/>
    <xf numFmtId="0" fontId="128" fillId="43" borderId="0"/>
    <xf numFmtId="0" fontId="128" fillId="43" borderId="0"/>
    <xf numFmtId="0" fontId="128" fillId="43" borderId="0"/>
    <xf numFmtId="0" fontId="128" fillId="43" borderId="0"/>
    <xf numFmtId="0" fontId="128" fillId="43" borderId="0"/>
    <xf numFmtId="0" fontId="128" fillId="43" borderId="0"/>
    <xf numFmtId="0" fontId="128" fillId="43" borderId="0"/>
    <xf numFmtId="0" fontId="128" fillId="43" borderId="0"/>
    <xf numFmtId="0" fontId="128" fillId="43" borderId="0"/>
    <xf numFmtId="0" fontId="128" fillId="43" borderId="0"/>
    <xf numFmtId="0" fontId="128" fillId="43" borderId="0"/>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172"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0">
      <alignment horizontal="left"/>
    </xf>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32"/>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32"/>
    <xf numFmtId="0" fontId="127" fillId="0" borderId="32"/>
    <xf numFmtId="0" fontId="127" fillId="0" borderId="32"/>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0">
      <alignment horizontal="left"/>
    </xf>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8" fillId="43" borderId="0"/>
    <xf numFmtId="0" fontId="128" fillId="43" borderId="0"/>
    <xf numFmtId="0" fontId="128" fillId="43" borderId="0"/>
    <xf numFmtId="0" fontId="128" fillId="43" borderId="0"/>
    <xf numFmtId="0" fontId="128" fillId="43" borderId="0"/>
    <xf numFmtId="0" fontId="128" fillId="43" borderId="0"/>
    <xf numFmtId="0" fontId="128" fillId="43" borderId="0"/>
    <xf numFmtId="0" fontId="128" fillId="43" borderId="0"/>
    <xf numFmtId="0" fontId="128" fillId="43" borderId="0"/>
    <xf numFmtId="0" fontId="128" fillId="43" borderId="0"/>
    <xf numFmtId="0" fontId="128" fillId="43" borderId="0"/>
    <xf numFmtId="0" fontId="128" fillId="43" borderId="0"/>
    <xf numFmtId="0" fontId="128" fillId="43" borderId="0"/>
    <xf numFmtId="0" fontId="128" fillId="43" borderId="0"/>
    <xf numFmtId="0" fontId="128" fillId="43" borderId="0"/>
    <xf numFmtId="0" fontId="128" fillId="43" borderId="0"/>
    <xf numFmtId="0" fontId="128" fillId="43" borderId="0"/>
    <xf numFmtId="0" fontId="128" fillId="43" borderId="0"/>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169"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32"/>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0">
      <alignment horizontal="left"/>
    </xf>
    <xf numFmtId="0" fontId="127" fillId="0" borderId="32"/>
    <xf numFmtId="0" fontId="127" fillId="0" borderId="32"/>
    <xf numFmtId="0" fontId="127" fillId="0" borderId="32"/>
    <xf numFmtId="0" fontId="221" fillId="44" borderId="0" applyNumberFormat="0" applyBorder="0" applyAlignment="0" applyProtection="0"/>
    <xf numFmtId="0" fontId="124" fillId="45" borderId="0" applyNumberFormat="0" applyBorder="0" applyAlignment="0" applyProtection="0"/>
    <xf numFmtId="0" fontId="124" fillId="45" borderId="0" applyNumberFormat="0" applyBorder="0" applyAlignment="0" applyProtection="0"/>
    <xf numFmtId="0" fontId="124" fillId="45" borderId="0" applyNumberFormat="0" applyBorder="0" applyAlignment="0" applyProtection="0"/>
    <xf numFmtId="0" fontId="124" fillId="45" borderId="0" applyNumberFormat="0" applyBorder="0" applyAlignment="0" applyProtection="0"/>
    <xf numFmtId="0" fontId="124" fillId="46" borderId="0" applyNumberFormat="0" applyBorder="0" applyAlignment="0" applyProtection="0"/>
    <xf numFmtId="0" fontId="124" fillId="46" borderId="0" applyNumberFormat="0" applyBorder="0" applyAlignment="0" applyProtection="0"/>
    <xf numFmtId="0" fontId="124" fillId="46" borderId="0" applyNumberFormat="0" applyBorder="0" applyAlignment="0" applyProtection="0"/>
    <xf numFmtId="0" fontId="124" fillId="46" borderId="0" applyNumberFormat="0" applyBorder="0" applyAlignment="0" applyProtection="0"/>
    <xf numFmtId="0" fontId="124" fillId="47" borderId="0" applyNumberFormat="0" applyBorder="0" applyAlignment="0" applyProtection="0"/>
    <xf numFmtId="0" fontId="124" fillId="47" borderId="0" applyNumberFormat="0" applyBorder="0" applyAlignment="0" applyProtection="0"/>
    <xf numFmtId="0" fontId="124" fillId="47" borderId="0" applyNumberFormat="0" applyBorder="0" applyAlignment="0" applyProtection="0"/>
    <xf numFmtId="0" fontId="124" fillId="47" borderId="0" applyNumberFormat="0" applyBorder="0" applyAlignment="0" applyProtection="0"/>
    <xf numFmtId="0" fontId="124" fillId="48" borderId="0" applyNumberFormat="0" applyBorder="0" applyAlignment="0" applyProtection="0"/>
    <xf numFmtId="0" fontId="124" fillId="48" borderId="0" applyNumberFormat="0" applyBorder="0" applyAlignment="0" applyProtection="0"/>
    <xf numFmtId="0" fontId="124" fillId="48" borderId="0" applyNumberFormat="0" applyBorder="0" applyAlignment="0" applyProtection="0"/>
    <xf numFmtId="0" fontId="124" fillId="48" borderId="0" applyNumberFormat="0" applyBorder="0" applyAlignment="0" applyProtection="0"/>
    <xf numFmtId="0" fontId="124" fillId="49" borderId="0" applyNumberFormat="0" applyBorder="0" applyAlignment="0" applyProtection="0"/>
    <xf numFmtId="0" fontId="124" fillId="49" borderId="0" applyNumberFormat="0" applyBorder="0" applyAlignment="0" applyProtection="0"/>
    <xf numFmtId="0" fontId="124" fillId="49" borderId="0" applyNumberFormat="0" applyBorder="0" applyAlignment="0" applyProtection="0"/>
    <xf numFmtId="0" fontId="124" fillId="49" borderId="0" applyNumberFormat="0" applyBorder="0" applyAlignment="0" applyProtection="0"/>
    <xf numFmtId="0" fontId="124" fillId="50" borderId="0" applyNumberFormat="0" applyBorder="0" applyAlignment="0" applyProtection="0"/>
    <xf numFmtId="0" fontId="124" fillId="50" borderId="0" applyNumberFormat="0" applyBorder="0" applyAlignment="0" applyProtection="0"/>
    <xf numFmtId="0" fontId="124" fillId="50" borderId="0" applyNumberFormat="0" applyBorder="0" applyAlignment="0" applyProtection="0"/>
    <xf numFmtId="0" fontId="124" fillId="50" borderId="0" applyNumberFormat="0" applyBorder="0" applyAlignment="0" applyProtection="0"/>
    <xf numFmtId="0" fontId="124" fillId="51" borderId="0" applyNumberFormat="0" applyBorder="0" applyAlignment="0" applyProtection="0"/>
    <xf numFmtId="0" fontId="124" fillId="51" borderId="0" applyNumberFormat="0" applyBorder="0" applyAlignment="0" applyProtection="0"/>
    <xf numFmtId="0" fontId="124" fillId="51" borderId="0" applyNumberFormat="0" applyBorder="0" applyAlignment="0" applyProtection="0"/>
    <xf numFmtId="0" fontId="124" fillId="51" borderId="0" applyNumberFormat="0" applyBorder="0" applyAlignment="0" applyProtection="0"/>
    <xf numFmtId="0" fontId="221" fillId="9" borderId="0" applyNumberFormat="0" applyBorder="0" applyAlignment="0" applyProtection="0"/>
    <xf numFmtId="0" fontId="221" fillId="9" borderId="0" applyNumberFormat="0" applyBorder="0" applyAlignment="0" applyProtection="0"/>
    <xf numFmtId="0" fontId="221" fillId="9" borderId="0" applyNumberFormat="0" applyBorder="0" applyAlignment="0" applyProtection="0"/>
    <xf numFmtId="0" fontId="221" fillId="9" borderId="0" applyNumberFormat="0" applyBorder="0" applyAlignment="0" applyProtection="0"/>
    <xf numFmtId="0" fontId="124" fillId="52" borderId="0" applyNumberFormat="0" applyBorder="0" applyAlignment="0" applyProtection="0"/>
    <xf numFmtId="0" fontId="221" fillId="9" borderId="0" applyNumberFormat="0" applyBorder="0" applyAlignment="0" applyProtection="0"/>
    <xf numFmtId="0" fontId="124" fillId="52" borderId="0" applyNumberFormat="0" applyBorder="0" applyAlignment="0" applyProtection="0"/>
    <xf numFmtId="0" fontId="124" fillId="52" borderId="0" applyNumberFormat="0" applyBorder="0" applyAlignment="0" applyProtection="0"/>
    <xf numFmtId="0" fontId="124" fillId="52" borderId="0" applyNumberFormat="0" applyBorder="0" applyAlignment="0" applyProtection="0"/>
    <xf numFmtId="0" fontId="124" fillId="52" borderId="0" applyNumberFormat="0" applyBorder="0" applyAlignment="0" applyProtection="0"/>
    <xf numFmtId="0" fontId="124" fillId="52" borderId="0" applyNumberFormat="0" applyBorder="0" applyAlignment="0" applyProtection="0"/>
    <xf numFmtId="0" fontId="124" fillId="53" borderId="0" applyNumberFormat="0" applyBorder="0" applyAlignment="0" applyProtection="0"/>
    <xf numFmtId="0" fontId="124" fillId="53" borderId="0" applyNumberFormat="0" applyBorder="0" applyAlignment="0" applyProtection="0"/>
    <xf numFmtId="0" fontId="124" fillId="53" borderId="0" applyNumberFormat="0" applyBorder="0" applyAlignment="0" applyProtection="0"/>
    <xf numFmtId="0" fontId="124" fillId="53" borderId="0" applyNumberFormat="0" applyBorder="0" applyAlignment="0" applyProtection="0"/>
    <xf numFmtId="0" fontId="124" fillId="48" borderId="0" applyNumberFormat="0" applyBorder="0" applyAlignment="0" applyProtection="0"/>
    <xf numFmtId="0" fontId="124" fillId="48" borderId="0" applyNumberFormat="0" applyBorder="0" applyAlignment="0" applyProtection="0"/>
    <xf numFmtId="0" fontId="124" fillId="48" borderId="0" applyNumberFormat="0" applyBorder="0" applyAlignment="0" applyProtection="0"/>
    <xf numFmtId="0" fontId="124" fillId="48" borderId="0" applyNumberFormat="0" applyBorder="0" applyAlignment="0" applyProtection="0"/>
    <xf numFmtId="0" fontId="124" fillId="51" borderId="0" applyNumberFormat="0" applyBorder="0" applyAlignment="0" applyProtection="0"/>
    <xf numFmtId="0" fontId="124" fillId="51" borderId="0" applyNumberFormat="0" applyBorder="0" applyAlignment="0" applyProtection="0"/>
    <xf numFmtId="0" fontId="124" fillId="51" borderId="0" applyNumberFormat="0" applyBorder="0" applyAlignment="0" applyProtection="0"/>
    <xf numFmtId="0" fontId="124" fillId="51" borderId="0" applyNumberFormat="0" applyBorder="0" applyAlignment="0" applyProtection="0"/>
    <xf numFmtId="0" fontId="221" fillId="26" borderId="0" applyNumberFormat="0" applyBorder="0" applyAlignment="0" applyProtection="0"/>
    <xf numFmtId="0" fontId="221" fillId="26" borderId="0" applyNumberFormat="0" applyBorder="0" applyAlignment="0" applyProtection="0"/>
    <xf numFmtId="0" fontId="221" fillId="26" borderId="0" applyNumberFormat="0" applyBorder="0" applyAlignment="0" applyProtection="0"/>
    <xf numFmtId="0" fontId="221" fillId="26" borderId="0" applyNumberFormat="0" applyBorder="0" applyAlignment="0" applyProtection="0"/>
    <xf numFmtId="0" fontId="124" fillId="54" borderId="0" applyNumberFormat="0" applyBorder="0" applyAlignment="0" applyProtection="0"/>
    <xf numFmtId="0" fontId="221" fillId="26" borderId="0" applyNumberFormat="0" applyBorder="0" applyAlignment="0" applyProtection="0"/>
    <xf numFmtId="0" fontId="124" fillId="54" borderId="0" applyNumberFormat="0" applyBorder="0" applyAlignment="0" applyProtection="0"/>
    <xf numFmtId="0" fontId="124" fillId="54" borderId="0" applyNumberFormat="0" applyBorder="0" applyAlignment="0" applyProtection="0"/>
    <xf numFmtId="0" fontId="124" fillId="54" borderId="0" applyNumberFormat="0" applyBorder="0" applyAlignment="0" applyProtection="0"/>
    <xf numFmtId="0" fontId="124" fillId="54" borderId="0" applyNumberFormat="0" applyBorder="0" applyAlignment="0" applyProtection="0"/>
    <xf numFmtId="0" fontId="124" fillId="54" borderId="0" applyNumberFormat="0" applyBorder="0" applyAlignment="0" applyProtection="0"/>
    <xf numFmtId="0" fontId="129" fillId="55" borderId="0" applyNumberFormat="0" applyBorder="0" applyAlignment="0" applyProtection="0"/>
    <xf numFmtId="0" fontId="129" fillId="55" borderId="0" applyNumberFormat="0" applyBorder="0" applyAlignment="0" applyProtection="0"/>
    <xf numFmtId="0" fontId="129" fillId="55" borderId="0" applyNumberFormat="0" applyBorder="0" applyAlignment="0" applyProtection="0"/>
    <xf numFmtId="0" fontId="129" fillId="55" borderId="0" applyNumberFormat="0" applyBorder="0" applyAlignment="0" applyProtection="0"/>
    <xf numFmtId="0" fontId="129" fillId="52" borderId="0" applyNumberFormat="0" applyBorder="0" applyAlignment="0" applyProtection="0"/>
    <xf numFmtId="0" fontId="129" fillId="52" borderId="0" applyNumberFormat="0" applyBorder="0" applyAlignment="0" applyProtection="0"/>
    <xf numFmtId="0" fontId="129" fillId="52" borderId="0" applyNumberFormat="0" applyBorder="0" applyAlignment="0" applyProtection="0"/>
    <xf numFmtId="0" fontId="129" fillId="52" borderId="0" applyNumberFormat="0" applyBorder="0" applyAlignment="0" applyProtection="0"/>
    <xf numFmtId="0" fontId="129" fillId="53" borderId="0" applyNumberFormat="0" applyBorder="0" applyAlignment="0" applyProtection="0"/>
    <xf numFmtId="0" fontId="129" fillId="53" borderId="0" applyNumberFormat="0" applyBorder="0" applyAlignment="0" applyProtection="0"/>
    <xf numFmtId="0" fontId="129" fillId="53" borderId="0" applyNumberFormat="0" applyBorder="0" applyAlignment="0" applyProtection="0"/>
    <xf numFmtId="0" fontId="129" fillId="53" borderId="0" applyNumberFormat="0" applyBorder="0" applyAlignment="0" applyProtection="0"/>
    <xf numFmtId="0" fontId="129" fillId="56" borderId="0" applyNumberFormat="0" applyBorder="0" applyAlignment="0" applyProtection="0"/>
    <xf numFmtId="0" fontId="129" fillId="56" borderId="0" applyNumberFormat="0" applyBorder="0" applyAlignment="0" applyProtection="0"/>
    <xf numFmtId="0" fontId="129" fillId="56" borderId="0" applyNumberFormat="0" applyBorder="0" applyAlignment="0" applyProtection="0"/>
    <xf numFmtId="0" fontId="129" fillId="56" borderId="0" applyNumberFormat="0" applyBorder="0" applyAlignment="0" applyProtection="0"/>
    <xf numFmtId="0" fontId="129" fillId="57" borderId="0" applyNumberFormat="0" applyBorder="0" applyAlignment="0" applyProtection="0"/>
    <xf numFmtId="0" fontId="129" fillId="57" borderId="0" applyNumberFormat="0" applyBorder="0" applyAlignment="0" applyProtection="0"/>
    <xf numFmtId="0" fontId="129" fillId="57" borderId="0" applyNumberFormat="0" applyBorder="0" applyAlignment="0" applyProtection="0"/>
    <xf numFmtId="0" fontId="129" fillId="57" borderId="0" applyNumberFormat="0" applyBorder="0" applyAlignment="0" applyProtection="0"/>
    <xf numFmtId="0" fontId="129" fillId="58" borderId="0" applyNumberFormat="0" applyBorder="0" applyAlignment="0" applyProtection="0"/>
    <xf numFmtId="0" fontId="129" fillId="58" borderId="0" applyNumberFormat="0" applyBorder="0" applyAlignment="0" applyProtection="0"/>
    <xf numFmtId="0" fontId="129" fillId="58" borderId="0" applyNumberFormat="0" applyBorder="0" applyAlignment="0" applyProtection="0"/>
    <xf numFmtId="0" fontId="129" fillId="58" borderId="0" applyNumberFormat="0" applyBorder="0" applyAlignment="0" applyProtection="0"/>
    <xf numFmtId="0" fontId="124" fillId="59" borderId="0" applyNumberFormat="0" applyBorder="0" applyAlignment="0" applyProtection="0"/>
    <xf numFmtId="0" fontId="130" fillId="39" borderId="0" applyNumberFormat="0" applyBorder="0" applyAlignment="0" applyProtection="0"/>
    <xf numFmtId="0" fontId="130" fillId="39" borderId="0" applyNumberFormat="0" applyBorder="0" applyAlignment="0" applyProtection="0"/>
    <xf numFmtId="0" fontId="129" fillId="60" borderId="0" applyNumberFormat="0" applyBorder="0" applyAlignment="0" applyProtection="0"/>
    <xf numFmtId="0" fontId="130" fillId="39" borderId="0" applyNumberFormat="0" applyBorder="0" applyAlignment="0" applyProtection="0"/>
    <xf numFmtId="0" fontId="129" fillId="60" borderId="0" applyNumberFormat="0" applyBorder="0" applyAlignment="0" applyProtection="0"/>
    <xf numFmtId="0" fontId="129" fillId="60" borderId="0" applyNumberFormat="0" applyBorder="0" applyAlignment="0" applyProtection="0"/>
    <xf numFmtId="0" fontId="129" fillId="60" borderId="0" applyNumberFormat="0" applyBorder="0" applyAlignment="0" applyProtection="0"/>
    <xf numFmtId="0" fontId="129" fillId="60" borderId="0" applyNumberFormat="0" applyBorder="0" applyAlignment="0" applyProtection="0"/>
    <xf numFmtId="0" fontId="129" fillId="60" borderId="0" applyNumberFormat="0" applyBorder="0" applyAlignment="0" applyProtection="0"/>
    <xf numFmtId="0" fontId="129" fillId="61" borderId="0" applyNumberFormat="0" applyBorder="0" applyAlignment="0" applyProtection="0"/>
    <xf numFmtId="0" fontId="129" fillId="61" borderId="0" applyNumberFormat="0" applyBorder="0" applyAlignment="0" applyProtection="0"/>
    <xf numFmtId="0" fontId="129" fillId="61" borderId="0" applyNumberFormat="0" applyBorder="0" applyAlignment="0" applyProtection="0"/>
    <xf numFmtId="0" fontId="129" fillId="61" borderId="0" applyNumberFormat="0" applyBorder="0" applyAlignment="0" applyProtection="0"/>
    <xf numFmtId="0" fontId="130" fillId="40" borderId="0" applyNumberFormat="0" applyBorder="0" applyAlignment="0" applyProtection="0"/>
    <xf numFmtId="0" fontId="130" fillId="40" borderId="0" applyNumberFormat="0" applyBorder="0" applyAlignment="0" applyProtection="0"/>
    <xf numFmtId="0" fontId="129" fillId="62" borderId="0" applyNumberFormat="0" applyBorder="0" applyAlignment="0" applyProtection="0"/>
    <xf numFmtId="0" fontId="130" fillId="40" borderId="0" applyNumberFormat="0" applyBorder="0" applyAlignment="0" applyProtection="0"/>
    <xf numFmtId="0" fontId="129" fillId="62" borderId="0" applyNumberFormat="0" applyBorder="0" applyAlignment="0" applyProtection="0"/>
    <xf numFmtId="0" fontId="129" fillId="62" borderId="0" applyNumberFormat="0" applyBorder="0" applyAlignment="0" applyProtection="0"/>
    <xf numFmtId="0" fontId="129" fillId="62" borderId="0" applyNumberFormat="0" applyBorder="0" applyAlignment="0" applyProtection="0"/>
    <xf numFmtId="0" fontId="129" fillId="62" borderId="0" applyNumberFormat="0" applyBorder="0" applyAlignment="0" applyProtection="0"/>
    <xf numFmtId="0" fontId="129" fillId="62" borderId="0" applyNumberFormat="0" applyBorder="0" applyAlignment="0" applyProtection="0"/>
    <xf numFmtId="0" fontId="129" fillId="56" borderId="0" applyNumberFormat="0" applyBorder="0" applyAlignment="0" applyProtection="0"/>
    <xf numFmtId="0" fontId="129" fillId="56" borderId="0" applyNumberFormat="0" applyBorder="0" applyAlignment="0" applyProtection="0"/>
    <xf numFmtId="0" fontId="129" fillId="56" borderId="0" applyNumberFormat="0" applyBorder="0" applyAlignment="0" applyProtection="0"/>
    <xf numFmtId="0" fontId="129" fillId="56" borderId="0" applyNumberFormat="0" applyBorder="0" applyAlignment="0" applyProtection="0"/>
    <xf numFmtId="0" fontId="129" fillId="57" borderId="0" applyNumberFormat="0" applyBorder="0" applyAlignment="0" applyProtection="0"/>
    <xf numFmtId="0" fontId="129" fillId="57" borderId="0" applyNumberFormat="0" applyBorder="0" applyAlignment="0" applyProtection="0"/>
    <xf numFmtId="0" fontId="129" fillId="57" borderId="0" applyNumberFormat="0" applyBorder="0" applyAlignment="0" applyProtection="0"/>
    <xf numFmtId="0" fontId="129" fillId="57" borderId="0" applyNumberFormat="0" applyBorder="0" applyAlignment="0" applyProtection="0"/>
    <xf numFmtId="0" fontId="129" fillId="63" borderId="0" applyNumberFormat="0" applyBorder="0" applyAlignment="0" applyProtection="0"/>
    <xf numFmtId="0" fontId="129" fillId="63" borderId="0" applyNumberFormat="0" applyBorder="0" applyAlignment="0" applyProtection="0"/>
    <xf numFmtId="0" fontId="129" fillId="63" borderId="0" applyNumberFormat="0" applyBorder="0" applyAlignment="0" applyProtection="0"/>
    <xf numFmtId="0" fontId="129" fillId="63" borderId="0" applyNumberFormat="0" applyBorder="0" applyAlignment="0" applyProtection="0"/>
    <xf numFmtId="0" fontId="131" fillId="46" borderId="0" applyNumberFormat="0" applyBorder="0" applyAlignment="0" applyProtection="0"/>
    <xf numFmtId="0" fontId="131" fillId="46" borderId="0" applyNumberFormat="0" applyBorder="0" applyAlignment="0" applyProtection="0"/>
    <xf numFmtId="0" fontId="131" fillId="46" borderId="0" applyNumberFormat="0" applyBorder="0" applyAlignment="0" applyProtection="0"/>
    <xf numFmtId="0" fontId="131" fillId="46" borderId="0" applyNumberFormat="0" applyBorder="0" applyAlignment="0" applyProtection="0"/>
    <xf numFmtId="0" fontId="132" fillId="0" borderId="0" applyNumberFormat="0" applyFill="0" applyBorder="0" applyAlignment="0" applyProtection="0"/>
    <xf numFmtId="0" fontId="62" fillId="0" borderId="10" applyNumberFormat="0" applyFill="0" applyAlignment="0" applyProtection="0"/>
    <xf numFmtId="0" fontId="133" fillId="0" borderId="0"/>
    <xf numFmtId="1" fontId="118" fillId="0" borderId="18" applyNumberFormat="0" applyFont="0" applyAlignment="0"/>
    <xf numFmtId="173" fontId="61" fillId="0" borderId="0" applyFont="0" applyFill="0" applyBorder="0" applyAlignment="0" applyProtection="0"/>
    <xf numFmtId="0" fontId="114" fillId="0" borderId="0" applyFill="0" applyBorder="0" applyAlignment="0"/>
    <xf numFmtId="174" fontId="114" fillId="0" borderId="0" applyFill="0" applyBorder="0" applyAlignment="0"/>
    <xf numFmtId="175" fontId="134" fillId="0" borderId="0" applyFill="0" applyBorder="0" applyAlignment="0"/>
    <xf numFmtId="176" fontId="94" fillId="0" borderId="0" applyFill="0" applyBorder="0" applyAlignment="0"/>
    <xf numFmtId="0" fontId="114" fillId="0" borderId="0" applyFill="0" applyBorder="0" applyAlignment="0"/>
    <xf numFmtId="169" fontId="114" fillId="0" borderId="0" applyFill="0" applyBorder="0" applyAlignment="0"/>
    <xf numFmtId="169" fontId="114" fillId="0" borderId="0" applyFill="0" applyBorder="0" applyAlignment="0"/>
    <xf numFmtId="169" fontId="114" fillId="0" borderId="0" applyFill="0" applyBorder="0" applyAlignment="0"/>
    <xf numFmtId="169" fontId="114" fillId="0" borderId="0" applyFill="0" applyBorder="0" applyAlignment="0"/>
    <xf numFmtId="169" fontId="114" fillId="0" borderId="0" applyFill="0" applyBorder="0" applyAlignment="0"/>
    <xf numFmtId="177" fontId="114" fillId="0" borderId="0" applyFill="0" applyBorder="0" applyAlignment="0"/>
    <xf numFmtId="178" fontId="135" fillId="0" borderId="0" applyFill="0" applyBorder="0" applyAlignment="0"/>
    <xf numFmtId="174" fontId="114" fillId="0" borderId="0" applyFill="0" applyBorder="0" applyAlignment="0"/>
    <xf numFmtId="0" fontId="114" fillId="0" borderId="0" applyFill="0" applyBorder="0" applyAlignment="0"/>
    <xf numFmtId="169" fontId="114" fillId="0" borderId="0" applyFill="0" applyBorder="0" applyAlignment="0"/>
    <xf numFmtId="169" fontId="114" fillId="0" borderId="0" applyFill="0" applyBorder="0" applyAlignment="0"/>
    <xf numFmtId="169" fontId="114" fillId="0" borderId="0" applyFill="0" applyBorder="0" applyAlignment="0"/>
    <xf numFmtId="169" fontId="114" fillId="0" borderId="0" applyFill="0" applyBorder="0" applyAlignment="0"/>
    <xf numFmtId="169" fontId="114" fillId="0" borderId="0" applyFill="0" applyBorder="0" applyAlignment="0"/>
    <xf numFmtId="179" fontId="94" fillId="0" borderId="0" applyFill="0" applyBorder="0" applyAlignment="0"/>
    <xf numFmtId="180" fontId="114" fillId="0" borderId="0" applyFill="0" applyBorder="0" applyAlignment="0"/>
    <xf numFmtId="180" fontId="114" fillId="0" borderId="0" applyFill="0" applyBorder="0" applyAlignment="0"/>
    <xf numFmtId="180" fontId="114" fillId="0" borderId="0" applyFill="0" applyBorder="0" applyAlignment="0"/>
    <xf numFmtId="180" fontId="114" fillId="0" borderId="0" applyFill="0" applyBorder="0" applyAlignment="0"/>
    <xf numFmtId="180" fontId="114" fillId="0" borderId="0" applyFill="0" applyBorder="0" applyAlignment="0"/>
    <xf numFmtId="180" fontId="114" fillId="0" borderId="0" applyFill="0" applyBorder="0" applyAlignment="0"/>
    <xf numFmtId="181" fontId="94" fillId="0" borderId="0" applyFill="0" applyBorder="0" applyAlignment="0"/>
    <xf numFmtId="182" fontId="114" fillId="0" borderId="0" applyFill="0" applyBorder="0" applyAlignment="0"/>
    <xf numFmtId="182" fontId="114" fillId="0" borderId="0" applyFill="0" applyBorder="0" applyAlignment="0"/>
    <xf numFmtId="182" fontId="114" fillId="0" borderId="0" applyFill="0" applyBorder="0" applyAlignment="0"/>
    <xf numFmtId="182" fontId="114" fillId="0" borderId="0" applyFill="0" applyBorder="0" applyAlignment="0"/>
    <xf numFmtId="182" fontId="114" fillId="0" borderId="0" applyFill="0" applyBorder="0" applyAlignment="0"/>
    <xf numFmtId="182" fontId="114" fillId="0" borderId="0" applyFill="0" applyBorder="0" applyAlignment="0"/>
    <xf numFmtId="183" fontId="94" fillId="0" borderId="0" applyFill="0" applyBorder="0" applyAlignment="0"/>
    <xf numFmtId="175" fontId="134" fillId="0" borderId="0" applyFill="0" applyBorder="0" applyAlignment="0"/>
    <xf numFmtId="176" fontId="94" fillId="0" borderId="0" applyFill="0" applyBorder="0" applyAlignment="0"/>
    <xf numFmtId="0" fontId="136" fillId="42" borderId="66" applyNumberFormat="0" applyAlignment="0" applyProtection="0"/>
    <xf numFmtId="0" fontId="136" fillId="42" borderId="66" applyNumberFormat="0" applyAlignment="0" applyProtection="0"/>
    <xf numFmtId="0" fontId="136" fillId="42" borderId="66" applyNumberFormat="0" applyAlignment="0" applyProtection="0"/>
    <xf numFmtId="0" fontId="136" fillId="42" borderId="66" applyNumberFormat="0" applyAlignment="0" applyProtection="0"/>
    <xf numFmtId="0" fontId="136" fillId="42" borderId="66" applyNumberFormat="0" applyAlignment="0" applyProtection="0"/>
    <xf numFmtId="0" fontId="136" fillId="42" borderId="66" applyNumberFormat="0" applyAlignment="0" applyProtection="0"/>
    <xf numFmtId="0" fontId="136" fillId="42" borderId="66" applyNumberFormat="0" applyAlignment="0" applyProtection="0"/>
    <xf numFmtId="0" fontId="136" fillId="42" borderId="66" applyNumberFormat="0" applyAlignment="0" applyProtection="0"/>
    <xf numFmtId="0" fontId="136" fillId="42" borderId="66" applyNumberFormat="0" applyAlignment="0" applyProtection="0"/>
    <xf numFmtId="0" fontId="136" fillId="42" borderId="66" applyNumberFormat="0" applyAlignment="0" applyProtection="0"/>
    <xf numFmtId="0" fontId="136" fillId="42" borderId="66" applyNumberFormat="0" applyAlignment="0" applyProtection="0"/>
    <xf numFmtId="0" fontId="136" fillId="42" borderId="66" applyNumberFormat="0" applyAlignment="0" applyProtection="0"/>
    <xf numFmtId="0" fontId="137" fillId="0" borderId="0"/>
    <xf numFmtId="0" fontId="138" fillId="64" borderId="67" applyNumberFormat="0" applyAlignment="0" applyProtection="0"/>
    <xf numFmtId="0" fontId="138" fillId="64" borderId="67" applyNumberFormat="0" applyAlignment="0" applyProtection="0"/>
    <xf numFmtId="0" fontId="138" fillId="64" borderId="67" applyNumberFormat="0" applyAlignment="0" applyProtection="0"/>
    <xf numFmtId="0" fontId="138" fillId="64" borderId="67" applyNumberFormat="0" applyAlignment="0" applyProtection="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184" fontId="114" fillId="0" borderId="0" applyFont="0" applyFill="0" applyBorder="0" applyAlignment="0" applyProtection="0"/>
    <xf numFmtId="184" fontId="114" fillId="0" borderId="0" applyFont="0" applyFill="0" applyBorder="0" applyAlignment="0" applyProtection="0"/>
    <xf numFmtId="184" fontId="114" fillId="0" borderId="0" applyFont="0" applyFill="0" applyBorder="0" applyAlignment="0" applyProtection="0"/>
    <xf numFmtId="184" fontId="114" fillId="0" borderId="0" applyFont="0" applyFill="0" applyBorder="0" applyAlignment="0" applyProtection="0"/>
    <xf numFmtId="184" fontId="114" fillId="0" borderId="0" applyFont="0" applyFill="0" applyBorder="0" applyAlignment="0" applyProtection="0"/>
    <xf numFmtId="184" fontId="114" fillId="0" borderId="0" applyFont="0" applyFill="0" applyBorder="0" applyAlignment="0" applyProtection="0"/>
    <xf numFmtId="184" fontId="114" fillId="0" borderId="0" applyFont="0" applyFill="0" applyBorder="0" applyAlignment="0" applyProtection="0"/>
    <xf numFmtId="184" fontId="114" fillId="0" borderId="0" applyFont="0" applyFill="0" applyBorder="0" applyAlignment="0" applyProtection="0"/>
    <xf numFmtId="184" fontId="114" fillId="0" borderId="0" applyFont="0" applyFill="0" applyBorder="0" applyAlignment="0" applyProtection="0"/>
    <xf numFmtId="184" fontId="114" fillId="0" borderId="0" applyFont="0" applyFill="0" applyBorder="0" applyAlignment="0" applyProtection="0"/>
    <xf numFmtId="184" fontId="114" fillId="0" borderId="0" applyFont="0" applyFill="0" applyBorder="0" applyAlignment="0" applyProtection="0"/>
    <xf numFmtId="184" fontId="27" fillId="0" borderId="0" applyFont="0" applyFill="0" applyBorder="0" applyAlignment="0" applyProtection="0"/>
    <xf numFmtId="184" fontId="114" fillId="0" borderId="0" applyFont="0" applyFill="0" applyBorder="0" applyAlignment="0" applyProtection="0"/>
    <xf numFmtId="184" fontId="27" fillId="0" borderId="0" applyFont="0" applyFill="0" applyBorder="0" applyAlignment="0" applyProtection="0"/>
    <xf numFmtId="184" fontId="114" fillId="0" borderId="0" applyFont="0" applyFill="0" applyBorder="0" applyAlignment="0" applyProtection="0"/>
    <xf numFmtId="184" fontId="114" fillId="0" borderId="0" applyFont="0" applyFill="0" applyBorder="0" applyAlignment="0" applyProtection="0"/>
    <xf numFmtId="184" fontId="41" fillId="0" borderId="0" applyFont="0" applyFill="0" applyBorder="0" applyAlignment="0" applyProtection="0"/>
    <xf numFmtId="184" fontId="124" fillId="0" borderId="0" applyFont="0" applyFill="0" applyBorder="0" applyAlignment="0" applyProtection="0"/>
    <xf numFmtId="184" fontId="140" fillId="0" borderId="0" applyFont="0" applyFill="0" applyBorder="0" applyAlignment="0" applyProtection="0"/>
    <xf numFmtId="184" fontId="141" fillId="0" borderId="0" applyFont="0" applyFill="0" applyBorder="0" applyAlignment="0" applyProtection="0"/>
    <xf numFmtId="180" fontId="114" fillId="0" borderId="0" applyFont="0" applyFill="0" applyBorder="0" applyAlignment="0" applyProtection="0"/>
    <xf numFmtId="180" fontId="114" fillId="0" borderId="0" applyFont="0" applyFill="0" applyBorder="0" applyAlignment="0" applyProtection="0"/>
    <xf numFmtId="180" fontId="114" fillId="0" borderId="0" applyFont="0" applyFill="0" applyBorder="0" applyAlignment="0" applyProtection="0"/>
    <xf numFmtId="180" fontId="114" fillId="0" borderId="0" applyFont="0" applyFill="0" applyBorder="0" applyAlignment="0" applyProtection="0"/>
    <xf numFmtId="180" fontId="114" fillId="0" borderId="0" applyFont="0" applyFill="0" applyBorder="0" applyAlignment="0" applyProtection="0"/>
    <xf numFmtId="180" fontId="114" fillId="0" borderId="0" applyFont="0" applyFill="0" applyBorder="0" applyAlignment="0" applyProtection="0"/>
    <xf numFmtId="181" fontId="114" fillId="0" borderId="0" applyFont="0" applyFill="0" applyBorder="0" applyAlignment="0" applyProtection="0"/>
    <xf numFmtId="0" fontId="114" fillId="0" borderId="0">
      <alignment vertical="center"/>
    </xf>
    <xf numFmtId="0" fontId="114" fillId="0" borderId="0">
      <alignment vertical="center"/>
    </xf>
    <xf numFmtId="0" fontId="114" fillId="0" borderId="0">
      <alignment vertical="center"/>
    </xf>
    <xf numFmtId="0" fontId="114" fillId="0" borderId="0">
      <alignment vertical="center"/>
    </xf>
    <xf numFmtId="0" fontId="114" fillId="0" borderId="0">
      <alignment vertical="center"/>
    </xf>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42" fillId="0" borderId="0" applyFont="0" applyFill="0" applyBorder="0" applyAlignment="0" applyProtection="0"/>
    <xf numFmtId="164" fontId="12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41" fontId="124" fillId="0" borderId="0" applyFont="0" applyFill="0" applyBorder="0" applyAlignment="0" applyProtection="0"/>
    <xf numFmtId="164" fontId="124" fillId="0" borderId="0" applyFont="0" applyFill="0" applyBorder="0" applyAlignment="0" applyProtection="0"/>
    <xf numFmtId="164" fontId="114" fillId="0" borderId="0" applyFont="0" applyFill="0" applyBorder="0" applyAlignment="0" applyProtection="0"/>
    <xf numFmtId="164" fontId="12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41" fontId="124" fillId="0" borderId="0" applyFont="0" applyFill="0" applyBorder="0" applyAlignment="0" applyProtection="0"/>
    <xf numFmtId="164" fontId="114" fillId="0" borderId="0" applyFont="0" applyFill="0" applyBorder="0" applyAlignment="0" applyProtection="0"/>
    <xf numFmtId="41" fontId="12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41" fontId="124" fillId="0" borderId="0" applyFont="0" applyFill="0" applyBorder="0" applyAlignment="0" applyProtection="0"/>
    <xf numFmtId="164" fontId="114" fillId="0" borderId="0" applyFont="0" applyFill="0" applyBorder="0" applyAlignment="0" applyProtection="0"/>
    <xf numFmtId="41" fontId="12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221"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85"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41"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2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41" fillId="0" borderId="0" applyFont="0" applyFill="0" applyBorder="0" applyAlignment="0" applyProtection="0"/>
    <xf numFmtId="164" fontId="114" fillId="0" borderId="0" applyFont="0" applyFill="0" applyBorder="0" applyAlignment="0" applyProtection="0"/>
    <xf numFmtId="164" fontId="141" fillId="0" borderId="0" applyFont="0" applyFill="0" applyBorder="0" applyAlignment="0" applyProtection="0"/>
    <xf numFmtId="43" fontId="221"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221" fillId="0" borderId="0" applyFont="0" applyFill="0" applyBorder="0" applyAlignment="0" applyProtection="0"/>
    <xf numFmtId="164" fontId="114" fillId="0" borderId="0" applyFont="0" applyFill="0" applyBorder="0" applyAlignment="0" applyProtection="0"/>
    <xf numFmtId="186" fontId="114" fillId="0" borderId="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86" fontId="114" fillId="0" borderId="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2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2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86" fontId="114" fillId="0" borderId="0" applyFill="0" applyBorder="0" applyAlignment="0" applyProtection="0"/>
    <xf numFmtId="164" fontId="114" fillId="0" borderId="0" applyFont="0" applyFill="0" applyBorder="0" applyAlignment="0" applyProtection="0"/>
    <xf numFmtId="164" fontId="12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2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41"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94" fillId="0" borderId="0" applyFont="0" applyFill="0" applyBorder="0" applyAlignment="0" applyProtection="0">
      <alignment vertical="top"/>
    </xf>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2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0" fontId="114" fillId="0" borderId="0" applyFont="0" applyFill="0" applyBorder="0" applyAlignment="0" applyProtection="0"/>
    <xf numFmtId="164" fontId="221" fillId="0" borderId="0" applyFont="0" applyFill="0" applyBorder="0" applyAlignment="0" applyProtection="0"/>
    <xf numFmtId="164" fontId="221" fillId="0" borderId="0" applyFont="0" applyFill="0" applyBorder="0" applyAlignment="0" applyProtection="0"/>
    <xf numFmtId="164" fontId="221" fillId="0" borderId="0" applyFont="0" applyFill="0" applyBorder="0" applyAlignment="0" applyProtection="0"/>
    <xf numFmtId="164" fontId="221" fillId="0" borderId="0" applyFont="0" applyFill="0" applyBorder="0" applyAlignment="0" applyProtection="0"/>
    <xf numFmtId="164" fontId="221" fillId="0" borderId="0" applyFont="0" applyFill="0" applyBorder="0" applyAlignment="0" applyProtection="0"/>
    <xf numFmtId="164" fontId="221" fillId="0" borderId="0" applyFont="0" applyFill="0" applyBorder="0" applyAlignment="0" applyProtection="0"/>
    <xf numFmtId="164" fontId="221" fillId="0" borderId="0" applyFont="0" applyFill="0" applyBorder="0" applyAlignment="0" applyProtection="0"/>
    <xf numFmtId="164" fontId="221" fillId="0" borderId="0" applyFont="0" applyFill="0" applyBorder="0" applyAlignment="0" applyProtection="0"/>
    <xf numFmtId="164" fontId="221" fillId="0" borderId="0" applyFont="0" applyFill="0" applyBorder="0" applyAlignment="0" applyProtection="0"/>
    <xf numFmtId="164" fontId="221" fillId="0" borderId="0" applyFont="0" applyFill="0" applyBorder="0" applyAlignment="0" applyProtection="0"/>
    <xf numFmtId="164" fontId="221" fillId="0" borderId="0" applyFont="0" applyFill="0" applyBorder="0" applyAlignment="0" applyProtection="0"/>
    <xf numFmtId="164" fontId="221" fillId="0" borderId="0" applyFont="0" applyFill="0" applyBorder="0" applyAlignment="0" applyProtection="0"/>
    <xf numFmtId="164" fontId="221" fillId="0" borderId="0" applyFont="0" applyFill="0" applyBorder="0" applyAlignment="0" applyProtection="0"/>
    <xf numFmtId="164" fontId="114" fillId="0" borderId="0" applyFont="0" applyFill="0" applyBorder="0" applyAlignment="0" applyProtection="0"/>
    <xf numFmtId="164" fontId="221" fillId="0" borderId="0" applyFont="0" applyFill="0" applyBorder="0" applyAlignment="0" applyProtection="0"/>
    <xf numFmtId="164" fontId="221" fillId="0" borderId="0" applyFont="0" applyFill="0" applyBorder="0" applyAlignment="0" applyProtection="0"/>
    <xf numFmtId="164" fontId="221" fillId="0" borderId="0" applyFont="0" applyFill="0" applyBorder="0" applyAlignment="0" applyProtection="0"/>
    <xf numFmtId="164" fontId="221" fillId="0" borderId="0" applyFont="0" applyFill="0" applyBorder="0" applyAlignment="0" applyProtection="0"/>
    <xf numFmtId="164" fontId="221" fillId="0" borderId="0" applyFont="0" applyFill="0" applyBorder="0" applyAlignment="0" applyProtection="0"/>
    <xf numFmtId="164" fontId="221" fillId="0" borderId="0" applyFont="0" applyFill="0" applyBorder="0" applyAlignment="0" applyProtection="0"/>
    <xf numFmtId="164" fontId="221" fillId="0" borderId="0" applyFont="0" applyFill="0" applyBorder="0" applyAlignment="0" applyProtection="0"/>
    <xf numFmtId="164" fontId="221" fillId="0" borderId="0" applyFont="0" applyFill="0" applyBorder="0" applyAlignment="0" applyProtection="0"/>
    <xf numFmtId="164" fontId="221" fillId="0" borderId="0" applyFont="0" applyFill="0" applyBorder="0" applyAlignment="0" applyProtection="0"/>
    <xf numFmtId="164" fontId="221" fillId="0" borderId="0" applyFont="0" applyFill="0" applyBorder="0" applyAlignment="0" applyProtection="0"/>
    <xf numFmtId="164" fontId="221" fillId="0" borderId="0" applyFont="0" applyFill="0" applyBorder="0" applyAlignment="0" applyProtection="0"/>
    <xf numFmtId="164" fontId="27"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0" fontId="114" fillId="0" borderId="0" applyFont="0" applyFill="0" applyBorder="0" applyAlignment="0" applyProtection="0"/>
    <xf numFmtId="0" fontId="114" fillId="0" borderId="0" applyFont="0" applyFill="0" applyBorder="0" applyAlignment="0" applyProtection="0"/>
    <xf numFmtId="0" fontId="114" fillId="0" borderId="0" applyFont="0" applyFill="0" applyBorder="0" applyAlignment="0" applyProtection="0"/>
    <xf numFmtId="164" fontId="221" fillId="0" borderId="0" applyFont="0" applyFill="0" applyBorder="0" applyAlignment="0" applyProtection="0"/>
    <xf numFmtId="164" fontId="124" fillId="0" borderId="0" applyFont="0" applyFill="0" applyBorder="0" applyAlignment="0" applyProtection="0"/>
    <xf numFmtId="164" fontId="114" fillId="0" borderId="0" applyFont="0" applyFill="0" applyBorder="0" applyAlignment="0" applyProtection="0"/>
    <xf numFmtId="164" fontId="62" fillId="0" borderId="0" applyFont="0" applyFill="0" applyBorder="0" applyAlignment="0" applyProtection="0"/>
    <xf numFmtId="164" fontId="124" fillId="0" borderId="0" applyFont="0" applyFill="0" applyBorder="0" applyAlignment="0" applyProtection="0"/>
    <xf numFmtId="164" fontId="114" fillId="0" borderId="0" applyFont="0" applyFill="0" applyBorder="0" applyAlignment="0" applyProtection="0"/>
    <xf numFmtId="186" fontId="221" fillId="0" borderId="0" applyFont="0" applyFill="0" applyBorder="0" applyAlignment="0" applyProtection="0"/>
    <xf numFmtId="164" fontId="124" fillId="0" borderId="0" applyFont="0" applyFill="0" applyBorder="0" applyAlignment="0" applyProtection="0"/>
    <xf numFmtId="164" fontId="221"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24" fillId="0" borderId="0" applyFont="0" applyFill="0" applyBorder="0" applyAlignment="0" applyProtection="0"/>
    <xf numFmtId="164" fontId="221"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94" fillId="0" borderId="0" applyFont="0" applyFill="0" applyBorder="0" applyAlignment="0" applyProtection="0">
      <alignment vertical="top"/>
    </xf>
    <xf numFmtId="164" fontId="114" fillId="0" borderId="0" applyFont="0" applyFill="0" applyBorder="0" applyAlignment="0" applyProtection="0"/>
    <xf numFmtId="164" fontId="114" fillId="0" borderId="0" applyFont="0" applyFill="0" applyBorder="0" applyAlignment="0" applyProtection="0"/>
    <xf numFmtId="0" fontId="114" fillId="0" borderId="0" applyFont="0" applyFill="0" applyBorder="0" applyAlignment="0" applyProtection="0"/>
    <xf numFmtId="164" fontId="114" fillId="0" borderId="0" applyFont="0" applyFill="0" applyBorder="0" applyAlignment="0" applyProtection="0"/>
    <xf numFmtId="0"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24" fillId="0" borderId="0" applyFont="0" applyFill="0" applyBorder="0" applyAlignment="0" applyProtection="0"/>
    <xf numFmtId="164" fontId="114" fillId="0" borderId="0" applyFont="0" applyFill="0" applyBorder="0" applyAlignment="0" applyProtection="0"/>
    <xf numFmtId="164" fontId="12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0" fontId="114" fillId="0" borderId="0" applyFont="0" applyFill="0" applyBorder="0" applyAlignment="0" applyProtection="0"/>
    <xf numFmtId="164" fontId="27" fillId="0" borderId="0" applyFont="0" applyFill="0" applyBorder="0" applyAlignment="0" applyProtection="0"/>
    <xf numFmtId="164" fontId="221"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221"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221" fillId="0" borderId="0" applyFont="0" applyFill="0" applyBorder="0" applyAlignment="0" applyProtection="0"/>
    <xf numFmtId="164" fontId="114" fillId="0" borderId="0" applyFont="0" applyFill="0" applyBorder="0" applyAlignment="0" applyProtection="0"/>
    <xf numFmtId="164" fontId="221" fillId="0" borderId="0" applyFont="0" applyFill="0" applyBorder="0" applyAlignment="0" applyProtection="0"/>
    <xf numFmtId="164" fontId="143" fillId="0" borderId="0" applyFont="0" applyFill="0" applyBorder="0" applyAlignment="0" applyProtection="0"/>
    <xf numFmtId="164" fontId="27"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61" fillId="0" borderId="0" applyFont="0" applyFill="0" applyBorder="0" applyAlignment="0" applyProtection="0"/>
    <xf numFmtId="164" fontId="114" fillId="0" borderId="0" applyFont="0" applyFill="0" applyBorder="0" applyAlignment="0" applyProtection="0"/>
    <xf numFmtId="164" fontId="61"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61"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4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24" fillId="0" borderId="0" applyFont="0" applyFill="0" applyBorder="0" applyAlignment="0" applyProtection="0"/>
    <xf numFmtId="164" fontId="114" fillId="0" borderId="0" applyFont="0" applyFill="0" applyBorder="0" applyAlignment="0" applyProtection="0"/>
    <xf numFmtId="164" fontId="12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2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27" fillId="0" borderId="0" applyFont="0" applyFill="0" applyBorder="0" applyAlignment="0" applyProtection="0"/>
    <xf numFmtId="164" fontId="221"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0" fontId="124" fillId="0" borderId="0" applyFont="0" applyFill="0" applyBorder="0" applyAlignment="0" applyProtection="0"/>
    <xf numFmtId="164" fontId="114" fillId="0" borderId="0" applyFont="0" applyFill="0" applyBorder="0" applyAlignment="0" applyProtection="0"/>
    <xf numFmtId="0" fontId="12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78" fontId="124" fillId="0" borderId="0" applyFont="0" applyFill="0" applyBorder="0" applyAlignment="0" applyProtection="0"/>
    <xf numFmtId="187" fontId="12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2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24" fillId="0" borderId="0" applyFont="0" applyFill="0" applyBorder="0" applyAlignment="0" applyProtection="0"/>
    <xf numFmtId="164" fontId="114" fillId="0" borderId="0" applyFont="0" applyFill="0" applyBorder="0" applyAlignment="0" applyProtection="0"/>
    <xf numFmtId="0"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45"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0"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0"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0"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0"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0"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27"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0" fontId="114" fillId="0" borderId="0" applyFont="0" applyFill="0" applyBorder="0" applyAlignment="0" applyProtection="0"/>
    <xf numFmtId="164" fontId="114" fillId="0" borderId="0" applyFont="0" applyFill="0" applyBorder="0" applyAlignment="0" applyProtection="0"/>
    <xf numFmtId="0"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46" fillId="0" borderId="0" applyFont="0" applyFill="0" applyBorder="0" applyAlignment="0" applyProtection="0"/>
    <xf numFmtId="0" fontId="114" fillId="0" borderId="0" applyFont="0" applyFill="0" applyBorder="0" applyAlignment="0" applyProtection="0"/>
    <xf numFmtId="164" fontId="114" fillId="0" borderId="0" applyFont="0" applyFill="0" applyBorder="0" applyAlignment="0" applyProtection="0"/>
    <xf numFmtId="164" fontId="146"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46"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84" fontId="114" fillId="0" borderId="0" applyFont="0" applyFill="0" applyBorder="0" applyAlignment="0" applyProtection="0"/>
    <xf numFmtId="0" fontId="27" fillId="0" borderId="12" applyNumberFormat="0" applyFont="0" applyBorder="0" applyAlignment="0"/>
    <xf numFmtId="164" fontId="114" fillId="0" borderId="0" applyFont="0" applyFill="0" applyBorder="0" applyAlignment="0" applyProtection="0"/>
    <xf numFmtId="0" fontId="147" fillId="0" borderId="0" applyNumberFormat="0" applyFill="0" applyBorder="0" applyAlignment="0" applyProtection="0"/>
    <xf numFmtId="188" fontId="148" fillId="0" borderId="0">
      <protection locked="0"/>
    </xf>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64" fontId="114" fillId="0" borderId="0" applyFont="0" applyFill="0" applyBorder="0" applyAlignment="0" applyProtection="0"/>
    <xf numFmtId="189" fontId="149" fillId="0" borderId="0" applyFill="0" applyBorder="0">
      <alignment horizontal="left"/>
    </xf>
    <xf numFmtId="175" fontId="134" fillId="0" borderId="0" applyFont="0" applyFill="0" applyBorder="0" applyAlignment="0" applyProtection="0"/>
    <xf numFmtId="176" fontId="114" fillId="0" borderId="0" applyFont="0" applyFill="0" applyBorder="0" applyAlignment="0" applyProtection="0"/>
    <xf numFmtId="190" fontId="114" fillId="0" borderId="0" applyFont="0" applyFill="0" applyBorder="0" applyAlignment="0" applyProtection="0"/>
    <xf numFmtId="0" fontId="114" fillId="0" borderId="0" applyNumberFormat="0" applyFill="0" applyBorder="0" applyAlignment="0" applyProtection="0"/>
    <xf numFmtId="190" fontId="114" fillId="0" borderId="0" applyFont="0" applyFill="0" applyBorder="0" applyAlignment="0" applyProtection="0"/>
    <xf numFmtId="190" fontId="141" fillId="0" borderId="0" applyFont="0" applyFill="0" applyBorder="0" applyAlignment="0" applyProtection="0"/>
    <xf numFmtId="0" fontId="147" fillId="0" borderId="0" applyNumberFormat="0" applyFill="0" applyBorder="0" applyAlignment="0" applyProtection="0"/>
    <xf numFmtId="188" fontId="148" fillId="0" borderId="0">
      <protection locked="0"/>
    </xf>
    <xf numFmtId="0" fontId="139" fillId="0" borderId="0"/>
    <xf numFmtId="175" fontId="114" fillId="0" borderId="0"/>
    <xf numFmtId="0" fontId="114" fillId="0" borderId="0"/>
    <xf numFmtId="189" fontId="114" fillId="0" borderId="0"/>
    <xf numFmtId="189" fontId="114" fillId="0" borderId="0"/>
    <xf numFmtId="191" fontId="114" fillId="0" borderId="0"/>
    <xf numFmtId="191" fontId="114" fillId="0" borderId="0"/>
    <xf numFmtId="191" fontId="114" fillId="0" borderId="0"/>
    <xf numFmtId="191" fontId="114" fillId="0" borderId="0"/>
    <xf numFmtId="191" fontId="114" fillId="0" borderId="0"/>
    <xf numFmtId="191" fontId="114" fillId="0" borderId="0"/>
    <xf numFmtId="192" fontId="114" fillId="0" borderId="0"/>
    <xf numFmtId="169" fontId="114" fillId="0" borderId="0"/>
    <xf numFmtId="169" fontId="114" fillId="0" borderId="0"/>
    <xf numFmtId="186" fontId="114" fillId="0" borderId="0"/>
    <xf numFmtId="0" fontId="139" fillId="0" borderId="0"/>
    <xf numFmtId="189" fontId="114" fillId="0" borderId="0"/>
    <xf numFmtId="193" fontId="61" fillId="0" borderId="0" applyFont="0" applyFill="0" applyBorder="0" applyAlignment="0" applyProtection="0"/>
    <xf numFmtId="0" fontId="139" fillId="0" borderId="68"/>
    <xf numFmtId="188" fontId="148" fillId="0" borderId="0">
      <protection locked="0"/>
    </xf>
    <xf numFmtId="14" fontId="94" fillId="0" borderId="0" applyFill="0" applyBorder="0" applyAlignment="0"/>
    <xf numFmtId="14" fontId="94" fillId="0" borderId="0" applyFill="0" applyBorder="0" applyAlignment="0"/>
    <xf numFmtId="188" fontId="148" fillId="0" borderId="0">
      <protection locked="0"/>
    </xf>
    <xf numFmtId="190" fontId="114" fillId="0" borderId="0" applyFont="0" applyFill="0" applyBorder="0" applyAlignment="0" applyProtection="0"/>
    <xf numFmtId="194" fontId="114" fillId="0" borderId="0" applyFont="0" applyFill="0" applyBorder="0" applyAlignment="0" applyProtection="0"/>
    <xf numFmtId="195" fontId="27" fillId="0" borderId="0"/>
    <xf numFmtId="41" fontId="114" fillId="0" borderId="0" applyFont="0" applyFill="0" applyBorder="0" applyAlignment="0" applyProtection="0"/>
    <xf numFmtId="43" fontId="114" fillId="0" borderId="0" applyFont="0" applyFill="0" applyBorder="0" applyAlignment="0" applyProtection="0"/>
    <xf numFmtId="180" fontId="114" fillId="0" borderId="0" applyFill="0" applyBorder="0" applyAlignment="0"/>
    <xf numFmtId="180" fontId="114" fillId="0" borderId="0" applyFill="0" applyBorder="0" applyAlignment="0"/>
    <xf numFmtId="180" fontId="114" fillId="0" borderId="0" applyFill="0" applyBorder="0" applyAlignment="0"/>
    <xf numFmtId="180" fontId="114" fillId="0" borderId="0" applyFill="0" applyBorder="0" applyAlignment="0"/>
    <xf numFmtId="180" fontId="114" fillId="0" borderId="0" applyFill="0" applyBorder="0" applyAlignment="0"/>
    <xf numFmtId="180" fontId="114" fillId="0" borderId="0" applyFill="0" applyBorder="0" applyAlignment="0"/>
    <xf numFmtId="174" fontId="114" fillId="0" borderId="0" applyFill="0" applyBorder="0" applyAlignment="0"/>
    <xf numFmtId="175" fontId="134" fillId="0" borderId="0" applyFill="0" applyBorder="0" applyAlignment="0"/>
    <xf numFmtId="176" fontId="150" fillId="0" borderId="0" applyFill="0" applyBorder="0" applyAlignment="0"/>
    <xf numFmtId="180" fontId="114" fillId="0" borderId="0" applyFill="0" applyBorder="0" applyAlignment="0"/>
    <xf numFmtId="180" fontId="114" fillId="0" borderId="0" applyFill="0" applyBorder="0" applyAlignment="0"/>
    <xf numFmtId="180" fontId="114" fillId="0" borderId="0" applyFill="0" applyBorder="0" applyAlignment="0"/>
    <xf numFmtId="180" fontId="114" fillId="0" borderId="0" applyFill="0" applyBorder="0" applyAlignment="0"/>
    <xf numFmtId="180" fontId="114" fillId="0" borderId="0" applyFill="0" applyBorder="0" applyAlignment="0"/>
    <xf numFmtId="180" fontId="114" fillId="0" borderId="0" applyFill="0" applyBorder="0" applyAlignment="0"/>
    <xf numFmtId="181" fontId="150" fillId="0" borderId="0" applyFill="0" applyBorder="0" applyAlignment="0"/>
    <xf numFmtId="182" fontId="114" fillId="0" borderId="0" applyFill="0" applyBorder="0" applyAlignment="0"/>
    <xf numFmtId="182" fontId="114" fillId="0" borderId="0" applyFill="0" applyBorder="0" applyAlignment="0"/>
    <xf numFmtId="182" fontId="114" fillId="0" borderId="0" applyFill="0" applyBorder="0" applyAlignment="0"/>
    <xf numFmtId="182" fontId="114" fillId="0" borderId="0" applyFill="0" applyBorder="0" applyAlignment="0"/>
    <xf numFmtId="182" fontId="114" fillId="0" borderId="0" applyFill="0" applyBorder="0" applyAlignment="0"/>
    <xf numFmtId="182" fontId="114" fillId="0" borderId="0" applyFill="0" applyBorder="0" applyAlignment="0"/>
    <xf numFmtId="183" fontId="150" fillId="0" borderId="0" applyFill="0" applyBorder="0" applyAlignment="0"/>
    <xf numFmtId="175" fontId="134" fillId="0" borderId="0" applyFill="0" applyBorder="0" applyAlignment="0"/>
    <xf numFmtId="176" fontId="150" fillId="0" borderId="0" applyFill="0" applyBorder="0" applyAlignment="0"/>
    <xf numFmtId="196" fontId="41" fillId="0" borderId="0" applyFont="0" applyFill="0" applyBorder="0" applyAlignment="0" applyProtection="0"/>
    <xf numFmtId="169" fontId="114" fillId="0" borderId="0" applyFont="0" applyFill="0" applyBorder="0" applyAlignment="0" applyProtection="0"/>
    <xf numFmtId="169" fontId="114" fillId="0" borderId="0" applyFont="0" applyFill="0" applyBorder="0" applyAlignment="0" applyProtection="0"/>
    <xf numFmtId="169" fontId="114" fillId="0" borderId="0" applyFont="0" applyFill="0" applyBorder="0" applyAlignment="0" applyProtection="0"/>
    <xf numFmtId="169" fontId="114" fillId="0" borderId="0" applyFont="0" applyFill="0" applyBorder="0" applyAlignment="0" applyProtection="0"/>
    <xf numFmtId="169" fontId="114" fillId="0" borderId="0" applyFont="0" applyFill="0" applyBorder="0" applyAlignment="0" applyProtection="0"/>
    <xf numFmtId="196" fontId="114" fillId="0" borderId="0" applyFont="0" applyFill="0" applyBorder="0" applyAlignment="0" applyProtection="0"/>
    <xf numFmtId="0" fontId="151" fillId="0" borderId="0" applyNumberFormat="0" applyFill="0" applyBorder="0" applyAlignment="0" applyProtection="0"/>
    <xf numFmtId="0" fontId="151" fillId="0" borderId="0" applyNumberFormat="0" applyFill="0" applyBorder="0" applyAlignment="0" applyProtection="0"/>
    <xf numFmtId="0" fontId="151" fillId="0" borderId="0" applyNumberFormat="0" applyFill="0" applyBorder="0" applyAlignment="0" applyProtection="0"/>
    <xf numFmtId="0" fontId="151" fillId="0" borderId="0" applyNumberFormat="0" applyFill="0" applyBorder="0" applyAlignment="0" applyProtection="0"/>
    <xf numFmtId="0" fontId="152" fillId="0" borderId="0">
      <protection locked="0"/>
    </xf>
    <xf numFmtId="0" fontId="152" fillId="0" borderId="0">
      <protection locked="0"/>
    </xf>
    <xf numFmtId="0" fontId="153" fillId="0" borderId="0">
      <protection locked="0"/>
    </xf>
    <xf numFmtId="0" fontId="152" fillId="0" borderId="0">
      <protection locked="0"/>
    </xf>
    <xf numFmtId="0" fontId="152" fillId="0" borderId="0">
      <protection locked="0"/>
    </xf>
    <xf numFmtId="0" fontId="152" fillId="0" borderId="0">
      <protection locked="0"/>
    </xf>
    <xf numFmtId="0" fontId="153" fillId="0" borderId="0">
      <protection locked="0"/>
    </xf>
    <xf numFmtId="0" fontId="114" fillId="0" borderId="0"/>
    <xf numFmtId="0" fontId="27" fillId="0" borderId="69" applyNumberFormat="0" applyFill="0" applyBorder="0" applyAlignment="0" applyProtection="0">
      <protection locked="0"/>
    </xf>
    <xf numFmtId="0" fontId="154" fillId="0" borderId="0"/>
    <xf numFmtId="37" fontId="155" fillId="0" borderId="0"/>
    <xf numFmtId="0" fontId="156" fillId="38" borderId="0" applyNumberFormat="0" applyBorder="0" applyAlignment="0" applyProtection="0"/>
    <xf numFmtId="0" fontId="156" fillId="38" borderId="0" applyNumberFormat="0" applyBorder="0" applyAlignment="0" applyProtection="0"/>
    <xf numFmtId="0" fontId="157" fillId="47" borderId="0" applyNumberFormat="0" applyBorder="0" applyAlignment="0" applyProtection="0"/>
    <xf numFmtId="0" fontId="156" fillId="38" borderId="0" applyNumberFormat="0" applyBorder="0" applyAlignment="0" applyProtection="0"/>
    <xf numFmtId="0" fontId="157" fillId="47" borderId="0" applyNumberFormat="0" applyBorder="0" applyAlignment="0" applyProtection="0"/>
    <xf numFmtId="0" fontId="157" fillId="47" borderId="0" applyNumberFormat="0" applyBorder="0" applyAlignment="0" applyProtection="0"/>
    <xf numFmtId="0" fontId="157" fillId="47" borderId="0" applyNumberFormat="0" applyBorder="0" applyAlignment="0" applyProtection="0"/>
    <xf numFmtId="0" fontId="157" fillId="47" borderId="0" applyNumberFormat="0" applyBorder="0" applyAlignment="0" applyProtection="0"/>
    <xf numFmtId="0" fontId="157" fillId="47" borderId="0" applyNumberFormat="0" applyBorder="0" applyAlignment="0" applyProtection="0"/>
    <xf numFmtId="0" fontId="158" fillId="65" borderId="68"/>
    <xf numFmtId="0" fontId="158" fillId="65" borderId="68"/>
    <xf numFmtId="38" fontId="159" fillId="42" borderId="0" applyNumberFormat="0" applyBorder="0" applyAlignment="0" applyProtection="0"/>
    <xf numFmtId="38" fontId="121" fillId="42" borderId="0" applyNumberFormat="0" applyBorder="0" applyAlignment="0" applyProtection="0"/>
    <xf numFmtId="0" fontId="160" fillId="0" borderId="0">
      <alignment horizontal="left"/>
    </xf>
    <xf numFmtId="0" fontId="161" fillId="0" borderId="25" applyNumberFormat="0" applyAlignment="0" applyProtection="0">
      <alignment horizontal="left" vertical="center"/>
    </xf>
    <xf numFmtId="0" fontId="162" fillId="0" borderId="25" applyNumberFormat="0" applyAlignment="0" applyProtection="0">
      <alignment horizontal="left" vertical="center"/>
    </xf>
    <xf numFmtId="0" fontId="161" fillId="0" borderId="4">
      <alignment horizontal="left" vertical="center"/>
    </xf>
    <xf numFmtId="0" fontId="162" fillId="0" borderId="4">
      <alignment horizontal="left" vertical="center"/>
    </xf>
    <xf numFmtId="0" fontId="163" fillId="0" borderId="70" applyNumberFormat="0" applyFill="0" applyAlignment="0" applyProtection="0"/>
    <xf numFmtId="0" fontId="163" fillId="0" borderId="70" applyNumberFormat="0" applyFill="0" applyAlignment="0" applyProtection="0"/>
    <xf numFmtId="0" fontId="163" fillId="0" borderId="70" applyNumberFormat="0" applyFill="0" applyAlignment="0" applyProtection="0"/>
    <xf numFmtId="0" fontId="163" fillId="0" borderId="70" applyNumberFormat="0" applyFill="0" applyAlignment="0" applyProtection="0"/>
    <xf numFmtId="0" fontId="164" fillId="0" borderId="71" applyNumberFormat="0" applyFill="0" applyAlignment="0" applyProtection="0"/>
    <xf numFmtId="0" fontId="164" fillId="0" borderId="71" applyNumberFormat="0" applyFill="0" applyAlignment="0" applyProtection="0"/>
    <xf numFmtId="0" fontId="164" fillId="0" borderId="71" applyNumberFormat="0" applyFill="0" applyAlignment="0" applyProtection="0"/>
    <xf numFmtId="0" fontId="164" fillId="0" borderId="71" applyNumberFormat="0" applyFill="0" applyAlignment="0" applyProtection="0"/>
    <xf numFmtId="0" fontId="165" fillId="0" borderId="72" applyNumberFormat="0" applyFill="0" applyAlignment="0" applyProtection="0"/>
    <xf numFmtId="0" fontId="165" fillId="0" borderId="72" applyNumberFormat="0" applyFill="0" applyAlignment="0" applyProtection="0"/>
    <xf numFmtId="0" fontId="165" fillId="0" borderId="72" applyNumberFormat="0" applyFill="0" applyAlignment="0" applyProtection="0"/>
    <xf numFmtId="0" fontId="165" fillId="0" borderId="72" applyNumberFormat="0" applyFill="0" applyAlignment="0" applyProtection="0"/>
    <xf numFmtId="0" fontId="165" fillId="0" borderId="0" applyNumberFormat="0" applyFill="0" applyBorder="0" applyAlignment="0" applyProtection="0"/>
    <xf numFmtId="0" fontId="165" fillId="0" borderId="0" applyNumberFormat="0" applyFill="0" applyBorder="0" applyAlignment="0" applyProtection="0"/>
    <xf numFmtId="0" fontId="165" fillId="0" borderId="0" applyNumberFormat="0" applyFill="0" applyBorder="0" applyAlignment="0" applyProtection="0"/>
    <xf numFmtId="0" fontId="165" fillId="0" borderId="0" applyNumberFormat="0" applyFill="0" applyBorder="0" applyAlignment="0" applyProtection="0"/>
    <xf numFmtId="197" fontId="114" fillId="0" borderId="0">
      <protection locked="0"/>
    </xf>
    <xf numFmtId="197" fontId="114" fillId="0" borderId="0">
      <protection locked="0"/>
    </xf>
    <xf numFmtId="0" fontId="166" fillId="0" borderId="0" applyNumberFormat="0" applyFill="0" applyBorder="0" applyAlignment="0" applyProtection="0">
      <alignment vertical="top"/>
      <protection locked="0"/>
    </xf>
    <xf numFmtId="0" fontId="167" fillId="0" borderId="0" applyNumberFormat="0" applyFill="0" applyBorder="0" applyAlignment="0" applyProtection="0">
      <alignment vertical="top"/>
      <protection locked="0"/>
    </xf>
    <xf numFmtId="0" fontId="168" fillId="0" borderId="0" applyNumberFormat="0" applyFill="0" applyBorder="0" applyAlignment="0" applyProtection="0">
      <alignment vertical="top"/>
      <protection locked="0"/>
    </xf>
    <xf numFmtId="0" fontId="167" fillId="0" borderId="0" applyNumberFormat="0" applyFill="0" applyBorder="0" applyAlignment="0" applyProtection="0">
      <alignment vertical="top"/>
      <protection locked="0"/>
    </xf>
    <xf numFmtId="0" fontId="167" fillId="0" borderId="0" applyNumberFormat="0" applyFill="0" applyBorder="0" applyAlignment="0" applyProtection="0">
      <alignment vertical="top"/>
      <protection locked="0"/>
    </xf>
    <xf numFmtId="0" fontId="169" fillId="0" borderId="0" applyNumberFormat="0" applyFill="0" applyBorder="0" applyAlignment="0" applyProtection="0">
      <alignment vertical="top"/>
      <protection locked="0"/>
    </xf>
    <xf numFmtId="0" fontId="168" fillId="0" borderId="0" applyNumberFormat="0" applyFill="0" applyBorder="0" applyAlignment="0" applyProtection="0">
      <alignment vertical="top"/>
      <protection locked="0"/>
    </xf>
    <xf numFmtId="0" fontId="170" fillId="0" borderId="0" applyNumberFormat="0" applyFill="0" applyBorder="0" applyAlignment="0" applyProtection="0"/>
    <xf numFmtId="0" fontId="171" fillId="0" borderId="0" applyNumberFormat="0" applyFill="0" applyBorder="0" applyAlignment="0" applyProtection="0">
      <alignment vertical="top"/>
      <protection locked="0"/>
    </xf>
    <xf numFmtId="10" fontId="159" fillId="41" borderId="1" applyNumberFormat="0" applyBorder="0" applyAlignment="0" applyProtection="0"/>
    <xf numFmtId="10" fontId="121" fillId="41" borderId="1" applyNumberFormat="0" applyBorder="0" applyAlignment="0" applyProtection="0"/>
    <xf numFmtId="0" fontId="172" fillId="50" borderId="66" applyNumberFormat="0" applyAlignment="0" applyProtection="0"/>
    <xf numFmtId="0" fontId="172" fillId="50" borderId="66" applyNumberFormat="0" applyAlignment="0" applyProtection="0"/>
    <xf numFmtId="0" fontId="172" fillId="50" borderId="66" applyNumberFormat="0" applyAlignment="0" applyProtection="0"/>
    <xf numFmtId="0" fontId="172" fillId="50" borderId="66" applyNumberFormat="0" applyAlignment="0" applyProtection="0"/>
    <xf numFmtId="0" fontId="172" fillId="50" borderId="66" applyNumberFormat="0" applyAlignment="0" applyProtection="0"/>
    <xf numFmtId="0" fontId="172" fillId="50" borderId="66" applyNumberFormat="0" applyAlignment="0" applyProtection="0"/>
    <xf numFmtId="0" fontId="172" fillId="50" borderId="66" applyNumberFormat="0" applyAlignment="0" applyProtection="0"/>
    <xf numFmtId="0" fontId="172" fillId="50" borderId="66" applyNumberFormat="0" applyAlignment="0" applyProtection="0"/>
    <xf numFmtId="0" fontId="172" fillId="50" borderId="66" applyNumberFormat="0" applyAlignment="0" applyProtection="0"/>
    <xf numFmtId="0" fontId="172" fillId="50" borderId="66" applyNumberFormat="0" applyAlignment="0" applyProtection="0"/>
    <xf numFmtId="0" fontId="172" fillId="50" borderId="66" applyNumberFormat="0" applyAlignment="0" applyProtection="0"/>
    <xf numFmtId="0" fontId="172" fillId="50" borderId="66" applyNumberFormat="0" applyAlignment="0" applyProtection="0"/>
    <xf numFmtId="0" fontId="139" fillId="0" borderId="0" applyBorder="0"/>
    <xf numFmtId="198" fontId="114" fillId="0" borderId="0"/>
    <xf numFmtId="0" fontId="118" fillId="0" borderId="73">
      <alignment wrapText="1"/>
    </xf>
    <xf numFmtId="0" fontId="160" fillId="66" borderId="68"/>
    <xf numFmtId="0" fontId="169" fillId="0" borderId="0" applyNumberFormat="0" applyFill="0" applyBorder="0" applyAlignment="0" applyProtection="0">
      <alignment vertical="top"/>
      <protection locked="0"/>
    </xf>
    <xf numFmtId="0" fontId="173" fillId="0" borderId="0" applyNumberFormat="0" applyFill="0" applyBorder="0" applyAlignment="0" applyProtection="0">
      <alignment vertical="top"/>
      <protection locked="0"/>
    </xf>
    <xf numFmtId="0" fontId="169" fillId="0" borderId="0" applyNumberFormat="0" applyFill="0" applyBorder="0" applyAlignment="0" applyProtection="0">
      <alignment vertical="top"/>
      <protection locked="0"/>
    </xf>
    <xf numFmtId="180" fontId="114" fillId="0" borderId="0" applyFill="0" applyBorder="0" applyAlignment="0"/>
    <xf numFmtId="180" fontId="114" fillId="0" borderId="0" applyFill="0" applyBorder="0" applyAlignment="0"/>
    <xf numFmtId="180" fontId="114" fillId="0" borderId="0" applyFill="0" applyBorder="0" applyAlignment="0"/>
    <xf numFmtId="180" fontId="114" fillId="0" borderId="0" applyFill="0" applyBorder="0" applyAlignment="0"/>
    <xf numFmtId="180" fontId="114" fillId="0" borderId="0" applyFill="0" applyBorder="0" applyAlignment="0"/>
    <xf numFmtId="180" fontId="114" fillId="0" borderId="0" applyFill="0" applyBorder="0" applyAlignment="0"/>
    <xf numFmtId="174" fontId="114" fillId="0" borderId="0" applyFill="0" applyBorder="0" applyAlignment="0"/>
    <xf numFmtId="175" fontId="134" fillId="0" borderId="0" applyFill="0" applyBorder="0" applyAlignment="0"/>
    <xf numFmtId="176" fontId="174" fillId="0" borderId="0" applyFill="0" applyBorder="0" applyAlignment="0"/>
    <xf numFmtId="180" fontId="114" fillId="0" borderId="0" applyFill="0" applyBorder="0" applyAlignment="0"/>
    <xf numFmtId="180" fontId="114" fillId="0" borderId="0" applyFill="0" applyBorder="0" applyAlignment="0"/>
    <xf numFmtId="180" fontId="114" fillId="0" borderId="0" applyFill="0" applyBorder="0" applyAlignment="0"/>
    <xf numFmtId="180" fontId="114" fillId="0" borderId="0" applyFill="0" applyBorder="0" applyAlignment="0"/>
    <xf numFmtId="180" fontId="114" fillId="0" borderId="0" applyFill="0" applyBorder="0" applyAlignment="0"/>
    <xf numFmtId="180" fontId="114" fillId="0" borderId="0" applyFill="0" applyBorder="0" applyAlignment="0"/>
    <xf numFmtId="181" fontId="174" fillId="0" borderId="0" applyFill="0" applyBorder="0" applyAlignment="0"/>
    <xf numFmtId="182" fontId="114" fillId="0" borderId="0" applyFill="0" applyBorder="0" applyAlignment="0"/>
    <xf numFmtId="182" fontId="114" fillId="0" borderId="0" applyFill="0" applyBorder="0" applyAlignment="0"/>
    <xf numFmtId="182" fontId="114" fillId="0" borderId="0" applyFill="0" applyBorder="0" applyAlignment="0"/>
    <xf numFmtId="182" fontId="114" fillId="0" borderId="0" applyFill="0" applyBorder="0" applyAlignment="0"/>
    <xf numFmtId="182" fontId="114" fillId="0" borderId="0" applyFill="0" applyBorder="0" applyAlignment="0"/>
    <xf numFmtId="182" fontId="114" fillId="0" borderId="0" applyFill="0" applyBorder="0" applyAlignment="0"/>
    <xf numFmtId="183" fontId="174" fillId="0" borderId="0" applyFill="0" applyBorder="0" applyAlignment="0"/>
    <xf numFmtId="175" fontId="134" fillId="0" borderId="0" applyFill="0" applyBorder="0" applyAlignment="0"/>
    <xf numFmtId="176" fontId="174" fillId="0" borderId="0" applyFill="0" applyBorder="0" applyAlignment="0"/>
    <xf numFmtId="0" fontId="175" fillId="0" borderId="74" applyNumberFormat="0" applyFill="0" applyAlignment="0" applyProtection="0"/>
    <xf numFmtId="0" fontId="175" fillId="0" borderId="74" applyNumberFormat="0" applyFill="0" applyAlignment="0" applyProtection="0"/>
    <xf numFmtId="0" fontId="175" fillId="0" borderId="74" applyNumberFormat="0" applyFill="0" applyAlignment="0" applyProtection="0"/>
    <xf numFmtId="0" fontId="175" fillId="0" borderId="74" applyNumberFormat="0" applyFill="0" applyAlignment="0" applyProtection="0"/>
    <xf numFmtId="199" fontId="114" fillId="0" borderId="0" applyFont="0" applyFill="0" applyBorder="0" applyAlignment="0" applyProtection="0"/>
    <xf numFmtId="200" fontId="114" fillId="0" borderId="0" applyFont="0" applyFill="0" applyBorder="0" applyAlignment="0" applyProtection="0"/>
    <xf numFmtId="38" fontId="112" fillId="0" borderId="0" applyFont="0" applyFill="0" applyBorder="0" applyAlignment="0" applyProtection="0"/>
    <xf numFmtId="40" fontId="112" fillId="0" borderId="0" applyFont="0" applyFill="0" applyBorder="0" applyAlignment="0" applyProtection="0"/>
    <xf numFmtId="0" fontId="176" fillId="0" borderId="35"/>
    <xf numFmtId="201" fontId="114" fillId="0" borderId="0" applyFont="0" applyFill="0" applyBorder="0" applyAlignment="0" applyProtection="0"/>
    <xf numFmtId="190" fontId="114" fillId="0" borderId="0" applyFont="0" applyFill="0" applyBorder="0" applyAlignment="0" applyProtection="0"/>
    <xf numFmtId="202" fontId="112" fillId="0" borderId="0" applyFont="0" applyFill="0" applyBorder="0" applyAlignment="0" applyProtection="0"/>
    <xf numFmtId="203" fontId="112" fillId="0" borderId="0" applyFont="0" applyFill="0" applyBorder="0" applyAlignment="0" applyProtection="0"/>
    <xf numFmtId="204" fontId="114" fillId="0" borderId="0" applyFont="0" applyFill="0" applyBorder="0" applyAlignment="0" applyProtection="0"/>
    <xf numFmtId="205" fontId="114" fillId="0" borderId="0" applyFont="0" applyFill="0" applyBorder="0" applyAlignment="0" applyProtection="0"/>
    <xf numFmtId="206" fontId="112" fillId="0" borderId="0" applyFont="0" applyFill="0" applyBorder="0" applyAlignment="0" applyProtection="0"/>
    <xf numFmtId="207" fontId="112" fillId="0" borderId="0" applyFont="0" applyFill="0" applyBorder="0" applyAlignment="0" applyProtection="0"/>
    <xf numFmtId="202" fontId="112" fillId="0" borderId="0" applyFont="0" applyFill="0" applyBorder="0" applyAlignment="0" applyProtection="0"/>
    <xf numFmtId="203" fontId="112" fillId="0" borderId="0" applyFont="0" applyFill="0" applyBorder="0" applyAlignment="0" applyProtection="0"/>
    <xf numFmtId="208" fontId="177" fillId="0" borderId="0" applyFill="0" applyBorder="0">
      <alignment horizontal="center" vertical="top"/>
    </xf>
    <xf numFmtId="0" fontId="178" fillId="67" borderId="0" applyNumberFormat="0" applyBorder="0" applyAlignment="0" applyProtection="0"/>
    <xf numFmtId="0" fontId="178" fillId="67" borderId="0" applyNumberFormat="0" applyBorder="0" applyAlignment="0" applyProtection="0"/>
    <xf numFmtId="0" fontId="178" fillId="67" borderId="0" applyNumberFormat="0" applyBorder="0" applyAlignment="0" applyProtection="0"/>
    <xf numFmtId="0" fontId="178" fillId="67" borderId="0" applyNumberFormat="0" applyBorder="0" applyAlignment="0" applyProtection="0"/>
    <xf numFmtId="49" fontId="179" fillId="0" borderId="0" applyFont="0" applyFill="0" applyBorder="0">
      <alignment horizontal="centerContinuous" vertical="center"/>
    </xf>
    <xf numFmtId="0" fontId="27" fillId="0" borderId="0"/>
    <xf numFmtId="37" fontId="180" fillId="0" borderId="0"/>
    <xf numFmtId="0" fontId="181" fillId="51" borderId="75" applyNumberFormat="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14" fillId="0" borderId="0"/>
    <xf numFmtId="169" fontId="114" fillId="0" borderId="0"/>
    <xf numFmtId="0" fontId="114" fillId="0" borderId="0"/>
    <xf numFmtId="169" fontId="114" fillId="0" borderId="0"/>
    <xf numFmtId="0" fontId="114" fillId="0" borderId="0"/>
    <xf numFmtId="169" fontId="114" fillId="0" borderId="0"/>
    <xf numFmtId="169" fontId="114" fillId="0" borderId="0"/>
    <xf numFmtId="169" fontId="114" fillId="0" borderId="0"/>
    <xf numFmtId="0" fontId="114" fillId="0" borderId="0"/>
    <xf numFmtId="169" fontId="114" fillId="0" borderId="0"/>
    <xf numFmtId="39" fontId="61" fillId="0" borderId="0"/>
    <xf numFmtId="0" fontId="221" fillId="0" borderId="0"/>
    <xf numFmtId="0" fontId="221" fillId="0" borderId="0"/>
    <xf numFmtId="0" fontId="128" fillId="0" borderId="0">
      <alignment vertical="top"/>
    </xf>
    <xf numFmtId="39" fontId="61" fillId="0" borderId="0"/>
    <xf numFmtId="0" fontId="141" fillId="0" borderId="0"/>
    <xf numFmtId="0" fontId="141" fillId="0" borderId="0"/>
    <xf numFmtId="0" fontId="142" fillId="0" borderId="0"/>
    <xf numFmtId="0" fontId="124" fillId="0" borderId="0"/>
    <xf numFmtId="0" fontId="114" fillId="0" borderId="0"/>
    <xf numFmtId="0" fontId="124" fillId="0" borderId="0"/>
    <xf numFmtId="0" fontId="141" fillId="0" borderId="0"/>
    <xf numFmtId="0" fontId="124" fillId="0" borderId="0"/>
    <xf numFmtId="0" fontId="61" fillId="0" borderId="0"/>
    <xf numFmtId="0" fontId="124" fillId="0" borderId="0"/>
    <xf numFmtId="164" fontId="114" fillId="0" borderId="0"/>
    <xf numFmtId="0" fontId="124" fillId="0" borderId="0"/>
    <xf numFmtId="0" fontId="114" fillId="0" borderId="0"/>
    <xf numFmtId="0" fontId="114" fillId="0" borderId="0">
      <alignment horizontal="justify" vertical="justify" textRotation="127" wrapText="1"/>
      <protection hidden="1"/>
    </xf>
    <xf numFmtId="209" fontId="114" fillId="0" borderId="0"/>
    <xf numFmtId="189" fontId="114" fillId="0" borderId="0"/>
    <xf numFmtId="0" fontId="114" fillId="0" borderId="0"/>
    <xf numFmtId="0" fontId="221" fillId="0" borderId="0"/>
    <xf numFmtId="0" fontId="221" fillId="0" borderId="0"/>
    <xf numFmtId="0" fontId="114" fillId="0" borderId="0"/>
    <xf numFmtId="196" fontId="221" fillId="0" borderId="0"/>
    <xf numFmtId="0" fontId="221" fillId="0" borderId="0"/>
    <xf numFmtId="0" fontId="114" fillId="0" borderId="0"/>
    <xf numFmtId="0" fontId="114" fillId="0" borderId="0"/>
    <xf numFmtId="0" fontId="94" fillId="0" borderId="0">
      <alignment vertical="top"/>
    </xf>
    <xf numFmtId="0" fontId="114" fillId="0" borderId="0"/>
    <xf numFmtId="0" fontId="114" fillId="0" borderId="0"/>
    <xf numFmtId="169" fontId="114" fillId="0" borderId="0"/>
    <xf numFmtId="0" fontId="114" fillId="0" borderId="0"/>
    <xf numFmtId="169" fontId="114"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23" fillId="0" borderId="0"/>
    <xf numFmtId="0" fontId="114" fillId="0" borderId="0"/>
    <xf numFmtId="0" fontId="123" fillId="0" borderId="0"/>
    <xf numFmtId="0" fontId="123" fillId="0" borderId="0"/>
    <xf numFmtId="186" fontId="114" fillId="0" borderId="0"/>
    <xf numFmtId="169" fontId="114" fillId="0" borderId="0"/>
    <xf numFmtId="0" fontId="221" fillId="0" borderId="0"/>
    <xf numFmtId="169" fontId="114" fillId="0" borderId="0"/>
    <xf numFmtId="0" fontId="41" fillId="0" borderId="0"/>
    <xf numFmtId="169" fontId="114" fillId="0" borderId="0"/>
    <xf numFmtId="0" fontId="123" fillId="0" borderId="0"/>
    <xf numFmtId="169" fontId="221" fillId="0" borderId="0"/>
    <xf numFmtId="169" fontId="221" fillId="0" borderId="0"/>
    <xf numFmtId="169" fontId="221" fillId="0" borderId="0"/>
    <xf numFmtId="169" fontId="221" fillId="0" borderId="0"/>
    <xf numFmtId="169" fontId="221" fillId="0" borderId="0"/>
    <xf numFmtId="169" fontId="221" fillId="0" borderId="0"/>
    <xf numFmtId="169" fontId="221" fillId="0" borderId="0"/>
    <xf numFmtId="169" fontId="221" fillId="0" borderId="0"/>
    <xf numFmtId="169" fontId="221" fillId="0" borderId="0"/>
    <xf numFmtId="169" fontId="221" fillId="0" borderId="0"/>
    <xf numFmtId="169" fontId="221" fillId="0" borderId="0"/>
    <xf numFmtId="169" fontId="221" fillId="0" borderId="0"/>
    <xf numFmtId="169" fontId="221" fillId="0" borderId="0"/>
    <xf numFmtId="0" fontId="114" fillId="0" borderId="0"/>
    <xf numFmtId="169" fontId="221" fillId="0" borderId="0"/>
    <xf numFmtId="169" fontId="221" fillId="0" borderId="0"/>
    <xf numFmtId="169" fontId="221" fillId="0" borderId="0"/>
    <xf numFmtId="169" fontId="221" fillId="0" borderId="0"/>
    <xf numFmtId="169" fontId="221" fillId="0" borderId="0"/>
    <xf numFmtId="169" fontId="221" fillId="0" borderId="0"/>
    <xf numFmtId="169" fontId="221" fillId="0" borderId="0"/>
    <xf numFmtId="169" fontId="221" fillId="0" borderId="0"/>
    <xf numFmtId="169" fontId="221" fillId="0" borderId="0"/>
    <xf numFmtId="169" fontId="221" fillId="0" borderId="0"/>
    <xf numFmtId="169" fontId="221" fillId="0" borderId="0"/>
    <xf numFmtId="0" fontId="114" fillId="0" borderId="0"/>
    <xf numFmtId="0" fontId="114" fillId="0" borderId="0"/>
    <xf numFmtId="0" fontId="114" fillId="0" borderId="0"/>
    <xf numFmtId="0" fontId="221" fillId="0" borderId="0"/>
    <xf numFmtId="0" fontId="27" fillId="0" borderId="0"/>
    <xf numFmtId="0" fontId="114" fillId="0" borderId="0"/>
    <xf numFmtId="0" fontId="124" fillId="0" borderId="0"/>
    <xf numFmtId="0" fontId="114" fillId="0" borderId="0">
      <alignment horizontal="justify" vertical="justify" textRotation="127" wrapText="1"/>
      <protection hidden="1"/>
    </xf>
    <xf numFmtId="0" fontId="124" fillId="0" borderId="0"/>
    <xf numFmtId="0" fontId="114" fillId="0" borderId="0"/>
    <xf numFmtId="0" fontId="221" fillId="0" borderId="0"/>
    <xf numFmtId="0" fontId="114" fillId="0" borderId="0">
      <alignment horizontal="justify" vertical="justify" textRotation="127" wrapText="1"/>
      <protection hidden="1"/>
    </xf>
    <xf numFmtId="0" fontId="124" fillId="0" borderId="0"/>
    <xf numFmtId="0" fontId="221" fillId="0" borderId="0"/>
    <xf numFmtId="0" fontId="221" fillId="0" borderId="0"/>
    <xf numFmtId="0" fontId="124" fillId="0" borderId="0"/>
    <xf numFmtId="0" fontId="221" fillId="0" borderId="0"/>
    <xf numFmtId="0" fontId="221" fillId="0" borderId="0"/>
    <xf numFmtId="0" fontId="221" fillId="0" borderId="0"/>
    <xf numFmtId="0" fontId="221" fillId="0" borderId="0"/>
    <xf numFmtId="0" fontId="114" fillId="0" borderId="0"/>
    <xf numFmtId="0" fontId="221" fillId="0" borderId="0"/>
    <xf numFmtId="0" fontId="114" fillId="0" borderId="0"/>
    <xf numFmtId="0" fontId="221" fillId="0" borderId="0"/>
    <xf numFmtId="0" fontId="221" fillId="0" borderId="0"/>
    <xf numFmtId="0" fontId="221" fillId="0" borderId="0"/>
    <xf numFmtId="0" fontId="27" fillId="0" borderId="0"/>
    <xf numFmtId="0" fontId="114" fillId="0" borderId="0"/>
    <xf numFmtId="0" fontId="221" fillId="0" borderId="0"/>
    <xf numFmtId="0" fontId="114" fillId="0" borderId="0"/>
    <xf numFmtId="0" fontId="27" fillId="0" borderId="0"/>
    <xf numFmtId="169" fontId="114" fillId="0" borderId="0"/>
    <xf numFmtId="0" fontId="114" fillId="0" borderId="0"/>
    <xf numFmtId="37" fontId="182" fillId="0" borderId="0"/>
    <xf numFmtId="0" fontId="114" fillId="0" borderId="0"/>
    <xf numFmtId="0" fontId="114" fillId="0" borderId="0"/>
    <xf numFmtId="0" fontId="114" fillId="0" borderId="0"/>
    <xf numFmtId="169" fontId="114" fillId="0" borderId="0"/>
    <xf numFmtId="0" fontId="124" fillId="0" borderId="0"/>
    <xf numFmtId="37" fontId="182" fillId="0" borderId="0"/>
    <xf numFmtId="0" fontId="221" fillId="0" borderId="0"/>
    <xf numFmtId="169" fontId="114" fillId="0" borderId="0"/>
    <xf numFmtId="0" fontId="1" fillId="0" borderId="0"/>
    <xf numFmtId="0" fontId="114" fillId="0" borderId="0"/>
    <xf numFmtId="169" fontId="114" fillId="0" borderId="0"/>
    <xf numFmtId="0" fontId="114" fillId="0" borderId="0"/>
    <xf numFmtId="0" fontId="114" fillId="0" borderId="0"/>
    <xf numFmtId="0" fontId="114" fillId="0" borderId="0"/>
    <xf numFmtId="0" fontId="114" fillId="0" borderId="0"/>
    <xf numFmtId="0" fontId="124" fillId="0" borderId="0"/>
    <xf numFmtId="39" fontId="61" fillId="0" borderId="0"/>
    <xf numFmtId="0" fontId="27" fillId="0" borderId="0"/>
    <xf numFmtId="0" fontId="221" fillId="0" borderId="0"/>
    <xf numFmtId="0" fontId="221" fillId="0" borderId="0"/>
    <xf numFmtId="0" fontId="114" fillId="0" borderId="0"/>
    <xf numFmtId="0" fontId="183" fillId="0" borderId="0"/>
    <xf numFmtId="0" fontId="221" fillId="0" borderId="0"/>
    <xf numFmtId="0" fontId="143" fillId="0" borderId="0"/>
    <xf numFmtId="0" fontId="126" fillId="0" borderId="0"/>
    <xf numFmtId="0" fontId="94" fillId="0" borderId="0">
      <alignment vertical="top"/>
    </xf>
    <xf numFmtId="169" fontId="114" fillId="0" borderId="0"/>
    <xf numFmtId="0" fontId="124" fillId="0" borderId="0"/>
    <xf numFmtId="0" fontId="114" fillId="0" borderId="0"/>
    <xf numFmtId="169" fontId="114" fillId="0" borderId="0"/>
    <xf numFmtId="0" fontId="221" fillId="0" borderId="0"/>
    <xf numFmtId="169" fontId="114" fillId="0" borderId="0"/>
    <xf numFmtId="0" fontId="124" fillId="0" borderId="0"/>
    <xf numFmtId="169" fontId="114" fillId="0" borderId="0"/>
    <xf numFmtId="0" fontId="114" fillId="0" borderId="0">
      <alignment horizontal="justify" vertical="justify" textRotation="127" wrapText="1"/>
      <protection hidden="1"/>
    </xf>
    <xf numFmtId="169" fontId="114" fillId="0" borderId="0"/>
    <xf numFmtId="0" fontId="114" fillId="0" borderId="0">
      <alignment horizontal="justify" vertical="justify" textRotation="127" wrapText="1"/>
      <protection hidden="1"/>
    </xf>
    <xf numFmtId="0" fontId="114" fillId="0" borderId="0"/>
    <xf numFmtId="0" fontId="124" fillId="0" borderId="0"/>
    <xf numFmtId="0" fontId="27" fillId="0" borderId="0"/>
    <xf numFmtId="37" fontId="128" fillId="0" borderId="0"/>
    <xf numFmtId="0" fontId="1" fillId="0" borderId="0"/>
    <xf numFmtId="0" fontId="27" fillId="0" borderId="0"/>
    <xf numFmtId="0" fontId="1" fillId="0" borderId="0"/>
    <xf numFmtId="0" fontId="124" fillId="0" borderId="0"/>
    <xf numFmtId="0" fontId="124" fillId="0" borderId="0"/>
    <xf numFmtId="0" fontId="139" fillId="0" borderId="0"/>
    <xf numFmtId="0" fontId="114" fillId="0" borderId="0"/>
    <xf numFmtId="37" fontId="182" fillId="0" borderId="0"/>
    <xf numFmtId="169" fontId="114" fillId="0" borderId="0"/>
    <xf numFmtId="169" fontId="114" fillId="0" borderId="0"/>
    <xf numFmtId="37" fontId="182" fillId="0" borderId="0"/>
    <xf numFmtId="0" fontId="27" fillId="0" borderId="0"/>
    <xf numFmtId="169" fontId="114" fillId="0" borderId="0"/>
    <xf numFmtId="0" fontId="114" fillId="0" borderId="0"/>
    <xf numFmtId="169" fontId="114" fillId="0" borderId="0"/>
    <xf numFmtId="37" fontId="182" fillId="0" borderId="0"/>
    <xf numFmtId="0" fontId="114" fillId="0" borderId="0"/>
    <xf numFmtId="169" fontId="114" fillId="0" borderId="0"/>
    <xf numFmtId="169" fontId="114" fillId="0" borderId="0"/>
    <xf numFmtId="0" fontId="114" fillId="0" borderId="0"/>
    <xf numFmtId="0" fontId="124" fillId="0" borderId="0"/>
    <xf numFmtId="169" fontId="114" fillId="0" borderId="0"/>
    <xf numFmtId="0" fontId="94" fillId="0" borderId="0"/>
    <xf numFmtId="0" fontId="221" fillId="0" borderId="0"/>
    <xf numFmtId="0" fontId="94" fillId="0" borderId="0"/>
    <xf numFmtId="0" fontId="1" fillId="0" borderId="0"/>
    <xf numFmtId="37" fontId="184" fillId="0" borderId="0"/>
    <xf numFmtId="37" fontId="184" fillId="0" borderId="0"/>
    <xf numFmtId="0" fontId="114" fillId="0" borderId="0"/>
    <xf numFmtId="0" fontId="94" fillId="0" borderId="0"/>
    <xf numFmtId="169" fontId="114" fillId="0" borderId="0"/>
    <xf numFmtId="169" fontId="114" fillId="0" borderId="0"/>
    <xf numFmtId="37" fontId="182" fillId="0" borderId="0"/>
    <xf numFmtId="0" fontId="114" fillId="0" borderId="0"/>
    <xf numFmtId="0" fontId="114" fillId="0" borderId="0"/>
    <xf numFmtId="37" fontId="182" fillId="0" borderId="0"/>
    <xf numFmtId="0" fontId="114" fillId="0" borderId="0"/>
    <xf numFmtId="0" fontId="221" fillId="0" borderId="0"/>
    <xf numFmtId="169" fontId="114" fillId="0" borderId="0"/>
    <xf numFmtId="189" fontId="114" fillId="0" borderId="0"/>
    <xf numFmtId="0" fontId="221" fillId="0" borderId="0"/>
    <xf numFmtId="0" fontId="114" fillId="0" borderId="0"/>
    <xf numFmtId="0" fontId="114" fillId="0" borderId="0"/>
    <xf numFmtId="0" fontId="114" fillId="0" borderId="0"/>
    <xf numFmtId="0" fontId="123" fillId="0" borderId="0"/>
    <xf numFmtId="37" fontId="128" fillId="0" borderId="0"/>
    <xf numFmtId="0" fontId="114" fillId="0" borderId="0">
      <alignment vertical="top"/>
    </xf>
    <xf numFmtId="0" fontId="61" fillId="0" borderId="0"/>
    <xf numFmtId="0" fontId="185" fillId="0" borderId="0"/>
    <xf numFmtId="0" fontId="115" fillId="0" borderId="0"/>
    <xf numFmtId="0" fontId="114" fillId="41" borderId="76" applyNumberFormat="0" applyFont="0" applyAlignment="0" applyProtection="0"/>
    <xf numFmtId="0" fontId="114" fillId="41" borderId="76" applyNumberFormat="0" applyFont="0" applyAlignment="0" applyProtection="0"/>
    <xf numFmtId="0" fontId="114" fillId="41" borderId="76" applyNumberFormat="0" applyFont="0" applyAlignment="0" applyProtection="0"/>
    <xf numFmtId="0" fontId="114" fillId="41" borderId="76" applyNumberFormat="0" applyFont="0" applyAlignment="0" applyProtection="0"/>
    <xf numFmtId="0" fontId="114" fillId="41" borderId="76" applyNumberFormat="0" applyFont="0" applyAlignment="0" applyProtection="0"/>
    <xf numFmtId="0" fontId="114" fillId="41" borderId="76" applyNumberFormat="0" applyFont="0" applyAlignment="0" applyProtection="0"/>
    <xf numFmtId="0" fontId="114" fillId="41" borderId="76" applyNumberFormat="0" applyFont="0" applyAlignment="0" applyProtection="0"/>
    <xf numFmtId="0" fontId="114" fillId="41" borderId="76" applyNumberFormat="0" applyFont="0" applyAlignment="0" applyProtection="0"/>
    <xf numFmtId="0" fontId="114" fillId="41" borderId="76" applyNumberFormat="0" applyFont="0" applyAlignment="0" applyProtection="0"/>
    <xf numFmtId="0" fontId="114" fillId="41" borderId="76" applyNumberFormat="0" applyFont="0" applyAlignment="0" applyProtection="0"/>
    <xf numFmtId="0" fontId="114" fillId="41" borderId="76" applyNumberFormat="0" applyFont="0" applyAlignment="0" applyProtection="0"/>
    <xf numFmtId="0" fontId="114" fillId="41" borderId="76" applyNumberFormat="0" applyFont="0" applyAlignment="0" applyProtection="0"/>
    <xf numFmtId="15" fontId="186" fillId="66" borderId="1">
      <alignment horizontal="left" vertical="center" textRotation="44"/>
    </xf>
    <xf numFmtId="40" fontId="187" fillId="0" borderId="0" applyFont="0" applyFill="0" applyBorder="0" applyAlignment="0" applyProtection="0"/>
    <xf numFmtId="38" fontId="187" fillId="0" borderId="0" applyFont="0" applyFill="0" applyBorder="0" applyAlignment="0" applyProtection="0"/>
    <xf numFmtId="0" fontId="188" fillId="42" borderId="77" applyNumberFormat="0" applyAlignment="0" applyProtection="0"/>
    <xf numFmtId="0" fontId="188" fillId="42" borderId="77" applyNumberFormat="0" applyAlignment="0" applyProtection="0"/>
    <xf numFmtId="0" fontId="188" fillId="42" borderId="77" applyNumberFormat="0" applyAlignment="0" applyProtection="0"/>
    <xf numFmtId="0" fontId="188" fillId="42" borderId="77" applyNumberFormat="0" applyAlignment="0" applyProtection="0"/>
    <xf numFmtId="0" fontId="188" fillId="42" borderId="77" applyNumberFormat="0" applyAlignment="0" applyProtection="0"/>
    <xf numFmtId="0" fontId="188" fillId="42" borderId="77" applyNumberFormat="0" applyAlignment="0" applyProtection="0"/>
    <xf numFmtId="0" fontId="188" fillId="42" borderId="77" applyNumberFormat="0" applyAlignment="0" applyProtection="0"/>
    <xf numFmtId="0" fontId="188" fillId="42" borderId="77" applyNumberFormat="0" applyAlignment="0" applyProtection="0"/>
    <xf numFmtId="0" fontId="188" fillId="42" borderId="77" applyNumberFormat="0" applyAlignment="0" applyProtection="0"/>
    <xf numFmtId="0" fontId="188" fillId="42" borderId="77" applyNumberFormat="0" applyAlignment="0" applyProtection="0"/>
    <xf numFmtId="0" fontId="188" fillId="42" borderId="77" applyNumberFormat="0" applyAlignment="0" applyProtection="0"/>
    <xf numFmtId="0" fontId="188" fillId="42" borderId="77" applyNumberFormat="0" applyAlignment="0" applyProtection="0"/>
    <xf numFmtId="40" fontId="189" fillId="43" borderId="0">
      <alignment horizontal="right"/>
    </xf>
    <xf numFmtId="38" fontId="146" fillId="43" borderId="0">
      <alignment horizontal="right"/>
    </xf>
    <xf numFmtId="0" fontId="190" fillId="43" borderId="0">
      <alignment horizontal="right"/>
    </xf>
    <xf numFmtId="0" fontId="191" fillId="43" borderId="0">
      <alignment horizontal="right"/>
    </xf>
    <xf numFmtId="0" fontId="192" fillId="43" borderId="16"/>
    <xf numFmtId="0" fontId="191" fillId="43" borderId="16"/>
    <xf numFmtId="0" fontId="192" fillId="0" borderId="0" applyBorder="0">
      <alignment horizontal="centerContinuous"/>
    </xf>
    <xf numFmtId="0" fontId="193" fillId="0" borderId="0" applyBorder="0">
      <alignment horizontal="centerContinuous"/>
    </xf>
    <xf numFmtId="0" fontId="194" fillId="0" borderId="0" applyBorder="0">
      <alignment horizontal="centerContinuous"/>
    </xf>
    <xf numFmtId="0" fontId="195" fillId="0" borderId="0" applyBorder="0">
      <alignment horizontal="centerContinuous"/>
    </xf>
    <xf numFmtId="0" fontId="121" fillId="0" borderId="0" applyFill="0" applyBorder="0" applyProtection="0">
      <alignment horizontal="center" vertical="center"/>
    </xf>
    <xf numFmtId="9" fontId="114" fillId="0" borderId="0" applyFont="0" applyFill="0" applyBorder="0" applyAlignment="0" applyProtection="0"/>
    <xf numFmtId="0" fontId="114" fillId="0" borderId="0" applyFont="0" applyFill="0" applyBorder="0" applyAlignment="0" applyProtection="0"/>
    <xf numFmtId="169" fontId="114" fillId="0" borderId="0" applyFont="0" applyFill="0" applyBorder="0" applyAlignment="0" applyProtection="0"/>
    <xf numFmtId="169" fontId="114" fillId="0" borderId="0" applyFont="0" applyFill="0" applyBorder="0" applyAlignment="0" applyProtection="0"/>
    <xf numFmtId="169" fontId="114" fillId="0" borderId="0" applyFont="0" applyFill="0" applyBorder="0" applyAlignment="0" applyProtection="0"/>
    <xf numFmtId="169" fontId="114" fillId="0" borderId="0" applyFont="0" applyFill="0" applyBorder="0" applyAlignment="0" applyProtection="0"/>
    <xf numFmtId="169" fontId="114" fillId="0" borderId="0" applyFont="0" applyFill="0" applyBorder="0" applyAlignment="0" applyProtection="0"/>
    <xf numFmtId="179" fontId="114" fillId="0" borderId="0" applyFont="0" applyFill="0" applyBorder="0" applyAlignment="0" applyProtection="0"/>
    <xf numFmtId="210" fontId="114" fillId="0" borderId="0" applyFont="0" applyFill="0" applyBorder="0" applyAlignment="0" applyProtection="0"/>
    <xf numFmtId="210" fontId="114" fillId="0" borderId="0" applyFont="0" applyFill="0" applyBorder="0" applyAlignment="0" applyProtection="0"/>
    <xf numFmtId="210" fontId="114" fillId="0" borderId="0" applyFont="0" applyFill="0" applyBorder="0" applyAlignment="0" applyProtection="0"/>
    <xf numFmtId="210" fontId="114" fillId="0" borderId="0" applyFont="0" applyFill="0" applyBorder="0" applyAlignment="0" applyProtection="0"/>
    <xf numFmtId="210" fontId="114" fillId="0" borderId="0" applyFont="0" applyFill="0" applyBorder="0" applyAlignment="0" applyProtection="0"/>
    <xf numFmtId="210" fontId="114" fillId="0" borderId="0" applyFont="0" applyFill="0" applyBorder="0" applyAlignment="0" applyProtection="0"/>
    <xf numFmtId="211" fontId="114" fillId="0" borderId="0" applyFont="0" applyFill="0" applyBorder="0" applyAlignment="0" applyProtection="0"/>
    <xf numFmtId="10" fontId="114" fillId="0" borderId="0" applyFont="0" applyFill="0" applyBorder="0" applyAlignment="0" applyProtection="0"/>
    <xf numFmtId="10" fontId="114" fillId="0" borderId="0" applyFont="0" applyFill="0" applyBorder="0" applyAlignment="0" applyProtection="0"/>
    <xf numFmtId="10" fontId="114" fillId="0" borderId="0" applyFont="0" applyFill="0" applyBorder="0" applyAlignment="0" applyProtection="0"/>
    <xf numFmtId="10" fontId="114" fillId="0" borderId="0" applyFont="0" applyFill="0" applyBorder="0" applyAlignment="0" applyProtection="0"/>
    <xf numFmtId="10" fontId="114" fillId="0" borderId="0" applyFont="0" applyFill="0" applyBorder="0" applyAlignment="0" applyProtection="0"/>
    <xf numFmtId="10"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2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221"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221"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2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24" fillId="0" borderId="0" applyFont="0" applyFill="0" applyBorder="0" applyAlignment="0" applyProtection="0"/>
    <xf numFmtId="9" fontId="27"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27"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27"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27" fillId="0" borderId="0" applyFont="0" applyFill="0" applyBorder="0" applyAlignment="0" applyProtection="0"/>
    <xf numFmtId="9" fontId="221" fillId="0" borderId="0" applyFont="0" applyFill="0" applyBorder="0" applyAlignment="0" applyProtection="0"/>
    <xf numFmtId="9" fontId="142"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44" fillId="0" borderId="0" applyFont="0" applyFill="0" applyBorder="0" applyAlignment="0" applyProtection="0"/>
    <xf numFmtId="9" fontId="124" fillId="0" borderId="0" applyFont="0" applyFill="0" applyBorder="0" applyAlignment="0" applyProtection="0"/>
    <xf numFmtId="9" fontId="114" fillId="0" borderId="0" applyFont="0" applyFill="0" applyBorder="0" applyAlignment="0" applyProtection="0"/>
    <xf numFmtId="9" fontId="12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2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2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2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2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41"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46" fillId="0" borderId="0" applyFont="0" applyFill="0" applyBorder="0" applyAlignment="0" applyProtection="0"/>
    <xf numFmtId="9" fontId="124" fillId="0" borderId="0" applyFont="0" applyFill="0" applyBorder="0" applyAlignment="0" applyProtection="0"/>
    <xf numFmtId="9" fontId="114" fillId="0" borderId="0" applyFont="0" applyFill="0" applyBorder="0" applyAlignment="0" applyProtection="0"/>
    <xf numFmtId="9" fontId="146"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46"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2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2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2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2" fillId="0" borderId="27" applyNumberFormat="0" applyBorder="0"/>
    <xf numFmtId="13" fontId="114" fillId="0" borderId="0" applyFont="0" applyFill="0" applyProtection="0"/>
    <xf numFmtId="180" fontId="114" fillId="0" borderId="0" applyFill="0" applyBorder="0" applyAlignment="0"/>
    <xf numFmtId="180" fontId="114" fillId="0" borderId="0" applyFill="0" applyBorder="0" applyAlignment="0"/>
    <xf numFmtId="180" fontId="114" fillId="0" borderId="0" applyFill="0" applyBorder="0" applyAlignment="0"/>
    <xf numFmtId="180" fontId="114" fillId="0" borderId="0" applyFill="0" applyBorder="0" applyAlignment="0"/>
    <xf numFmtId="180" fontId="114" fillId="0" borderId="0" applyFill="0" applyBorder="0" applyAlignment="0"/>
    <xf numFmtId="180" fontId="114" fillId="0" borderId="0" applyFill="0" applyBorder="0" applyAlignment="0"/>
    <xf numFmtId="174" fontId="114" fillId="0" borderId="0" applyFill="0" applyBorder="0" applyAlignment="0"/>
    <xf numFmtId="175" fontId="134" fillId="0" borderId="0" applyFill="0" applyBorder="0" applyAlignment="0"/>
    <xf numFmtId="176" fontId="196" fillId="0" borderId="0" applyFill="0" applyBorder="0" applyAlignment="0"/>
    <xf numFmtId="180" fontId="114" fillId="0" borderId="0" applyFill="0" applyBorder="0" applyAlignment="0"/>
    <xf numFmtId="180" fontId="114" fillId="0" borderId="0" applyFill="0" applyBorder="0" applyAlignment="0"/>
    <xf numFmtId="180" fontId="114" fillId="0" borderId="0" applyFill="0" applyBorder="0" applyAlignment="0"/>
    <xf numFmtId="180" fontId="114" fillId="0" borderId="0" applyFill="0" applyBorder="0" applyAlignment="0"/>
    <xf numFmtId="180" fontId="114" fillId="0" borderId="0" applyFill="0" applyBorder="0" applyAlignment="0"/>
    <xf numFmtId="180" fontId="114" fillId="0" borderId="0" applyFill="0" applyBorder="0" applyAlignment="0"/>
    <xf numFmtId="181" fontId="196" fillId="0" borderId="0" applyFill="0" applyBorder="0" applyAlignment="0"/>
    <xf numFmtId="182" fontId="114" fillId="0" borderId="0" applyFill="0" applyBorder="0" applyAlignment="0"/>
    <xf numFmtId="182" fontId="114" fillId="0" borderId="0" applyFill="0" applyBorder="0" applyAlignment="0"/>
    <xf numFmtId="182" fontId="114" fillId="0" borderId="0" applyFill="0" applyBorder="0" applyAlignment="0"/>
    <xf numFmtId="182" fontId="114" fillId="0" borderId="0" applyFill="0" applyBorder="0" applyAlignment="0"/>
    <xf numFmtId="182" fontId="114" fillId="0" borderId="0" applyFill="0" applyBorder="0" applyAlignment="0"/>
    <xf numFmtId="182" fontId="114" fillId="0" borderId="0" applyFill="0" applyBorder="0" applyAlignment="0"/>
    <xf numFmtId="183" fontId="196" fillId="0" borderId="0" applyFill="0" applyBorder="0" applyAlignment="0"/>
    <xf numFmtId="175" fontId="134" fillId="0" borderId="0" applyFill="0" applyBorder="0" applyAlignment="0"/>
    <xf numFmtId="176" fontId="196" fillId="0" borderId="0" applyFill="0" applyBorder="0" applyAlignment="0"/>
    <xf numFmtId="0" fontId="197" fillId="0" borderId="20" applyNumberFormat="0" applyBorder="0" applyAlignment="0"/>
    <xf numFmtId="0" fontId="112" fillId="0" borderId="0" applyNumberFormat="0" applyFont="0" applyFill="0" applyBorder="0" applyAlignment="0" applyProtection="0">
      <alignment horizontal="left"/>
    </xf>
    <xf numFmtId="0" fontId="198" fillId="0" borderId="35">
      <alignment horizontal="center"/>
    </xf>
    <xf numFmtId="212" fontId="114" fillId="0" borderId="0"/>
    <xf numFmtId="6" fontId="114" fillId="0" borderId="0">
      <alignment horizontal="left"/>
    </xf>
    <xf numFmtId="0" fontId="139" fillId="0" borderId="0"/>
    <xf numFmtId="0" fontId="139" fillId="0" borderId="0"/>
    <xf numFmtId="4" fontId="94" fillId="67" borderId="77" applyNumberFormat="0" applyProtection="0">
      <alignment vertical="center"/>
    </xf>
    <xf numFmtId="4" fontId="199" fillId="67" borderId="77" applyNumberFormat="0" applyProtection="0">
      <alignment vertical="center"/>
    </xf>
    <xf numFmtId="4" fontId="94" fillId="67" borderId="77" applyNumberFormat="0" applyProtection="0">
      <alignment horizontal="left" vertical="center" indent="1"/>
    </xf>
    <xf numFmtId="4" fontId="94" fillId="67" borderId="77" applyNumberFormat="0" applyProtection="0">
      <alignment horizontal="left" vertical="center" indent="1"/>
    </xf>
    <xf numFmtId="0" fontId="114" fillId="45" borderId="77" applyNumberFormat="0" applyProtection="0">
      <alignment horizontal="left" vertical="center" indent="1"/>
    </xf>
    <xf numFmtId="4" fontId="94" fillId="46" borderId="77" applyNumberFormat="0" applyProtection="0">
      <alignment horizontal="right" vertical="center"/>
    </xf>
    <xf numFmtId="4" fontId="94" fillId="52" borderId="77" applyNumberFormat="0" applyProtection="0">
      <alignment horizontal="right" vertical="center"/>
    </xf>
    <xf numFmtId="4" fontId="94" fillId="61" borderId="77" applyNumberFormat="0" applyProtection="0">
      <alignment horizontal="right" vertical="center"/>
    </xf>
    <xf numFmtId="4" fontId="94" fillId="54" borderId="77" applyNumberFormat="0" applyProtection="0">
      <alignment horizontal="right" vertical="center"/>
    </xf>
    <xf numFmtId="4" fontId="94" fillId="58" borderId="77" applyNumberFormat="0" applyProtection="0">
      <alignment horizontal="right" vertical="center"/>
    </xf>
    <xf numFmtId="4" fontId="94" fillId="63" borderId="77" applyNumberFormat="0" applyProtection="0">
      <alignment horizontal="right" vertical="center"/>
    </xf>
    <xf numFmtId="4" fontId="94" fillId="62" borderId="77" applyNumberFormat="0" applyProtection="0">
      <alignment horizontal="right" vertical="center"/>
    </xf>
    <xf numFmtId="4" fontId="94" fillId="68" borderId="77" applyNumberFormat="0" applyProtection="0">
      <alignment horizontal="right" vertical="center"/>
    </xf>
    <xf numFmtId="4" fontId="94" fillId="53" borderId="77" applyNumberFormat="0" applyProtection="0">
      <alignment horizontal="right" vertical="center"/>
    </xf>
    <xf numFmtId="4" fontId="103" fillId="69" borderId="77" applyNumberFormat="0" applyProtection="0">
      <alignment horizontal="left" vertical="center" indent="1"/>
    </xf>
    <xf numFmtId="4" fontId="94" fillId="70" borderId="78" applyNumberFormat="0" applyProtection="0">
      <alignment horizontal="left" vertical="center" indent="1"/>
    </xf>
    <xf numFmtId="4" fontId="200" fillId="71" borderId="0" applyNumberFormat="0" applyProtection="0">
      <alignment horizontal="left" vertical="center" indent="1"/>
    </xf>
    <xf numFmtId="0" fontId="114" fillId="45" borderId="77" applyNumberFormat="0" applyProtection="0">
      <alignment horizontal="left" vertical="center" indent="1"/>
    </xf>
    <xf numFmtId="4" fontId="94" fillId="70" borderId="77" applyNumberFormat="0" applyProtection="0">
      <alignment horizontal="left" vertical="center" indent="1"/>
    </xf>
    <xf numFmtId="4" fontId="94" fillId="72" borderId="77" applyNumberFormat="0" applyProtection="0">
      <alignment horizontal="left" vertical="center" indent="1"/>
    </xf>
    <xf numFmtId="0" fontId="114" fillId="72" borderId="77" applyNumberFormat="0" applyProtection="0">
      <alignment horizontal="left" vertical="center" indent="1"/>
    </xf>
    <xf numFmtId="0" fontId="114" fillId="72" borderId="77" applyNumberFormat="0" applyProtection="0">
      <alignment horizontal="left" vertical="center" indent="1"/>
    </xf>
    <xf numFmtId="0" fontId="114" fillId="64" borderId="77" applyNumberFormat="0" applyProtection="0">
      <alignment horizontal="left" vertical="center" indent="1"/>
    </xf>
    <xf numFmtId="0" fontId="114" fillId="64" borderId="77" applyNumberFormat="0" applyProtection="0">
      <alignment horizontal="left" vertical="center" indent="1"/>
    </xf>
    <xf numFmtId="0" fontId="114" fillId="42" borderId="77" applyNumberFormat="0" applyProtection="0">
      <alignment horizontal="left" vertical="center" indent="1"/>
    </xf>
    <xf numFmtId="0" fontId="114" fillId="42" borderId="77" applyNumberFormat="0" applyProtection="0">
      <alignment horizontal="left" vertical="center" indent="1"/>
    </xf>
    <xf numFmtId="0" fontId="114" fillId="45" borderId="77" applyNumberFormat="0" applyProtection="0">
      <alignment horizontal="left" vertical="center" indent="1"/>
    </xf>
    <xf numFmtId="0" fontId="114" fillId="45" borderId="77" applyNumberFormat="0" applyProtection="0">
      <alignment horizontal="left" vertical="center" indent="1"/>
    </xf>
    <xf numFmtId="4" fontId="94" fillId="41" borderId="77" applyNumberFormat="0" applyProtection="0">
      <alignment vertical="center"/>
    </xf>
    <xf numFmtId="4" fontId="199" fillId="41" borderId="77" applyNumberFormat="0" applyProtection="0">
      <alignment vertical="center"/>
    </xf>
    <xf numFmtId="4" fontId="94" fillId="41" borderId="77" applyNumberFormat="0" applyProtection="0">
      <alignment horizontal="left" vertical="center" indent="1"/>
    </xf>
    <xf numFmtId="4" fontId="94" fillId="41" borderId="77" applyNumberFormat="0" applyProtection="0">
      <alignment horizontal="left" vertical="center" indent="1"/>
    </xf>
    <xf numFmtId="4" fontId="94" fillId="70" borderId="77" applyNumberFormat="0" applyProtection="0">
      <alignment horizontal="right" vertical="center"/>
    </xf>
    <xf numFmtId="4" fontId="199" fillId="70" borderId="77" applyNumberFormat="0" applyProtection="0">
      <alignment horizontal="right" vertical="center"/>
    </xf>
    <xf numFmtId="0" fontId="114" fillId="45" borderId="77" applyNumberFormat="0" applyProtection="0">
      <alignment horizontal="left" vertical="center" indent="1"/>
    </xf>
    <xf numFmtId="0" fontId="114" fillId="45" borderId="77" applyNumberFormat="0" applyProtection="0">
      <alignment horizontal="left" vertical="center" indent="1"/>
    </xf>
    <xf numFmtId="0" fontId="201" fillId="0" borderId="0"/>
    <xf numFmtId="4" fontId="196" fillId="70" borderId="77" applyNumberFormat="0" applyProtection="0">
      <alignment horizontal="right" vertical="center"/>
    </xf>
    <xf numFmtId="213" fontId="114" fillId="0" borderId="0" applyFont="0" applyFill="0" applyBorder="0" applyAlignment="0" applyProtection="0"/>
    <xf numFmtId="214" fontId="114" fillId="0" borderId="0" applyFont="0" applyFill="0" applyBorder="0" applyAlignment="0" applyProtection="0"/>
    <xf numFmtId="0" fontId="128" fillId="0" borderId="0"/>
    <xf numFmtId="207" fontId="112" fillId="0" borderId="0">
      <alignment horizontal="center"/>
    </xf>
    <xf numFmtId="0" fontId="202" fillId="0" borderId="0"/>
    <xf numFmtId="0" fontId="114" fillId="0" borderId="0">
      <alignment horizontal="justify" vertical="justify" textRotation="127" wrapText="1"/>
      <protection hidden="1"/>
    </xf>
    <xf numFmtId="0" fontId="126" fillId="0" borderId="0"/>
    <xf numFmtId="0" fontId="126" fillId="0" borderId="68"/>
    <xf numFmtId="0" fontId="203" fillId="73" borderId="68"/>
    <xf numFmtId="0" fontId="126" fillId="0" borderId="0"/>
    <xf numFmtId="0" fontId="126" fillId="0" borderId="68"/>
    <xf numFmtId="0" fontId="204" fillId="74" borderId="0"/>
    <xf numFmtId="0" fontId="203" fillId="0" borderId="79"/>
    <xf numFmtId="0" fontId="203" fillId="0" borderId="68"/>
    <xf numFmtId="0" fontId="28" fillId="0" borderId="0"/>
    <xf numFmtId="0" fontId="205" fillId="0" borderId="0">
      <alignment horizontal="left" vertical="center"/>
    </xf>
    <xf numFmtId="0" fontId="176" fillId="0" borderId="0"/>
    <xf numFmtId="0" fontId="33" fillId="0" borderId="0" applyNumberFormat="0" applyFill="0" applyBorder="0" applyProtection="0">
      <alignment vertical="center"/>
    </xf>
    <xf numFmtId="0" fontId="206" fillId="75" borderId="80" applyNumberFormat="0" applyProtection="0">
      <alignment horizontal="center" vertical="center" wrapText="1"/>
    </xf>
    <xf numFmtId="0" fontId="139" fillId="0" borderId="68"/>
    <xf numFmtId="0" fontId="139" fillId="0" borderId="68"/>
    <xf numFmtId="0" fontId="206" fillId="2" borderId="67" applyProtection="0">
      <alignment horizontal="center" vertical="center" wrapText="1"/>
    </xf>
    <xf numFmtId="37" fontId="207" fillId="0" borderId="81" applyNumberFormat="0" applyFont="0" applyBorder="0" applyAlignment="0" applyProtection="0">
      <alignment horizontal="centerContinuous"/>
    </xf>
    <xf numFmtId="49" fontId="94" fillId="0" borderId="0" applyFill="0" applyBorder="0" applyAlignment="0"/>
    <xf numFmtId="49" fontId="94" fillId="0" borderId="0" applyFill="0" applyBorder="0" applyAlignment="0"/>
    <xf numFmtId="0" fontId="128" fillId="0" borderId="0" applyFill="0" applyBorder="0" applyAlignment="0"/>
    <xf numFmtId="174" fontId="114" fillId="0" borderId="0" applyFill="0" applyBorder="0" applyAlignment="0"/>
    <xf numFmtId="0" fontId="114" fillId="0" borderId="0" applyFill="0" applyBorder="0" applyAlignment="0"/>
    <xf numFmtId="169" fontId="114" fillId="0" borderId="0" applyFill="0" applyBorder="0" applyAlignment="0"/>
    <xf numFmtId="169" fontId="114" fillId="0" borderId="0" applyFill="0" applyBorder="0" applyAlignment="0"/>
    <xf numFmtId="169" fontId="114" fillId="0" borderId="0" applyFill="0" applyBorder="0" applyAlignment="0"/>
    <xf numFmtId="169" fontId="114" fillId="0" borderId="0" applyFill="0" applyBorder="0" applyAlignment="0"/>
    <xf numFmtId="169" fontId="114" fillId="0" borderId="0" applyFill="0" applyBorder="0" applyAlignment="0"/>
    <xf numFmtId="215" fontId="94" fillId="0" borderId="0" applyFill="0" applyBorder="0" applyAlignment="0"/>
    <xf numFmtId="40" fontId="149" fillId="0" borderId="0"/>
    <xf numFmtId="0" fontId="208" fillId="76" borderId="0"/>
    <xf numFmtId="0" fontId="209" fillId="76" borderId="0"/>
    <xf numFmtId="0" fontId="210" fillId="0" borderId="0" applyNumberFormat="0" applyFill="0" applyBorder="0" applyAlignment="0" applyProtection="0"/>
    <xf numFmtId="0" fontId="211" fillId="0" borderId="0" applyNumberFormat="0" applyFill="0" applyBorder="0" applyAlignment="0" applyProtection="0"/>
    <xf numFmtId="0" fontId="211" fillId="0" borderId="0" applyNumberFormat="0" applyFill="0" applyBorder="0" applyAlignment="0" applyProtection="0"/>
    <xf numFmtId="0" fontId="211" fillId="0" borderId="0" applyNumberFormat="0" applyFill="0" applyBorder="0" applyAlignment="0" applyProtection="0"/>
    <xf numFmtId="0" fontId="211" fillId="0" borderId="0" applyNumberFormat="0" applyFill="0" applyBorder="0" applyAlignment="0" applyProtection="0"/>
    <xf numFmtId="0" fontId="212" fillId="0" borderId="0">
      <alignment horizontal="left"/>
    </xf>
    <xf numFmtId="0" fontId="118" fillId="67" borderId="82">
      <alignment wrapText="1"/>
    </xf>
    <xf numFmtId="0" fontId="118" fillId="42" borderId="68"/>
    <xf numFmtId="0" fontId="118" fillId="42" borderId="68"/>
    <xf numFmtId="0" fontId="60" fillId="0" borderId="64" applyNumberFormat="0" applyFill="0" applyAlignment="0" applyProtection="0"/>
    <xf numFmtId="0" fontId="60" fillId="0" borderId="64" applyNumberFormat="0" applyFill="0" applyAlignment="0" applyProtection="0"/>
    <xf numFmtId="0" fontId="213" fillId="0" borderId="83" applyNumberFormat="0" applyFill="0" applyAlignment="0" applyProtection="0"/>
    <xf numFmtId="0" fontId="60" fillId="0" borderId="64" applyNumberFormat="0" applyFill="0" applyAlignment="0" applyProtection="0"/>
    <xf numFmtId="0" fontId="213" fillId="0" borderId="83" applyNumberFormat="0" applyFill="0" applyAlignment="0" applyProtection="0"/>
    <xf numFmtId="0" fontId="213" fillId="0" borderId="83" applyNumberFormat="0" applyFill="0" applyAlignment="0" applyProtection="0"/>
    <xf numFmtId="0" fontId="213" fillId="0" borderId="83" applyNumberFormat="0" applyFill="0" applyAlignment="0" applyProtection="0"/>
    <xf numFmtId="0" fontId="213" fillId="0" borderId="83" applyNumberFormat="0" applyFill="0" applyAlignment="0" applyProtection="0"/>
    <xf numFmtId="0" fontId="213" fillId="0" borderId="83" applyNumberFormat="0" applyFill="0" applyAlignment="0" applyProtection="0"/>
    <xf numFmtId="0" fontId="213" fillId="0" borderId="83" applyNumberFormat="0" applyFill="0" applyAlignment="0" applyProtection="0"/>
    <xf numFmtId="0" fontId="213" fillId="0" borderId="83" applyNumberFormat="0" applyFill="0" applyAlignment="0" applyProtection="0"/>
    <xf numFmtId="0" fontId="213" fillId="0" borderId="83" applyNumberFormat="0" applyFill="0" applyAlignment="0" applyProtection="0"/>
    <xf numFmtId="0" fontId="213" fillId="0" borderId="83" applyNumberFormat="0" applyFill="0" applyAlignment="0" applyProtection="0"/>
    <xf numFmtId="0" fontId="213" fillId="0" borderId="83" applyNumberFormat="0" applyFill="0" applyAlignment="0" applyProtection="0"/>
    <xf numFmtId="0" fontId="213" fillId="0" borderId="83" applyNumberFormat="0" applyFill="0" applyAlignment="0" applyProtection="0"/>
    <xf numFmtId="0" fontId="214" fillId="0" borderId="79"/>
    <xf numFmtId="0" fontId="160" fillId="0" borderId="79"/>
    <xf numFmtId="0" fontId="214" fillId="0" borderId="68"/>
    <xf numFmtId="0" fontId="160" fillId="0" borderId="68"/>
    <xf numFmtId="49" fontId="41" fillId="0" borderId="0"/>
    <xf numFmtId="49" fontId="41" fillId="0" borderId="0"/>
    <xf numFmtId="49" fontId="41" fillId="0" borderId="0"/>
    <xf numFmtId="49" fontId="41" fillId="0" borderId="0"/>
    <xf numFmtId="49" fontId="41" fillId="0" borderId="0"/>
    <xf numFmtId="49" fontId="41" fillId="0" borderId="0"/>
    <xf numFmtId="49" fontId="41" fillId="0" borderId="0"/>
    <xf numFmtId="49" fontId="41" fillId="0" borderId="0"/>
    <xf numFmtId="49" fontId="41" fillId="0" borderId="0"/>
    <xf numFmtId="49" fontId="41" fillId="0" borderId="0"/>
    <xf numFmtId="49" fontId="41" fillId="0" borderId="0"/>
    <xf numFmtId="49" fontId="41" fillId="0" borderId="0"/>
    <xf numFmtId="49" fontId="41" fillId="0" borderId="0"/>
    <xf numFmtId="49" fontId="41" fillId="0" borderId="0"/>
    <xf numFmtId="49" fontId="41" fillId="0" borderId="0"/>
    <xf numFmtId="49" fontId="41" fillId="0" borderId="0"/>
    <xf numFmtId="0" fontId="128" fillId="43" borderId="0"/>
    <xf numFmtId="0" fontId="128" fillId="43" borderId="0"/>
    <xf numFmtId="201" fontId="114" fillId="0" borderId="0" applyFont="0" applyFill="0" applyBorder="0" applyAlignment="0" applyProtection="0"/>
    <xf numFmtId="216" fontId="114" fillId="0" borderId="0" applyFont="0" applyFill="0" applyBorder="0" applyAlignment="0" applyProtection="0"/>
    <xf numFmtId="217" fontId="114" fillId="0" borderId="0" applyFont="0" applyFill="0" applyBorder="0" applyAlignment="0" applyProtection="0"/>
    <xf numFmtId="218" fontId="114" fillId="0" borderId="0" applyFont="0" applyFill="0" applyBorder="0" applyAlignment="0" applyProtection="0"/>
    <xf numFmtId="0" fontId="215" fillId="0" borderId="0" applyNumberFormat="0" applyFill="0" applyBorder="0" applyAlignment="0" applyProtection="0"/>
    <xf numFmtId="0" fontId="215" fillId="0" borderId="0" applyNumberFormat="0" applyFill="0" applyBorder="0" applyAlignment="0" applyProtection="0"/>
    <xf numFmtId="0" fontId="215" fillId="0" borderId="0" applyNumberFormat="0" applyFill="0" applyBorder="0" applyAlignment="0" applyProtection="0"/>
    <xf numFmtId="0" fontId="215" fillId="0" borderId="0" applyNumberFormat="0" applyFill="0" applyBorder="0" applyAlignment="0" applyProtection="0"/>
    <xf numFmtId="0" fontId="216" fillId="0" borderId="0"/>
    <xf numFmtId="0" fontId="217" fillId="0" borderId="0"/>
    <xf numFmtId="4" fontId="112" fillId="0" borderId="0" applyFont="0" applyFill="0" applyBorder="0" applyAlignment="0" applyProtection="0"/>
    <xf numFmtId="219" fontId="218" fillId="0" borderId="0" applyFont="0" applyFill="0" applyBorder="0" applyAlignment="0" applyProtection="0"/>
    <xf numFmtId="0" fontId="114" fillId="0" borderId="0"/>
    <xf numFmtId="190" fontId="218" fillId="0" borderId="0" applyFont="0" applyFill="0" applyBorder="0" applyAlignment="0" applyProtection="0"/>
    <xf numFmtId="203" fontId="112" fillId="0" borderId="0" applyFont="0" applyFill="0" applyBorder="0" applyAlignment="0" applyProtection="0"/>
    <xf numFmtId="44" fontId="221" fillId="0" borderId="0" applyFont="0" applyFill="0" applyBorder="0" applyAlignment="0" applyProtection="0"/>
  </cellStyleXfs>
  <cellXfs count="1600">
    <xf numFmtId="0" fontId="0" fillId="0" borderId="0" xfId="0"/>
    <xf numFmtId="0" fontId="1" fillId="0" borderId="0" xfId="0" applyFont="1" applyAlignment="1">
      <alignment horizontal="center"/>
    </xf>
    <xf numFmtId="0" fontId="1" fillId="0" borderId="0" xfId="0" applyFont="1"/>
    <xf numFmtId="186" fontId="1" fillId="0" borderId="0" xfId="1" applyNumberFormat="1" applyFont="1"/>
    <xf numFmtId="0" fontId="2" fillId="0" borderId="0" xfId="0" applyFont="1" applyAlignment="1">
      <alignment horizontal="left"/>
    </xf>
    <xf numFmtId="0" fontId="2" fillId="0" borderId="0" xfId="0" applyFont="1"/>
    <xf numFmtId="0" fontId="2" fillId="0" borderId="1" xfId="0" applyFont="1" applyBorder="1" applyAlignment="1">
      <alignment horizontal="center"/>
    </xf>
    <xf numFmtId="0" fontId="2" fillId="0" borderId="1" xfId="0" applyFont="1" applyBorder="1"/>
    <xf numFmtId="0" fontId="1" fillId="0" borderId="1" xfId="0" applyFont="1" applyBorder="1"/>
    <xf numFmtId="0" fontId="1" fillId="0" borderId="1" xfId="0" applyFont="1" applyBorder="1" applyAlignment="1">
      <alignment horizontal="center"/>
    </xf>
    <xf numFmtId="37" fontId="1" fillId="0" borderId="1" xfId="0" applyNumberFormat="1" applyFont="1" applyBorder="1"/>
    <xf numFmtId="186" fontId="1" fillId="0" borderId="1" xfId="1" applyNumberFormat="1" applyFont="1" applyBorder="1"/>
    <xf numFmtId="9" fontId="1" fillId="0" borderId="1" xfId="2" applyFont="1" applyBorder="1"/>
    <xf numFmtId="186" fontId="2" fillId="0" borderId="1" xfId="1" applyNumberFormat="1" applyFont="1" applyBorder="1" applyAlignment="1">
      <alignment horizontal="center"/>
    </xf>
    <xf numFmtId="186" fontId="1" fillId="0" borderId="0" xfId="0" applyNumberFormat="1" applyFont="1"/>
    <xf numFmtId="49" fontId="3" fillId="0" borderId="0" xfId="0" applyNumberFormat="1" applyFont="1"/>
    <xf numFmtId="49" fontId="4" fillId="0" borderId="0" xfId="0" applyNumberFormat="1" applyFont="1"/>
    <xf numFmtId="49" fontId="5" fillId="0" borderId="0" xfId="0" applyNumberFormat="1" applyFont="1"/>
    <xf numFmtId="49" fontId="6" fillId="0" borderId="0" xfId="0" applyNumberFormat="1" applyFont="1"/>
    <xf numFmtId="4" fontId="5" fillId="0" borderId="0" xfId="0" applyNumberFormat="1" applyFont="1"/>
    <xf numFmtId="4" fontId="0" fillId="0" borderId="0" xfId="0" applyNumberFormat="1"/>
    <xf numFmtId="0" fontId="7" fillId="0" borderId="0" xfId="2056" applyFont="1"/>
    <xf numFmtId="0" fontId="8" fillId="0" borderId="0" xfId="2056" applyFont="1"/>
    <xf numFmtId="0" fontId="9" fillId="0" borderId="0" xfId="2056" applyFont="1"/>
    <xf numFmtId="0" fontId="10" fillId="0" borderId="0" xfId="2056" applyFont="1"/>
    <xf numFmtId="0" fontId="9" fillId="0" borderId="2" xfId="2056" applyFont="1" applyBorder="1" applyAlignment="1">
      <alignment horizontal="center"/>
    </xf>
    <xf numFmtId="0" fontId="9" fillId="0" borderId="5" xfId="2056" applyFont="1" applyBorder="1" applyAlignment="1">
      <alignment horizontal="center"/>
    </xf>
    <xf numFmtId="17" fontId="9" fillId="0" borderId="5" xfId="2056" applyNumberFormat="1" applyFont="1" applyBorder="1" applyAlignment="1">
      <alignment horizontal="center"/>
    </xf>
    <xf numFmtId="0" fontId="9" fillId="0" borderId="6" xfId="2056" applyFont="1" applyBorder="1" applyAlignment="1">
      <alignment horizontal="center"/>
    </xf>
    <xf numFmtId="0" fontId="7" fillId="0" borderId="7" xfId="2056" applyFont="1" applyBorder="1"/>
    <xf numFmtId="186" fontId="7" fillId="0" borderId="7" xfId="1537" applyNumberFormat="1" applyFont="1" applyBorder="1"/>
    <xf numFmtId="0" fontId="7" fillId="0" borderId="8" xfId="2056" applyFont="1" applyBorder="1"/>
    <xf numFmtId="186" fontId="7" fillId="0" borderId="8" xfId="1537" applyNumberFormat="1" applyFont="1" applyBorder="1"/>
    <xf numFmtId="0" fontId="10" fillId="0" borderId="3" xfId="2056" applyFont="1" applyBorder="1" applyAlignment="1">
      <alignment horizontal="center"/>
    </xf>
    <xf numFmtId="186" fontId="10" fillId="0" borderId="3" xfId="1537" applyNumberFormat="1" applyFont="1" applyBorder="1"/>
    <xf numFmtId="186" fontId="9" fillId="0" borderId="0" xfId="1537" applyNumberFormat="1" applyFont="1"/>
    <xf numFmtId="186" fontId="9" fillId="0" borderId="5" xfId="1537" applyNumberFormat="1" applyFont="1" applyBorder="1" applyAlignment="1">
      <alignment horizontal="center"/>
    </xf>
    <xf numFmtId="0" fontId="9" fillId="0" borderId="6" xfId="1537" applyNumberFormat="1" applyFont="1" applyBorder="1" applyAlignment="1">
      <alignment horizontal="center"/>
    </xf>
    <xf numFmtId="186" fontId="9" fillId="0" borderId="7" xfId="1537" applyNumberFormat="1" applyFont="1" applyBorder="1"/>
    <xf numFmtId="186" fontId="9" fillId="0" borderId="8" xfId="1537" applyNumberFormat="1" applyFont="1" applyBorder="1"/>
    <xf numFmtId="49" fontId="7" fillId="0" borderId="8" xfId="1537" applyNumberFormat="1" applyFont="1" applyBorder="1" applyAlignment="1">
      <alignment horizontal="center"/>
    </xf>
    <xf numFmtId="186" fontId="9" fillId="0" borderId="8" xfId="1" applyNumberFormat="1" applyFont="1" applyBorder="1"/>
    <xf numFmtId="186" fontId="7" fillId="0" borderId="8" xfId="1537" applyNumberFormat="1" applyFont="1" applyFill="1" applyBorder="1"/>
    <xf numFmtId="49" fontId="10" fillId="0" borderId="3" xfId="1537" applyNumberFormat="1" applyFont="1" applyBorder="1" applyAlignment="1">
      <alignment horizontal="center"/>
    </xf>
    <xf numFmtId="164" fontId="9" fillId="0" borderId="0" xfId="1537" applyFont="1" applyAlignment="1">
      <alignment horizontal="center"/>
    </xf>
    <xf numFmtId="164" fontId="9" fillId="0" borderId="0" xfId="1537" applyFont="1"/>
    <xf numFmtId="164" fontId="10" fillId="0" borderId="2" xfId="1537" applyFont="1" applyBorder="1" applyAlignment="1">
      <alignment horizontal="center"/>
    </xf>
    <xf numFmtId="186" fontId="9" fillId="0" borderId="2" xfId="1537" applyNumberFormat="1" applyFont="1" applyBorder="1" applyAlignment="1">
      <alignment horizontal="center"/>
    </xf>
    <xf numFmtId="186" fontId="9" fillId="0" borderId="7" xfId="1537" applyNumberFormat="1" applyFont="1" applyBorder="1" applyAlignment="1">
      <alignment horizontal="center"/>
    </xf>
    <xf numFmtId="164" fontId="9" fillId="0" borderId="5" xfId="1537" applyFont="1" applyBorder="1" applyAlignment="1">
      <alignment horizontal="center"/>
    </xf>
    <xf numFmtId="186" fontId="9" fillId="0" borderId="6" xfId="1537" applyNumberFormat="1" applyFont="1" applyBorder="1" applyAlignment="1">
      <alignment horizontal="center"/>
    </xf>
    <xf numFmtId="0" fontId="9" fillId="0" borderId="11" xfId="1537" applyNumberFormat="1" applyFont="1" applyBorder="1" applyAlignment="1">
      <alignment horizontal="center"/>
    </xf>
    <xf numFmtId="164" fontId="7" fillId="0" borderId="7" xfId="1537" applyFont="1" applyBorder="1"/>
    <xf numFmtId="164" fontId="7" fillId="0" borderId="2" xfId="1537" applyFont="1" applyBorder="1"/>
    <xf numFmtId="186" fontId="9" fillId="0" borderId="5" xfId="1537" applyNumberFormat="1" applyFont="1" applyBorder="1"/>
    <xf numFmtId="164" fontId="7" fillId="0" borderId="8" xfId="1537" applyFont="1" applyBorder="1"/>
    <xf numFmtId="164" fontId="7" fillId="0" borderId="8" xfId="1537" applyFont="1" applyBorder="1" applyAlignment="1">
      <alignment horizontal="center"/>
    </xf>
    <xf numFmtId="186" fontId="9" fillId="0" borderId="5" xfId="1616" applyNumberFormat="1" applyFont="1" applyBorder="1"/>
    <xf numFmtId="186" fontId="12" fillId="0" borderId="8" xfId="1" applyNumberFormat="1" applyFont="1" applyBorder="1"/>
    <xf numFmtId="186" fontId="7" fillId="0" borderId="8" xfId="1537" applyNumberFormat="1" applyFont="1" applyBorder="1" applyAlignment="1">
      <alignment horizontal="center"/>
    </xf>
    <xf numFmtId="164" fontId="7" fillId="0" borderId="5" xfId="1537" applyFont="1" applyBorder="1"/>
    <xf numFmtId="186" fontId="10" fillId="0" borderId="1" xfId="1537" applyNumberFormat="1" applyFont="1" applyBorder="1"/>
    <xf numFmtId="0" fontId="13" fillId="0" borderId="0" xfId="2219" applyFont="1" applyAlignment="1">
      <alignment horizontal="center" vertical="center" wrapText="1"/>
    </xf>
    <xf numFmtId="0" fontId="14" fillId="0" borderId="0" xfId="2219" applyFont="1"/>
    <xf numFmtId="0" fontId="15" fillId="0" borderId="0" xfId="2219" applyFont="1"/>
    <xf numFmtId="0" fontId="13" fillId="0" borderId="1" xfId="2219" applyFont="1" applyBorder="1" applyAlignment="1">
      <alignment horizontal="center" vertical="center" wrapText="1"/>
    </xf>
    <xf numFmtId="0" fontId="13" fillId="0" borderId="0" xfId="2219" applyFont="1"/>
    <xf numFmtId="186" fontId="14" fillId="0" borderId="0" xfId="1632" applyNumberFormat="1" applyFont="1"/>
    <xf numFmtId="186" fontId="14" fillId="0" borderId="0" xfId="2219" applyNumberFormat="1" applyFont="1"/>
    <xf numFmtId="186" fontId="14" fillId="3" borderId="0" xfId="1632" applyNumberFormat="1" applyFont="1" applyFill="1"/>
    <xf numFmtId="0" fontId="14" fillId="4" borderId="0" xfId="2219" applyFont="1" applyFill="1"/>
    <xf numFmtId="186" fontId="14" fillId="4" borderId="0" xfId="2219" applyNumberFormat="1" applyFont="1" applyFill="1"/>
    <xf numFmtId="186" fontId="13" fillId="4" borderId="0" xfId="2219" applyNumberFormat="1" applyFont="1" applyFill="1"/>
    <xf numFmtId="0" fontId="14" fillId="3" borderId="0" xfId="2219" applyFont="1" applyFill="1"/>
    <xf numFmtId="186" fontId="14" fillId="3" borderId="0" xfId="2219" applyNumberFormat="1" applyFont="1" applyFill="1"/>
    <xf numFmtId="186" fontId="13" fillId="3" borderId="0" xfId="2219" applyNumberFormat="1" applyFont="1" applyFill="1"/>
    <xf numFmtId="0" fontId="14" fillId="0" borderId="0" xfId="1632" applyNumberFormat="1" applyFont="1" applyAlignment="1">
      <alignment horizontal="left"/>
    </xf>
    <xf numFmtId="186" fontId="13" fillId="0" borderId="0" xfId="1632" applyNumberFormat="1" applyFont="1" applyAlignment="1">
      <alignment horizontal="center" vertical="center"/>
    </xf>
    <xf numFmtId="186" fontId="14" fillId="0" borderId="2" xfId="1632" applyNumberFormat="1" applyFont="1" applyBorder="1"/>
    <xf numFmtId="186" fontId="14" fillId="0" borderId="6" xfId="1632" applyNumberFormat="1" applyFont="1" applyBorder="1"/>
    <xf numFmtId="186" fontId="13" fillId="0" borderId="0" xfId="1632" applyNumberFormat="1" applyFont="1"/>
    <xf numFmtId="186" fontId="16" fillId="0" borderId="1" xfId="1632" applyNumberFormat="1" applyFont="1" applyBorder="1"/>
    <xf numFmtId="186" fontId="17" fillId="0" borderId="0" xfId="1632" applyNumberFormat="1" applyFont="1"/>
    <xf numFmtId="0" fontId="17" fillId="0" borderId="0" xfId="2219" applyFont="1"/>
    <xf numFmtId="186" fontId="14" fillId="0" borderId="0" xfId="1632" applyNumberFormat="1" applyFont="1" applyFill="1"/>
    <xf numFmtId="186" fontId="17" fillId="0" borderId="0" xfId="1632" applyNumberFormat="1" applyFont="1" applyFill="1"/>
    <xf numFmtId="186" fontId="14" fillId="0" borderId="12" xfId="2219" applyNumberFormat="1" applyFont="1" applyBorder="1"/>
    <xf numFmtId="0" fontId="13" fillId="0" borderId="9" xfId="2219" applyFont="1" applyBorder="1" applyAlignment="1">
      <alignment horizontal="center"/>
    </xf>
    <xf numFmtId="0" fontId="13" fillId="0" borderId="3" xfId="2219" applyFont="1" applyBorder="1" applyAlignment="1">
      <alignment horizontal="center" vertical="center" wrapText="1"/>
    </xf>
    <xf numFmtId="9" fontId="13" fillId="0" borderId="0" xfId="2219" applyNumberFormat="1" applyFont="1" applyAlignment="1">
      <alignment horizontal="center" vertical="center" wrapText="1"/>
    </xf>
    <xf numFmtId="164" fontId="13" fillId="0" borderId="0" xfId="1632" applyFont="1"/>
    <xf numFmtId="186" fontId="14" fillId="0" borderId="0" xfId="1651" applyNumberFormat="1" applyFont="1"/>
    <xf numFmtId="186" fontId="13" fillId="0" borderId="0" xfId="1651" applyNumberFormat="1" applyFont="1"/>
    <xf numFmtId="0" fontId="18" fillId="4" borderId="0" xfId="2219" applyFont="1" applyFill="1"/>
    <xf numFmtId="0" fontId="18" fillId="3" borderId="0" xfId="2219" applyFont="1" applyFill="1"/>
    <xf numFmtId="186" fontId="13" fillId="3" borderId="12" xfId="1651" applyNumberFormat="1" applyFont="1" applyFill="1" applyBorder="1"/>
    <xf numFmtId="186" fontId="13" fillId="3" borderId="0" xfId="1651" applyNumberFormat="1" applyFont="1" applyFill="1" applyBorder="1"/>
    <xf numFmtId="186" fontId="14" fillId="0" borderId="0" xfId="1632" applyNumberFormat="1" applyFont="1" applyAlignment="1">
      <alignment wrapText="1"/>
    </xf>
    <xf numFmtId="164" fontId="13" fillId="3" borderId="0" xfId="1632" applyFont="1" applyFill="1"/>
    <xf numFmtId="186" fontId="13" fillId="0" borderId="0" xfId="2219" applyNumberFormat="1" applyFont="1"/>
    <xf numFmtId="186" fontId="13" fillId="0" borderId="0" xfId="1632" applyNumberFormat="1" applyFont="1" applyFill="1"/>
    <xf numFmtId="186" fontId="13" fillId="0" borderId="14" xfId="2219" applyNumberFormat="1" applyFont="1" applyBorder="1"/>
    <xf numFmtId="0" fontId="13" fillId="0" borderId="0" xfId="2219" applyFont="1" applyAlignment="1">
      <alignment horizontal="center"/>
    </xf>
    <xf numFmtId="164" fontId="14" fillId="0" borderId="0" xfId="2219" applyNumberFormat="1" applyFont="1"/>
    <xf numFmtId="186" fontId="13" fillId="0" borderId="12" xfId="2219" applyNumberFormat="1" applyFont="1" applyBorder="1"/>
    <xf numFmtId="0" fontId="14" fillId="0" borderId="0" xfId="2219" applyFont="1" applyAlignment="1">
      <alignment horizontal="center" vertical="center"/>
    </xf>
    <xf numFmtId="0" fontId="13" fillId="0" borderId="15" xfId="2219" applyFont="1" applyBorder="1" applyAlignment="1">
      <alignment horizontal="center"/>
    </xf>
    <xf numFmtId="0" fontId="13" fillId="0" borderId="16" xfId="2219" applyFont="1" applyBorder="1" applyAlignment="1">
      <alignment horizontal="center"/>
    </xf>
    <xf numFmtId="0" fontId="13" fillId="0" borderId="5" xfId="2219" applyFont="1" applyBorder="1" applyAlignment="1">
      <alignment horizontal="center" vertical="center" wrapText="1"/>
    </xf>
    <xf numFmtId="220" fontId="13" fillId="0" borderId="0" xfId="2401" applyNumberFormat="1" applyFont="1" applyBorder="1" applyAlignment="1">
      <alignment horizontal="center" vertical="center" wrapText="1"/>
    </xf>
    <xf numFmtId="0" fontId="14" fillId="0" borderId="13" xfId="2219" applyFont="1" applyBorder="1"/>
    <xf numFmtId="0" fontId="14" fillId="0" borderId="17" xfId="2219" applyFont="1" applyBorder="1"/>
    <xf numFmtId="0" fontId="14" fillId="0" borderId="16" xfId="2219" applyFont="1" applyBorder="1"/>
    <xf numFmtId="186" fontId="14" fillId="0" borderId="16" xfId="1632" applyNumberFormat="1" applyFont="1" applyBorder="1"/>
    <xf numFmtId="186" fontId="14" fillId="0" borderId="16" xfId="2219" applyNumberFormat="1" applyFont="1" applyBorder="1"/>
    <xf numFmtId="186" fontId="14" fillId="0" borderId="16" xfId="2219" applyNumberFormat="1" applyFont="1" applyBorder="1" applyAlignment="1">
      <alignment horizontal="center" vertical="center"/>
    </xf>
    <xf numFmtId="186" fontId="14" fillId="0" borderId="12" xfId="1632" applyNumberFormat="1" applyFont="1" applyBorder="1"/>
    <xf numFmtId="186" fontId="14" fillId="0" borderId="5" xfId="1632" applyNumberFormat="1" applyFont="1" applyBorder="1"/>
    <xf numFmtId="164" fontId="14" fillId="0" borderId="0" xfId="1632" applyFont="1"/>
    <xf numFmtId="0" fontId="13" fillId="0" borderId="18" xfId="2219" applyFont="1" applyBorder="1" applyAlignment="1">
      <alignment horizontal="center" wrapText="1"/>
    </xf>
    <xf numFmtId="186" fontId="14" fillId="0" borderId="0" xfId="1651" applyNumberFormat="1" applyFont="1" applyAlignment="1">
      <alignment horizontal="center" vertical="center" wrapText="1"/>
    </xf>
    <xf numFmtId="186" fontId="14" fillId="0" borderId="6" xfId="2219" applyNumberFormat="1" applyFont="1" applyBorder="1"/>
    <xf numFmtId="0" fontId="13" fillId="0" borderId="18" xfId="2219" applyFont="1" applyBorder="1" applyAlignment="1">
      <alignment horizontal="center"/>
    </xf>
    <xf numFmtId="0" fontId="14" fillId="0" borderId="0" xfId="2219" applyFont="1" applyAlignment="1">
      <alignment horizontal="left"/>
    </xf>
    <xf numFmtId="0" fontId="14" fillId="0" borderId="2" xfId="2219" applyFont="1" applyBorder="1"/>
    <xf numFmtId="186" fontId="14" fillId="0" borderId="5" xfId="2219" applyNumberFormat="1" applyFont="1" applyBorder="1" applyAlignment="1">
      <alignment horizontal="left"/>
    </xf>
    <xf numFmtId="186" fontId="14" fillId="0" borderId="0" xfId="2219" applyNumberFormat="1" applyFont="1" applyAlignment="1">
      <alignment horizontal="left"/>
    </xf>
    <xf numFmtId="186" fontId="14" fillId="0" borderId="0" xfId="1632" applyNumberFormat="1" applyFont="1" applyFill="1" applyAlignment="1">
      <alignment horizontal="left"/>
    </xf>
    <xf numFmtId="186" fontId="19" fillId="0" borderId="0" xfId="2219" applyNumberFormat="1" applyFont="1" applyAlignment="1">
      <alignment horizontal="left"/>
    </xf>
    <xf numFmtId="186" fontId="14" fillId="0" borderId="6" xfId="2219" applyNumberFormat="1" applyFont="1" applyBorder="1" applyAlignment="1">
      <alignment horizontal="left"/>
    </xf>
    <xf numFmtId="186" fontId="13" fillId="0" borderId="19" xfId="2219" applyNumberFormat="1" applyFont="1" applyBorder="1"/>
    <xf numFmtId="186" fontId="17" fillId="0" borderId="0" xfId="2219" applyNumberFormat="1" applyFont="1" applyAlignment="1">
      <alignment horizontal="left"/>
    </xf>
    <xf numFmtId="186" fontId="14" fillId="0" borderId="0" xfId="1632" applyNumberFormat="1" applyFont="1" applyFill="1" applyAlignment="1">
      <alignment horizontal="right"/>
    </xf>
    <xf numFmtId="186" fontId="18" fillId="0" borderId="0" xfId="2219" applyNumberFormat="1" applyFont="1"/>
    <xf numFmtId="186" fontId="14" fillId="0" borderId="2" xfId="1632" applyNumberFormat="1" applyFont="1" applyFill="1" applyBorder="1" applyAlignment="1">
      <alignment horizontal="right"/>
    </xf>
    <xf numFmtId="186" fontId="14" fillId="0" borderId="5" xfId="1632" applyNumberFormat="1" applyFont="1" applyFill="1" applyBorder="1" applyAlignment="1">
      <alignment horizontal="right"/>
    </xf>
    <xf numFmtId="186" fontId="14" fillId="0" borderId="6" xfId="1632" applyNumberFormat="1" applyFont="1" applyFill="1" applyBorder="1" applyAlignment="1">
      <alignment horizontal="right"/>
    </xf>
    <xf numFmtId="186" fontId="14" fillId="0" borderId="13" xfId="2219" applyNumberFormat="1" applyFont="1" applyBorder="1"/>
    <xf numFmtId="49" fontId="6" fillId="5" borderId="0" xfId="0" applyNumberFormat="1" applyFont="1" applyFill="1"/>
    <xf numFmtId="0" fontId="0" fillId="5" borderId="0" xfId="0" applyFill="1"/>
    <xf numFmtId="4" fontId="5" fillId="5" borderId="0" xfId="0" applyNumberFormat="1" applyFont="1" applyFill="1"/>
    <xf numFmtId="49" fontId="6" fillId="6" borderId="0" xfId="0" applyNumberFormat="1" applyFont="1" applyFill="1"/>
    <xf numFmtId="4" fontId="5" fillId="6" borderId="0" xfId="0" applyNumberFormat="1" applyFont="1" applyFill="1"/>
    <xf numFmtId="49" fontId="6" fillId="7" borderId="0" xfId="0" applyNumberFormat="1" applyFont="1" applyFill="1"/>
    <xf numFmtId="4" fontId="5" fillId="7" borderId="0" xfId="0" applyNumberFormat="1" applyFont="1" applyFill="1"/>
    <xf numFmtId="49" fontId="6" fillId="8" borderId="0" xfId="0" applyNumberFormat="1" applyFont="1" applyFill="1"/>
    <xf numFmtId="4" fontId="5" fillId="8" borderId="0" xfId="0" applyNumberFormat="1" applyFont="1" applyFill="1"/>
    <xf numFmtId="49" fontId="6" fillId="9" borderId="0" xfId="0" applyNumberFormat="1" applyFont="1" applyFill="1"/>
    <xf numFmtId="4" fontId="5" fillId="9" borderId="0" xfId="0" applyNumberFormat="1" applyFont="1" applyFill="1"/>
    <xf numFmtId="49" fontId="6" fillId="10" borderId="0" xfId="0" applyNumberFormat="1" applyFont="1" applyFill="1"/>
    <xf numFmtId="4" fontId="5" fillId="10" borderId="0" xfId="0" applyNumberFormat="1" applyFont="1" applyFill="1"/>
    <xf numFmtId="49" fontId="6" fillId="11" borderId="0" xfId="0" applyNumberFormat="1" applyFont="1" applyFill="1"/>
    <xf numFmtId="4" fontId="5" fillId="11" borderId="0" xfId="0" applyNumberFormat="1" applyFont="1" applyFill="1"/>
    <xf numFmtId="49" fontId="6" fillId="12" borderId="0" xfId="0" applyNumberFormat="1" applyFont="1" applyFill="1"/>
    <xf numFmtId="4" fontId="5" fillId="12" borderId="0" xfId="0" applyNumberFormat="1" applyFont="1" applyFill="1"/>
    <xf numFmtId="49" fontId="6" fillId="13" borderId="0" xfId="0" applyNumberFormat="1" applyFont="1" applyFill="1"/>
    <xf numFmtId="4" fontId="5" fillId="13" borderId="0" xfId="0" applyNumberFormat="1" applyFont="1" applyFill="1"/>
    <xf numFmtId="49" fontId="6" fillId="14" borderId="0" xfId="0" applyNumberFormat="1" applyFont="1" applyFill="1"/>
    <xf numFmtId="4" fontId="5" fillId="14" borderId="0" xfId="0" applyNumberFormat="1" applyFont="1" applyFill="1"/>
    <xf numFmtId="49" fontId="6" fillId="15" borderId="0" xfId="0" applyNumberFormat="1" applyFont="1" applyFill="1"/>
    <xf numFmtId="4" fontId="5" fillId="15" borderId="0" xfId="0" applyNumberFormat="1" applyFont="1" applyFill="1"/>
    <xf numFmtId="49" fontId="6" fillId="16" borderId="0" xfId="0" applyNumberFormat="1" applyFont="1" applyFill="1"/>
    <xf numFmtId="4" fontId="5" fillId="16" borderId="0" xfId="0" applyNumberFormat="1" applyFont="1" applyFill="1"/>
    <xf numFmtId="49" fontId="6" fillId="17" borderId="0" xfId="0" applyNumberFormat="1" applyFont="1" applyFill="1"/>
    <xf numFmtId="4" fontId="5" fillId="17" borderId="0" xfId="0" applyNumberFormat="1" applyFont="1" applyFill="1"/>
    <xf numFmtId="49" fontId="6" fillId="18" borderId="0" xfId="0" applyNumberFormat="1" applyFont="1" applyFill="1"/>
    <xf numFmtId="4" fontId="5" fillId="18" borderId="0" xfId="0" applyNumberFormat="1" applyFont="1" applyFill="1"/>
    <xf numFmtId="49" fontId="6" fillId="19" borderId="0" xfId="0" applyNumberFormat="1" applyFont="1" applyFill="1"/>
    <xf numFmtId="4" fontId="5" fillId="19" borderId="0" xfId="0" applyNumberFormat="1" applyFont="1" applyFill="1"/>
    <xf numFmtId="49" fontId="6" fillId="20" borderId="0" xfId="0" applyNumberFormat="1" applyFont="1" applyFill="1"/>
    <xf numFmtId="4" fontId="5" fillId="20" borderId="0" xfId="0" applyNumberFormat="1" applyFont="1" applyFill="1"/>
    <xf numFmtId="49" fontId="20" fillId="21" borderId="0" xfId="0" applyNumberFormat="1" applyFont="1" applyFill="1"/>
    <xf numFmtId="4" fontId="5" fillId="21" borderId="0" xfId="0" applyNumberFormat="1" applyFont="1" applyFill="1"/>
    <xf numFmtId="49" fontId="6" fillId="22" borderId="0" xfId="0" applyNumberFormat="1" applyFont="1" applyFill="1"/>
    <xf numFmtId="4" fontId="5" fillId="22" borderId="0" xfId="0" applyNumberFormat="1" applyFont="1" applyFill="1"/>
    <xf numFmtId="49" fontId="6" fillId="23" borderId="0" xfId="0" applyNumberFormat="1" applyFont="1" applyFill="1"/>
    <xf numFmtId="4" fontId="5" fillId="23" borderId="0" xfId="0" applyNumberFormat="1" applyFont="1" applyFill="1"/>
    <xf numFmtId="49" fontId="6" fillId="24" borderId="0" xfId="0" applyNumberFormat="1" applyFont="1" applyFill="1"/>
    <xf numFmtId="4" fontId="5" fillId="24" borderId="0" xfId="0" applyNumberFormat="1" applyFont="1" applyFill="1"/>
    <xf numFmtId="49" fontId="6" fillId="25" borderId="0" xfId="0" applyNumberFormat="1" applyFont="1" applyFill="1"/>
    <xf numFmtId="4" fontId="5" fillId="25" borderId="0" xfId="0" applyNumberFormat="1" applyFont="1" applyFill="1"/>
    <xf numFmtId="186" fontId="0" fillId="0" borderId="0" xfId="1" applyNumberFormat="1" applyFont="1"/>
    <xf numFmtId="49" fontId="6" fillId="26" borderId="0" xfId="0" applyNumberFormat="1" applyFont="1" applyFill="1"/>
    <xf numFmtId="4" fontId="5" fillId="26" borderId="0" xfId="0" applyNumberFormat="1" applyFont="1" applyFill="1"/>
    <xf numFmtId="49" fontId="6" fillId="27" borderId="0" xfId="0" applyNumberFormat="1" applyFont="1" applyFill="1"/>
    <xf numFmtId="4" fontId="5" fillId="27" borderId="0" xfId="0" applyNumberFormat="1" applyFont="1" applyFill="1"/>
    <xf numFmtId="0" fontId="0" fillId="27" borderId="0" xfId="0" applyFill="1"/>
    <xf numFmtId="49" fontId="6" fillId="28" borderId="0" xfId="0" applyNumberFormat="1" applyFont="1" applyFill="1"/>
    <xf numFmtId="4" fontId="5" fillId="28" borderId="0" xfId="0" applyNumberFormat="1" applyFont="1" applyFill="1"/>
    <xf numFmtId="49" fontId="6" fillId="29" borderId="0" xfId="0" applyNumberFormat="1" applyFont="1" applyFill="1"/>
    <xf numFmtId="4" fontId="5" fillId="29" borderId="0" xfId="0" applyNumberFormat="1" applyFont="1" applyFill="1"/>
    <xf numFmtId="0" fontId="0" fillId="26" borderId="0" xfId="0" applyFill="1"/>
    <xf numFmtId="49" fontId="6" fillId="30" borderId="0" xfId="0" applyNumberFormat="1" applyFont="1" applyFill="1"/>
    <xf numFmtId="4" fontId="5" fillId="30" borderId="0" xfId="0" applyNumberFormat="1" applyFont="1" applyFill="1"/>
    <xf numFmtId="49" fontId="6" fillId="31" borderId="0" xfId="0" applyNumberFormat="1" applyFont="1" applyFill="1"/>
    <xf numFmtId="4" fontId="5" fillId="31" borderId="0" xfId="0" applyNumberFormat="1" applyFont="1" applyFill="1"/>
    <xf numFmtId="0" fontId="0" fillId="31" borderId="0" xfId="0" applyFill="1"/>
    <xf numFmtId="49" fontId="6" fillId="32" borderId="0" xfId="0" applyNumberFormat="1" applyFont="1" applyFill="1"/>
    <xf numFmtId="0" fontId="0" fillId="32" borderId="0" xfId="0" applyFill="1"/>
    <xf numFmtId="4" fontId="5" fillId="32" borderId="0" xfId="0" applyNumberFormat="1" applyFont="1" applyFill="1"/>
    <xf numFmtId="186" fontId="6" fillId="32" borderId="0" xfId="1" applyNumberFormat="1" applyFont="1" applyFill="1" applyAlignment="1"/>
    <xf numFmtId="4" fontId="5" fillId="33" borderId="0" xfId="0" applyNumberFormat="1" applyFont="1" applyFill="1"/>
    <xf numFmtId="164" fontId="0" fillId="0" borderId="0" xfId="0" applyNumberFormat="1"/>
    <xf numFmtId="0" fontId="21" fillId="0" borderId="0" xfId="2056" applyFont="1"/>
    <xf numFmtId="0" fontId="22" fillId="0" borderId="0" xfId="2056" applyFont="1"/>
    <xf numFmtId="0" fontId="23" fillId="0" borderId="0" xfId="2056" applyFont="1"/>
    <xf numFmtId="0" fontId="24" fillId="0" borderId="0" xfId="2056" applyFont="1"/>
    <xf numFmtId="0" fontId="23" fillId="0" borderId="15" xfId="2056" applyFont="1" applyBorder="1"/>
    <xf numFmtId="0" fontId="23" fillId="0" borderId="21" xfId="2056" applyFont="1" applyBorder="1"/>
    <xf numFmtId="0" fontId="22" fillId="0" borderId="22" xfId="2056" applyFont="1" applyBorder="1" applyAlignment="1">
      <alignment horizontal="center"/>
    </xf>
    <xf numFmtId="0" fontId="22" fillId="0" borderId="21" xfId="2056" applyFont="1" applyBorder="1" applyAlignment="1">
      <alignment horizontal="center"/>
    </xf>
    <xf numFmtId="0" fontId="23" fillId="0" borderId="0" xfId="2056" applyFont="1" applyAlignment="1">
      <alignment horizontal="center"/>
    </xf>
    <xf numFmtId="0" fontId="23" fillId="0" borderId="22" xfId="2056" applyFont="1" applyBorder="1" applyAlignment="1">
      <alignment horizontal="center"/>
    </xf>
    <xf numFmtId="0" fontId="23" fillId="0" borderId="23" xfId="2056" applyFont="1" applyBorder="1"/>
    <xf numFmtId="0" fontId="23" fillId="0" borderId="24" xfId="2056" applyFont="1" applyBorder="1" applyAlignment="1">
      <alignment horizontal="center"/>
    </xf>
    <xf numFmtId="186" fontId="23" fillId="0" borderId="0" xfId="1535" applyNumberFormat="1" applyFont="1" applyFill="1"/>
    <xf numFmtId="186" fontId="23" fillId="0" borderId="0" xfId="1535" applyNumberFormat="1" applyFont="1" applyFill="1" applyBorder="1"/>
    <xf numFmtId="186" fontId="23" fillId="0" borderId="0" xfId="1535" applyNumberFormat="1" applyFont="1"/>
    <xf numFmtId="186" fontId="22" fillId="0" borderId="12" xfId="2056" applyNumberFormat="1" applyFont="1" applyBorder="1"/>
    <xf numFmtId="186" fontId="22" fillId="0" borderId="0" xfId="2056" applyNumberFormat="1" applyFont="1"/>
    <xf numFmtId="186" fontId="24" fillId="0" borderId="0" xfId="2056" applyNumberFormat="1" applyFont="1"/>
    <xf numFmtId="0" fontId="24" fillId="0" borderId="0" xfId="2056" applyFont="1" applyAlignment="1">
      <alignment horizontal="center" vertical="center"/>
    </xf>
    <xf numFmtId="186" fontId="21" fillId="0" borderId="0" xfId="2056" applyNumberFormat="1" applyFont="1"/>
    <xf numFmtId="0" fontId="25" fillId="0" borderId="0" xfId="2056" applyFont="1" applyAlignment="1">
      <alignment horizontal="center"/>
    </xf>
    <xf numFmtId="0" fontId="21" fillId="0" borderId="0" xfId="2056" applyFont="1" applyAlignment="1">
      <alignment horizontal="center"/>
    </xf>
    <xf numFmtId="0" fontId="26" fillId="0" borderId="0" xfId="2056" applyFont="1"/>
    <xf numFmtId="0" fontId="22" fillId="0" borderId="27" xfId="2056" applyFont="1" applyBorder="1" applyAlignment="1">
      <alignment horizontal="center"/>
    </xf>
    <xf numFmtId="0" fontId="22" fillId="0" borderId="28" xfId="2056" applyFont="1" applyBorder="1" applyAlignment="1">
      <alignment horizontal="center"/>
    </xf>
    <xf numFmtId="0" fontId="23" fillId="0" borderId="15" xfId="2056" applyFont="1" applyBorder="1" applyAlignment="1">
      <alignment horizontal="center"/>
    </xf>
    <xf numFmtId="0" fontId="23" fillId="0" borderId="28" xfId="2056" applyFont="1" applyBorder="1" applyAlignment="1">
      <alignment horizontal="center"/>
    </xf>
    <xf numFmtId="0" fontId="23" fillId="0" borderId="23" xfId="2056" applyFont="1" applyBorder="1" applyAlignment="1">
      <alignment horizontal="center"/>
    </xf>
    <xf numFmtId="0" fontId="23" fillId="0" borderId="29" xfId="2056" applyFont="1" applyBorder="1" applyAlignment="1">
      <alignment horizontal="center"/>
    </xf>
    <xf numFmtId="186" fontId="23" fillId="0" borderId="0" xfId="1535" applyNumberFormat="1" applyFont="1" applyBorder="1"/>
    <xf numFmtId="0" fontId="24" fillId="0" borderId="0" xfId="2056" applyFont="1" applyAlignment="1">
      <alignment horizontal="center"/>
    </xf>
    <xf numFmtId="14" fontId="24" fillId="0" borderId="0" xfId="2056" applyNumberFormat="1" applyFont="1" applyAlignment="1">
      <alignment horizontal="center"/>
    </xf>
    <xf numFmtId="221" fontId="24" fillId="0" borderId="0" xfId="2056" applyNumberFormat="1" applyFont="1" applyAlignment="1">
      <alignment horizontal="center"/>
    </xf>
    <xf numFmtId="186" fontId="21" fillId="0" borderId="0" xfId="1535" applyNumberFormat="1" applyFont="1" applyBorder="1"/>
    <xf numFmtId="164" fontId="23" fillId="0" borderId="0" xfId="1535" applyFont="1" applyAlignment="1">
      <alignment horizontal="center"/>
    </xf>
    <xf numFmtId="186" fontId="23" fillId="0" borderId="0" xfId="1535" applyNumberFormat="1" applyFont="1" applyAlignment="1">
      <alignment horizontal="center"/>
    </xf>
    <xf numFmtId="186" fontId="23" fillId="0" borderId="0" xfId="1535" applyNumberFormat="1" applyFont="1" applyBorder="1" applyAlignment="1">
      <alignment horizontal="center"/>
    </xf>
    <xf numFmtId="164" fontId="23" fillId="0" borderId="0" xfId="1535" applyFont="1"/>
    <xf numFmtId="164" fontId="23" fillId="0" borderId="12" xfId="1535" applyFont="1" applyBorder="1"/>
    <xf numFmtId="164" fontId="23" fillId="0" borderId="0" xfId="1535" applyFont="1" applyBorder="1"/>
    <xf numFmtId="0" fontId="23" fillId="0" borderId="21" xfId="2056" applyFont="1" applyBorder="1" applyAlignment="1">
      <alignment horizontal="center"/>
    </xf>
    <xf numFmtId="14" fontId="23" fillId="0" borderId="15" xfId="2056" applyNumberFormat="1" applyFont="1" applyBorder="1" applyAlignment="1">
      <alignment horizontal="center"/>
    </xf>
    <xf numFmtId="186" fontId="23" fillId="0" borderId="0" xfId="2056" applyNumberFormat="1" applyFont="1"/>
    <xf numFmtId="0" fontId="24" fillId="0" borderId="0" xfId="2056" applyFont="1" applyAlignment="1">
      <alignment horizontal="center" wrapText="1"/>
    </xf>
    <xf numFmtId="222" fontId="21" fillId="0" borderId="0" xfId="1535" applyNumberFormat="1" applyFont="1" applyBorder="1" applyAlignment="1">
      <alignment horizontal="center"/>
    </xf>
    <xf numFmtId="0" fontId="24" fillId="0" borderId="0" xfId="2056" applyFont="1" applyAlignment="1">
      <alignment horizontal="justify" vertical="top"/>
    </xf>
    <xf numFmtId="186" fontId="23" fillId="0" borderId="12" xfId="2056" applyNumberFormat="1" applyFont="1" applyBorder="1"/>
    <xf numFmtId="164" fontId="23" fillId="0" borderId="0" xfId="2056" applyNumberFormat="1" applyFont="1"/>
    <xf numFmtId="0" fontId="27" fillId="0" borderId="0" xfId="2056" applyFont="1"/>
    <xf numFmtId="186" fontId="27" fillId="0" borderId="0" xfId="1535" applyNumberFormat="1" applyFont="1" applyFill="1"/>
    <xf numFmtId="0" fontId="30" fillId="0" borderId="0" xfId="2056" applyFont="1" applyAlignment="1">
      <alignment horizontal="center" vertical="top"/>
    </xf>
    <xf numFmtId="0" fontId="31" fillId="0" borderId="0" xfId="2056" applyFont="1" applyAlignment="1">
      <alignment horizontal="center" vertical="top"/>
    </xf>
    <xf numFmtId="0" fontId="27" fillId="0" borderId="0" xfId="2056" applyFont="1" applyAlignment="1">
      <alignment horizontal="center"/>
    </xf>
    <xf numFmtId="0" fontId="27" fillId="0" borderId="0" xfId="2056" applyFont="1" applyAlignment="1">
      <alignment vertical="top"/>
    </xf>
    <xf numFmtId="0" fontId="32" fillId="0" borderId="0" xfId="2056" applyFont="1" applyAlignment="1">
      <alignment horizontal="center" vertical="top"/>
    </xf>
    <xf numFmtId="0" fontId="30" fillId="0" borderId="0" xfId="2056" applyFont="1" applyAlignment="1">
      <alignment vertical="top"/>
    </xf>
    <xf numFmtId="37" fontId="32" fillId="0" borderId="0" xfId="2056" applyNumberFormat="1" applyFont="1" applyAlignment="1">
      <alignment horizontal="center" vertical="top"/>
    </xf>
    <xf numFmtId="186" fontId="33" fillId="0" borderId="19" xfId="1535" applyNumberFormat="1" applyFont="1" applyFill="1" applyBorder="1"/>
    <xf numFmtId="0" fontId="33" fillId="0" borderId="0" xfId="2056" applyFont="1" applyAlignment="1">
      <alignment vertical="top"/>
    </xf>
    <xf numFmtId="186" fontId="27" fillId="0" borderId="0" xfId="1535" applyNumberFormat="1" applyFont="1" applyFill="1" applyBorder="1"/>
    <xf numFmtId="0" fontId="32" fillId="0" borderId="0" xfId="2056" applyFont="1" applyAlignment="1">
      <alignment horizontal="left" vertical="top"/>
    </xf>
    <xf numFmtId="184" fontId="33" fillId="0" borderId="2" xfId="2056" applyNumberFormat="1" applyFont="1" applyBorder="1"/>
    <xf numFmtId="37" fontId="32" fillId="0" borderId="0" xfId="2056" applyNumberFormat="1" applyFont="1" applyAlignment="1">
      <alignment horizontal="left" vertical="top"/>
    </xf>
    <xf numFmtId="184" fontId="33" fillId="0" borderId="6" xfId="2056" applyNumberFormat="1" applyFont="1" applyBorder="1"/>
    <xf numFmtId="0" fontId="32" fillId="0" borderId="0" xfId="2056" applyFont="1" applyAlignment="1">
      <alignment vertical="top"/>
    </xf>
    <xf numFmtId="186" fontId="33" fillId="0" borderId="0" xfId="1535" applyNumberFormat="1" applyFont="1" applyFill="1"/>
    <xf numFmtId="0" fontId="33" fillId="0" borderId="0" xfId="2056" applyFont="1"/>
    <xf numFmtId="186" fontId="33" fillId="0" borderId="2" xfId="1535" applyNumberFormat="1" applyFont="1" applyFill="1" applyBorder="1"/>
    <xf numFmtId="37" fontId="27" fillId="0" borderId="0" xfId="2056" applyNumberFormat="1" applyFont="1"/>
    <xf numFmtId="186" fontId="33" fillId="0" borderId="5" xfId="1535" applyNumberFormat="1" applyFont="1" applyFill="1" applyBorder="1"/>
    <xf numFmtId="186" fontId="33" fillId="0" borderId="6" xfId="1535" applyNumberFormat="1" applyFont="1" applyFill="1" applyBorder="1"/>
    <xf numFmtId="186" fontId="33" fillId="0" borderId="13" xfId="1535" applyNumberFormat="1" applyFont="1" applyFill="1" applyBorder="1"/>
    <xf numFmtId="184" fontId="34" fillId="0" borderId="0" xfId="2056" applyNumberFormat="1" applyFont="1" applyAlignment="1">
      <alignment horizontal="center" vertical="top"/>
    </xf>
    <xf numFmtId="184" fontId="33" fillId="0" borderId="0" xfId="2056" applyNumberFormat="1" applyFont="1"/>
    <xf numFmtId="186" fontId="33" fillId="0" borderId="12" xfId="2056" applyNumberFormat="1" applyFont="1" applyBorder="1"/>
    <xf numFmtId="186" fontId="27" fillId="0" borderId="0" xfId="2056" applyNumberFormat="1" applyFont="1"/>
    <xf numFmtId="164" fontId="32" fillId="0" borderId="0" xfId="2056" applyNumberFormat="1" applyFont="1" applyAlignment="1">
      <alignment vertical="top"/>
    </xf>
    <xf numFmtId="184" fontId="30" fillId="0" borderId="2" xfId="2056" applyNumberFormat="1" applyFont="1" applyBorder="1" applyAlignment="1">
      <alignment vertical="top"/>
    </xf>
    <xf numFmtId="184" fontId="30" fillId="0" borderId="5" xfId="2056" applyNumberFormat="1" applyFont="1" applyBorder="1" applyAlignment="1">
      <alignment vertical="top"/>
    </xf>
    <xf numFmtId="0" fontId="33" fillId="0" borderId="5" xfId="2056" applyFont="1" applyBorder="1"/>
    <xf numFmtId="0" fontId="32" fillId="0" borderId="0" xfId="2056" applyFont="1" applyAlignment="1">
      <alignment horizontal="left" vertical="top" indent="1"/>
    </xf>
    <xf numFmtId="184" fontId="30" fillId="0" borderId="6" xfId="2056" applyNumberFormat="1" applyFont="1" applyBorder="1" applyAlignment="1">
      <alignment vertical="top"/>
    </xf>
    <xf numFmtId="186" fontId="33" fillId="0" borderId="12" xfId="1535" applyNumberFormat="1" applyFont="1" applyFill="1" applyBorder="1"/>
    <xf numFmtId="186" fontId="32" fillId="0" borderId="0" xfId="1535" applyNumberFormat="1" applyFont="1" applyFill="1" applyAlignment="1">
      <alignment horizontal="center" vertical="top"/>
    </xf>
    <xf numFmtId="186" fontId="27" fillId="0" borderId="0" xfId="1535" applyNumberFormat="1" applyFont="1" applyFill="1" applyAlignment="1">
      <alignment horizontal="center" wrapText="1"/>
    </xf>
    <xf numFmtId="186" fontId="36" fillId="0" borderId="0" xfId="1535" applyNumberFormat="1" applyFont="1" applyFill="1" applyAlignment="1">
      <alignment horizontal="center" vertical="top"/>
    </xf>
    <xf numFmtId="186" fontId="27" fillId="0" borderId="2" xfId="1535" applyNumberFormat="1" applyFont="1" applyFill="1" applyBorder="1"/>
    <xf numFmtId="186" fontId="27" fillId="0" borderId="6" xfId="1535" applyNumberFormat="1" applyFont="1" applyFill="1" applyBorder="1"/>
    <xf numFmtId="186" fontId="27" fillId="0" borderId="5" xfId="1535" applyNumberFormat="1" applyFont="1" applyFill="1" applyBorder="1"/>
    <xf numFmtId="186" fontId="33" fillId="0" borderId="0" xfId="1535" applyNumberFormat="1" applyFont="1" applyFill="1" applyBorder="1"/>
    <xf numFmtId="186" fontId="27" fillId="0" borderId="13" xfId="1535" applyNumberFormat="1" applyFont="1" applyFill="1" applyBorder="1"/>
    <xf numFmtId="184" fontId="27" fillId="0" borderId="0" xfId="2056" applyNumberFormat="1" applyFont="1"/>
    <xf numFmtId="186" fontId="27" fillId="0" borderId="12" xfId="2056" applyNumberFormat="1" applyFont="1" applyBorder="1"/>
    <xf numFmtId="186" fontId="27" fillId="0" borderId="12" xfId="1535" applyNumberFormat="1" applyFont="1" applyFill="1" applyBorder="1"/>
    <xf numFmtId="9" fontId="27" fillId="0" borderId="0" xfId="2" applyFont="1" applyFill="1"/>
    <xf numFmtId="186" fontId="27" fillId="0" borderId="10" xfId="1535" applyNumberFormat="1" applyFont="1" applyFill="1" applyBorder="1"/>
    <xf numFmtId="0" fontId="28" fillId="0" borderId="0" xfId="2056" applyFont="1" applyAlignment="1">
      <alignment horizontal="center" vertical="top"/>
    </xf>
    <xf numFmtId="0" fontId="29" fillId="0" borderId="0" xfId="2056" applyFont="1" applyAlignment="1">
      <alignment horizontal="center" vertical="top"/>
    </xf>
    <xf numFmtId="0" fontId="28" fillId="0" borderId="0" xfId="2056" applyFont="1" applyAlignment="1">
      <alignment vertical="top"/>
    </xf>
    <xf numFmtId="0" fontId="29" fillId="0" borderId="0" xfId="2056" applyFont="1" applyAlignment="1">
      <alignment vertical="top"/>
    </xf>
    <xf numFmtId="0" fontId="36" fillId="0" borderId="0" xfId="2056" applyFont="1" applyAlignment="1">
      <alignment horizontal="center" vertical="top"/>
    </xf>
    <xf numFmtId="186" fontId="33" fillId="0" borderId="0" xfId="2056" applyNumberFormat="1" applyFont="1"/>
    <xf numFmtId="0" fontId="37" fillId="0" borderId="0" xfId="2056" applyFont="1" applyAlignment="1">
      <alignment vertical="center"/>
    </xf>
    <xf numFmtId="0" fontId="37" fillId="0" borderId="0" xfId="2056" applyFont="1"/>
    <xf numFmtId="0" fontId="38" fillId="0" borderId="0" xfId="2056" applyFont="1"/>
    <xf numFmtId="0" fontId="39" fillId="0" borderId="0" xfId="2056" applyFont="1" applyAlignment="1">
      <alignment horizontal="center"/>
    </xf>
    <xf numFmtId="186" fontId="39" fillId="0" borderId="0" xfId="1535" applyNumberFormat="1" applyFont="1" applyAlignment="1">
      <alignment horizontal="left"/>
    </xf>
    <xf numFmtId="0" fontId="37" fillId="0" borderId="0" xfId="2056" applyFont="1" applyAlignment="1">
      <alignment horizontal="left"/>
    </xf>
    <xf numFmtId="186" fontId="39" fillId="0" borderId="0" xfId="1535" applyNumberFormat="1" applyFont="1"/>
    <xf numFmtId="186" fontId="37" fillId="0" borderId="0" xfId="1535" applyNumberFormat="1" applyFont="1"/>
    <xf numFmtId="186" fontId="38" fillId="0" borderId="0" xfId="1535" applyNumberFormat="1" applyFont="1"/>
    <xf numFmtId="0" fontId="37" fillId="0" borderId="1" xfId="2056" applyFont="1" applyBorder="1"/>
    <xf numFmtId="0" fontId="37" fillId="0" borderId="3" xfId="2056" applyFont="1" applyBorder="1"/>
    <xf numFmtId="0" fontId="37" fillId="0" borderId="0" xfId="2056" applyFont="1" applyAlignment="1">
      <alignment horizontal="center" vertical="center" wrapText="1"/>
    </xf>
    <xf numFmtId="186" fontId="37" fillId="0" borderId="0" xfId="1535" applyNumberFormat="1" applyFont="1" applyAlignment="1"/>
    <xf numFmtId="0" fontId="37" fillId="0" borderId="0" xfId="2056" applyFont="1" applyAlignment="1">
      <alignment horizontal="left" indent="1"/>
    </xf>
    <xf numFmtId="39" fontId="37" fillId="0" borderId="0" xfId="2056" applyNumberFormat="1" applyFont="1" applyAlignment="1">
      <alignment horizontal="left" indent="1"/>
    </xf>
    <xf numFmtId="0" fontId="37" fillId="0" borderId="0" xfId="2056" applyFont="1" applyAlignment="1">
      <alignment vertical="center" wrapText="1"/>
    </xf>
    <xf numFmtId="0" fontId="37" fillId="0" borderId="16" xfId="2056" applyFont="1" applyBorder="1" applyAlignment="1">
      <alignment vertical="center" wrapText="1"/>
    </xf>
    <xf numFmtId="186" fontId="37" fillId="0" borderId="0" xfId="1535" applyNumberFormat="1" applyFont="1" applyFill="1"/>
    <xf numFmtId="186" fontId="37" fillId="0" borderId="9" xfId="1535" applyNumberFormat="1" applyFont="1" applyBorder="1"/>
    <xf numFmtId="186" fontId="37" fillId="0" borderId="3" xfId="1535" applyNumberFormat="1" applyFont="1" applyBorder="1"/>
    <xf numFmtId="0" fontId="37" fillId="0" borderId="0" xfId="2056" applyFont="1" applyAlignment="1">
      <alignment horizontal="centerContinuous"/>
    </xf>
    <xf numFmtId="186" fontId="38" fillId="0" borderId="0" xfId="1535" applyNumberFormat="1" applyFont="1" applyFill="1"/>
    <xf numFmtId="186" fontId="38" fillId="0" borderId="0" xfId="1535" applyNumberFormat="1" applyFont="1" applyFill="1" applyBorder="1"/>
    <xf numFmtId="186" fontId="37" fillId="0" borderId="2" xfId="1535" applyNumberFormat="1" applyFont="1" applyFill="1" applyBorder="1"/>
    <xf numFmtId="186" fontId="37" fillId="0" borderId="5" xfId="1535" applyNumberFormat="1" applyFont="1" applyFill="1" applyBorder="1"/>
    <xf numFmtId="186" fontId="37" fillId="3" borderId="5" xfId="1535" applyNumberFormat="1" applyFont="1" applyFill="1" applyBorder="1"/>
    <xf numFmtId="186" fontId="38" fillId="0" borderId="4" xfId="1535" applyNumberFormat="1" applyFont="1" applyFill="1" applyBorder="1"/>
    <xf numFmtId="186" fontId="37" fillId="3" borderId="2" xfId="1535" applyNumberFormat="1" applyFont="1" applyFill="1" applyBorder="1"/>
    <xf numFmtId="186" fontId="37" fillId="0" borderId="30" xfId="1535" applyNumberFormat="1" applyFont="1" applyFill="1" applyBorder="1" applyAlignment="1">
      <alignment vertical="center"/>
    </xf>
    <xf numFmtId="186" fontId="37" fillId="0" borderId="0" xfId="1535" applyNumberFormat="1" applyFont="1" applyFill="1" applyAlignment="1">
      <alignment vertical="center"/>
    </xf>
    <xf numFmtId="186" fontId="38" fillId="0" borderId="10" xfId="1535" applyNumberFormat="1" applyFont="1" applyFill="1" applyBorder="1"/>
    <xf numFmtId="186" fontId="38" fillId="0" borderId="13" xfId="1535" applyNumberFormat="1" applyFont="1" applyFill="1" applyBorder="1"/>
    <xf numFmtId="186" fontId="38" fillId="0" borderId="0" xfId="1535" applyNumberFormat="1" applyFont="1" applyBorder="1"/>
    <xf numFmtId="186" fontId="37" fillId="0" borderId="0" xfId="1535" applyNumberFormat="1" applyFont="1" applyFill="1" applyBorder="1"/>
    <xf numFmtId="186" fontId="37" fillId="4" borderId="10" xfId="1535" applyNumberFormat="1" applyFont="1" applyFill="1" applyBorder="1"/>
    <xf numFmtId="186" fontId="38" fillId="0" borderId="12" xfId="1535" applyNumberFormat="1" applyFont="1" applyFill="1" applyBorder="1"/>
    <xf numFmtId="186" fontId="38" fillId="0" borderId="19" xfId="1535" applyNumberFormat="1" applyFont="1" applyFill="1" applyBorder="1"/>
    <xf numFmtId="186" fontId="38" fillId="0" borderId="2" xfId="1535" applyNumberFormat="1" applyFont="1" applyFill="1" applyBorder="1"/>
    <xf numFmtId="186" fontId="38" fillId="0" borderId="5" xfId="1535" applyNumberFormat="1" applyFont="1" applyFill="1" applyBorder="1"/>
    <xf numFmtId="186" fontId="38" fillId="0" borderId="6" xfId="1535" applyNumberFormat="1" applyFont="1" applyFill="1" applyBorder="1"/>
    <xf numFmtId="186" fontId="37" fillId="0" borderId="0" xfId="2056" applyNumberFormat="1" applyFont="1"/>
    <xf numFmtId="37" fontId="37" fillId="0" borderId="0" xfId="2222" applyFont="1"/>
    <xf numFmtId="37" fontId="37" fillId="0" borderId="0" xfId="2056" applyNumberFormat="1" applyFont="1"/>
    <xf numFmtId="164" fontId="37" fillId="0" borderId="0" xfId="1535" applyFont="1"/>
    <xf numFmtId="186" fontId="37" fillId="0" borderId="0" xfId="1535" applyNumberFormat="1" applyFont="1" applyAlignment="1">
      <alignment wrapText="1"/>
    </xf>
    <xf numFmtId="0" fontId="37" fillId="0" borderId="0" xfId="2056" applyFont="1" applyAlignment="1">
      <alignment wrapText="1"/>
    </xf>
    <xf numFmtId="220" fontId="37" fillId="0" borderId="0" xfId="1535" applyNumberFormat="1" applyFont="1"/>
    <xf numFmtId="164" fontId="37" fillId="0" borderId="0" xfId="1535" applyFont="1" applyFill="1"/>
    <xf numFmtId="164" fontId="37" fillId="0" borderId="0" xfId="1" applyFont="1"/>
    <xf numFmtId="186" fontId="37" fillId="0" borderId="0" xfId="2056" applyNumberFormat="1" applyFont="1" applyAlignment="1">
      <alignment vertical="center"/>
    </xf>
    <xf numFmtId="0" fontId="41" fillId="3" borderId="0" xfId="2015" applyFont="1" applyFill="1"/>
    <xf numFmtId="0" fontId="42" fillId="3" borderId="0" xfId="2015" applyFont="1" applyFill="1" applyAlignment="1">
      <alignment horizontal="center" vertical="center"/>
    </xf>
    <xf numFmtId="164" fontId="42" fillId="0" borderId="0" xfId="1615" applyFont="1" applyAlignment="1">
      <alignment vertical="center"/>
    </xf>
    <xf numFmtId="0" fontId="42" fillId="3" borderId="0" xfId="2056" applyFont="1" applyFill="1"/>
    <xf numFmtId="0" fontId="42" fillId="3" borderId="0" xfId="2015" applyFont="1" applyFill="1" applyAlignment="1">
      <alignment horizontal="center"/>
    </xf>
    <xf numFmtId="0" fontId="41" fillId="3" borderId="0" xfId="2056" applyFont="1" applyFill="1"/>
    <xf numFmtId="0" fontId="42" fillId="3" borderId="0" xfId="2056" applyFont="1" applyFill="1" applyAlignment="1">
      <alignment horizontal="center" vertical="center"/>
    </xf>
    <xf numFmtId="0" fontId="41" fillId="3" borderId="0" xfId="2056" applyFont="1" applyFill="1" applyAlignment="1">
      <alignment horizontal="left" indent="1"/>
    </xf>
    <xf numFmtId="186" fontId="42" fillId="3" borderId="19" xfId="2015" applyNumberFormat="1" applyFont="1" applyFill="1" applyBorder="1"/>
    <xf numFmtId="187" fontId="42" fillId="3" borderId="0" xfId="2015" applyNumberFormat="1" applyFont="1" applyFill="1" applyAlignment="1">
      <alignment horizontal="center" vertical="center"/>
    </xf>
    <xf numFmtId="0" fontId="42" fillId="3" borderId="0" xfId="2056" applyFont="1" applyFill="1" applyAlignment="1">
      <alignment horizontal="center"/>
    </xf>
    <xf numFmtId="0" fontId="41" fillId="3" borderId="0" xfId="2056" applyFont="1" applyFill="1" applyAlignment="1">
      <alignment horizontal="center"/>
    </xf>
    <xf numFmtId="49" fontId="42" fillId="3" borderId="5" xfId="2056" applyNumberFormat="1" applyFont="1" applyFill="1" applyBorder="1" applyAlignment="1">
      <alignment horizontal="center" vertical="center" wrapText="1"/>
    </xf>
    <xf numFmtId="186" fontId="41" fillId="3" borderId="0" xfId="1407" applyNumberFormat="1" applyFont="1" applyFill="1" applyBorder="1" applyAlignment="1">
      <alignment horizontal="center" vertical="center" wrapText="1"/>
    </xf>
    <xf numFmtId="186" fontId="42" fillId="3" borderId="0" xfId="1407" applyNumberFormat="1" applyFont="1" applyFill="1" applyBorder="1" applyAlignment="1">
      <alignment horizontal="center" vertical="center" wrapText="1"/>
    </xf>
    <xf numFmtId="186" fontId="42" fillId="3" borderId="12" xfId="1407" applyNumberFormat="1" applyFont="1" applyFill="1" applyBorder="1" applyAlignment="1">
      <alignment horizontal="center" vertical="center" wrapText="1"/>
    </xf>
    <xf numFmtId="186" fontId="41" fillId="4" borderId="0" xfId="1407" applyNumberFormat="1" applyFont="1" applyFill="1" applyBorder="1" applyAlignment="1">
      <alignment horizontal="center" vertical="center" wrapText="1"/>
    </xf>
    <xf numFmtId="0" fontId="43" fillId="3" borderId="0" xfId="2056" applyFont="1" applyFill="1"/>
    <xf numFmtId="0" fontId="44" fillId="3" borderId="0" xfId="2056" applyFont="1" applyFill="1" applyAlignment="1">
      <alignment horizontal="left"/>
    </xf>
    <xf numFmtId="186" fontId="42" fillId="3" borderId="2" xfId="1407" applyNumberFormat="1" applyFont="1" applyFill="1" applyBorder="1" applyAlignment="1">
      <alignment horizontal="center" vertical="center" wrapText="1"/>
    </xf>
    <xf numFmtId="186" fontId="42" fillId="3" borderId="6" xfId="1407" applyNumberFormat="1" applyFont="1" applyFill="1" applyBorder="1" applyAlignment="1">
      <alignment horizontal="center" vertical="center" wrapText="1"/>
    </xf>
    <xf numFmtId="0" fontId="44" fillId="3" borderId="0" xfId="2056" applyFont="1" applyFill="1"/>
    <xf numFmtId="0" fontId="42" fillId="3" borderId="0" xfId="2056" applyFont="1" applyFill="1" applyAlignment="1">
      <alignment horizontal="left" vertical="top" wrapText="1"/>
    </xf>
    <xf numFmtId="9" fontId="42" fillId="3" borderId="19" xfId="2" applyFont="1" applyFill="1" applyBorder="1" applyAlignment="1">
      <alignment horizontal="center" wrapText="1"/>
    </xf>
    <xf numFmtId="0" fontId="45" fillId="3" borderId="0" xfId="2056" applyFont="1" applyFill="1" applyAlignment="1">
      <alignment horizontal="center" vertical="top"/>
    </xf>
    <xf numFmtId="0" fontId="41" fillId="3" borderId="0" xfId="1796" applyNumberFormat="1" applyFont="1" applyFill="1" applyAlignment="1">
      <alignment horizontal="center"/>
    </xf>
    <xf numFmtId="49" fontId="42" fillId="3" borderId="0" xfId="2056" applyNumberFormat="1" applyFont="1" applyFill="1" applyAlignment="1">
      <alignment horizontal="center" vertical="center" wrapText="1"/>
    </xf>
    <xf numFmtId="0" fontId="42" fillId="0" borderId="0" xfId="2175" applyFont="1" applyAlignment="1">
      <alignment horizontal="center" vertical="center" wrapText="1"/>
    </xf>
    <xf numFmtId="186" fontId="42" fillId="3" borderId="0" xfId="1407" applyNumberFormat="1" applyFont="1" applyFill="1" applyBorder="1" applyAlignment="1">
      <alignment horizontal="center" wrapText="1"/>
    </xf>
    <xf numFmtId="186" fontId="41" fillId="3" borderId="0" xfId="2015" applyNumberFormat="1" applyFont="1" applyFill="1"/>
    <xf numFmtId="186" fontId="41" fillId="3" borderId="2" xfId="1407" applyNumberFormat="1" applyFont="1" applyFill="1" applyBorder="1" applyAlignment="1">
      <alignment horizontal="center" vertical="center" wrapText="1"/>
    </xf>
    <xf numFmtId="186" fontId="41" fillId="3" borderId="6" xfId="1407" applyNumberFormat="1" applyFont="1" applyFill="1" applyBorder="1" applyAlignment="1">
      <alignment horizontal="center" vertical="center" wrapText="1"/>
    </xf>
    <xf numFmtId="0" fontId="42" fillId="3" borderId="0" xfId="1796" applyNumberFormat="1" applyFont="1" applyFill="1" applyAlignment="1">
      <alignment horizontal="center"/>
    </xf>
    <xf numFmtId="0" fontId="41" fillId="3" borderId="0" xfId="2056" applyFont="1" applyFill="1" applyAlignment="1">
      <alignment horizontal="center" vertical="center"/>
    </xf>
    <xf numFmtId="186" fontId="41" fillId="3" borderId="0" xfId="1796" applyNumberFormat="1" applyFont="1" applyFill="1" applyBorder="1"/>
    <xf numFmtId="186" fontId="42" fillId="3" borderId="0" xfId="1796" applyNumberFormat="1" applyFont="1" applyFill="1" applyBorder="1"/>
    <xf numFmtId="186" fontId="41" fillId="3" borderId="0" xfId="1407" applyNumberFormat="1" applyFont="1" applyFill="1"/>
    <xf numFmtId="186" fontId="0" fillId="0" borderId="0" xfId="0" applyNumberFormat="1"/>
    <xf numFmtId="186" fontId="41" fillId="3" borderId="2" xfId="1407" applyNumberFormat="1" applyFont="1" applyFill="1" applyBorder="1"/>
    <xf numFmtId="186" fontId="41" fillId="3" borderId="6" xfId="1407" applyNumberFormat="1" applyFont="1" applyFill="1" applyBorder="1"/>
    <xf numFmtId="186" fontId="46" fillId="3" borderId="0" xfId="2015" applyNumberFormat="1" applyFont="1" applyFill="1"/>
    <xf numFmtId="37" fontId="37" fillId="0" borderId="0" xfId="2222" applyFont="1" applyAlignment="1">
      <alignment horizontal="left"/>
    </xf>
    <xf numFmtId="37" fontId="38" fillId="0" borderId="0" xfId="2222" applyFont="1"/>
    <xf numFmtId="37" fontId="37" fillId="0" borderId="0" xfId="2222" applyFont="1" applyAlignment="1">
      <alignment horizontal="center"/>
    </xf>
    <xf numFmtId="39" fontId="37" fillId="0" borderId="0" xfId="2222" applyNumberFormat="1" applyFont="1"/>
    <xf numFmtId="37" fontId="37" fillId="0" borderId="31" xfId="2222" applyFont="1" applyBorder="1"/>
    <xf numFmtId="37" fontId="38" fillId="0" borderId="0" xfId="2222" applyFont="1" applyAlignment="1">
      <alignment horizontal="center"/>
    </xf>
    <xf numFmtId="37" fontId="38" fillId="0" borderId="32" xfId="2222" applyFont="1" applyBorder="1"/>
    <xf numFmtId="37" fontId="39" fillId="0" borderId="0" xfId="2222" applyFont="1"/>
    <xf numFmtId="37" fontId="39" fillId="0" borderId="0" xfId="2222" applyFont="1" applyAlignment="1">
      <alignment horizontal="left"/>
    </xf>
    <xf numFmtId="37" fontId="47" fillId="0" borderId="0" xfId="2222" applyFont="1"/>
    <xf numFmtId="37" fontId="47" fillId="0" borderId="0" xfId="2222" applyFont="1" applyAlignment="1">
      <alignment horizontal="left"/>
    </xf>
    <xf numFmtId="37" fontId="38" fillId="0" borderId="0" xfId="2222" applyFont="1" applyAlignment="1">
      <alignment horizontal="left"/>
    </xf>
    <xf numFmtId="37" fontId="38" fillId="0" borderId="33" xfId="2222" applyFont="1" applyBorder="1" applyAlignment="1">
      <alignment horizontal="centerContinuous"/>
    </xf>
    <xf numFmtId="37" fontId="47" fillId="0" borderId="33" xfId="2222" applyFont="1" applyBorder="1" applyAlignment="1">
      <alignment horizontal="centerContinuous"/>
    </xf>
    <xf numFmtId="186" fontId="37" fillId="3" borderId="0" xfId="1535" applyNumberFormat="1" applyFont="1" applyFill="1"/>
    <xf numFmtId="186" fontId="38" fillId="0" borderId="34" xfId="1535" applyNumberFormat="1" applyFont="1" applyFill="1" applyBorder="1"/>
    <xf numFmtId="186" fontId="37" fillId="0" borderId="0" xfId="1535" applyNumberFormat="1" applyFont="1" applyFill="1" applyBorder="1" applyAlignment="1">
      <alignment horizontal="center"/>
    </xf>
    <xf numFmtId="37" fontId="37" fillId="0" borderId="33" xfId="2222" applyFont="1" applyBorder="1" applyAlignment="1">
      <alignment horizontal="centerContinuous"/>
    </xf>
    <xf numFmtId="186" fontId="37" fillId="0" borderId="34" xfId="1535" applyNumberFormat="1" applyFont="1" applyFill="1" applyBorder="1"/>
    <xf numFmtId="37" fontId="38" fillId="0" borderId="33" xfId="2222" applyFont="1" applyBorder="1" applyAlignment="1">
      <alignment horizontal="center"/>
    </xf>
    <xf numFmtId="37" fontId="37" fillId="0" borderId="33" xfId="2222" applyFont="1" applyBorder="1" applyAlignment="1">
      <alignment horizontal="center"/>
    </xf>
    <xf numFmtId="37" fontId="38" fillId="0" borderId="32" xfId="2222" applyFont="1" applyBorder="1" applyAlignment="1">
      <alignment horizontal="center"/>
    </xf>
    <xf numFmtId="186" fontId="37" fillId="0" borderId="0" xfId="1535" applyNumberFormat="1" applyFont="1" applyFill="1" applyAlignment="1">
      <alignment horizontal="center"/>
    </xf>
    <xf numFmtId="186" fontId="38" fillId="0" borderId="0" xfId="1535" applyNumberFormat="1" applyFont="1" applyFill="1" applyAlignment="1">
      <alignment horizontal="center"/>
    </xf>
    <xf numFmtId="37" fontId="38" fillId="0" borderId="0" xfId="2222" applyFont="1" applyAlignment="1">
      <alignment horizontal="center" wrapText="1"/>
    </xf>
    <xf numFmtId="37" fontId="37" fillId="0" borderId="0" xfId="2222" applyFont="1" applyAlignment="1">
      <alignment horizontal="center" wrapText="1"/>
    </xf>
    <xf numFmtId="186" fontId="37" fillId="33" borderId="0" xfId="1535" applyNumberFormat="1" applyFont="1" applyFill="1"/>
    <xf numFmtId="223" fontId="37" fillId="33" borderId="0" xfId="1" applyNumberFormat="1" applyFont="1" applyFill="1"/>
    <xf numFmtId="186" fontId="38" fillId="33" borderId="34" xfId="1" applyNumberFormat="1" applyFont="1" applyFill="1" applyBorder="1"/>
    <xf numFmtId="37" fontId="38" fillId="0" borderId="0" xfId="2222" applyFont="1" applyAlignment="1">
      <alignment horizontal="centerContinuous"/>
    </xf>
    <xf numFmtId="186" fontId="0" fillId="34" borderId="16" xfId="1532" applyNumberFormat="1" applyFont="1" applyFill="1" applyBorder="1">
      <alignment vertical="top"/>
    </xf>
    <xf numFmtId="186" fontId="0" fillId="34" borderId="0" xfId="1532" applyNumberFormat="1" applyFont="1" applyFill="1" applyBorder="1">
      <alignment vertical="top"/>
    </xf>
    <xf numFmtId="39" fontId="38" fillId="0" borderId="0" xfId="2222" applyNumberFormat="1" applyFont="1"/>
    <xf numFmtId="0" fontId="48" fillId="0" borderId="0" xfId="2221" applyFont="1" applyAlignment="1">
      <alignment vertical="top"/>
    </xf>
    <xf numFmtId="37" fontId="37" fillId="0" borderId="0" xfId="2222" applyFont="1" applyAlignment="1">
      <alignment vertical="top"/>
    </xf>
    <xf numFmtId="37" fontId="39" fillId="0" borderId="0" xfId="2222" applyFont="1" applyAlignment="1">
      <alignment vertical="top"/>
    </xf>
    <xf numFmtId="0" fontId="49" fillId="0" borderId="0" xfId="2221" applyFont="1" applyAlignment="1">
      <alignment vertical="top"/>
    </xf>
    <xf numFmtId="0" fontId="49" fillId="0" borderId="0" xfId="2221" applyFont="1" applyAlignment="1">
      <alignment vertical="top" wrapText="1"/>
    </xf>
    <xf numFmtId="1" fontId="38" fillId="0" borderId="0" xfId="1" applyNumberFormat="1" applyFont="1" applyFill="1" applyAlignment="1">
      <alignment horizontal="center"/>
    </xf>
    <xf numFmtId="1" fontId="37" fillId="3" borderId="0" xfId="2222" applyNumberFormat="1" applyFont="1" applyFill="1" applyAlignment="1">
      <alignment horizontal="center"/>
    </xf>
    <xf numFmtId="37" fontId="39" fillId="0" borderId="0" xfId="2222" applyFont="1" applyAlignment="1">
      <alignment horizontal="center" vertical="top"/>
    </xf>
    <xf numFmtId="37" fontId="47" fillId="3" borderId="0" xfId="2222" applyFont="1" applyFill="1" applyAlignment="1">
      <alignment horizontal="center" vertical="top"/>
    </xf>
    <xf numFmtId="186" fontId="38" fillId="0" borderId="0" xfId="1" applyNumberFormat="1" applyFont="1" applyFill="1" applyAlignment="1">
      <alignment vertical="justify" wrapText="1"/>
    </xf>
    <xf numFmtId="186" fontId="37" fillId="3" borderId="0" xfId="1" applyNumberFormat="1" applyFont="1" applyFill="1" applyAlignment="1">
      <alignment vertical="justify" wrapText="1"/>
    </xf>
    <xf numFmtId="186" fontId="38" fillId="0" borderId="0" xfId="1" applyNumberFormat="1" applyFont="1" applyFill="1" applyAlignment="1">
      <alignment horizontal="left" vertical="justify" wrapText="1"/>
    </xf>
    <xf numFmtId="186" fontId="37" fillId="3" borderId="0" xfId="1" applyNumberFormat="1" applyFont="1" applyFill="1" applyAlignment="1">
      <alignment vertical="top"/>
    </xf>
    <xf numFmtId="37" fontId="37" fillId="3" borderId="0" xfId="2222" applyFont="1" applyFill="1" applyAlignment="1">
      <alignment vertical="top"/>
    </xf>
    <xf numFmtId="0" fontId="50" fillId="0" borderId="0" xfId="2015" applyFont="1"/>
    <xf numFmtId="0" fontId="51" fillId="0" borderId="0" xfId="2015" applyFont="1" applyAlignment="1">
      <alignment horizontal="center"/>
    </xf>
    <xf numFmtId="0" fontId="51" fillId="0" borderId="0" xfId="2015" applyFont="1"/>
    <xf numFmtId="0" fontId="51" fillId="0" borderId="0" xfId="2015" applyFont="1" applyAlignment="1">
      <alignment horizontal="left" vertical="center"/>
    </xf>
    <xf numFmtId="0" fontId="51" fillId="0" borderId="0" xfId="2015" applyFont="1" applyAlignment="1">
      <alignment horizontal="center" vertical="top" wrapText="1"/>
    </xf>
    <xf numFmtId="0" fontId="50" fillId="0" borderId="5" xfId="2015" applyFont="1" applyBorder="1"/>
    <xf numFmtId="0" fontId="50" fillId="0" borderId="36" xfId="2015" applyFont="1" applyBorder="1"/>
    <xf numFmtId="186" fontId="50" fillId="0" borderId="0" xfId="1399" applyNumberFormat="1" applyFont="1" applyBorder="1" applyProtection="1"/>
    <xf numFmtId="186" fontId="50" fillId="0" borderId="19" xfId="1399" applyNumberFormat="1" applyFont="1" applyBorder="1" applyProtection="1"/>
    <xf numFmtId="186" fontId="51" fillId="0" borderId="19" xfId="1399" applyNumberFormat="1" applyFont="1" applyBorder="1" applyProtection="1"/>
    <xf numFmtId="186" fontId="51" fillId="0" borderId="0" xfId="1399" applyNumberFormat="1" applyFont="1" applyBorder="1" applyProtection="1"/>
    <xf numFmtId="186" fontId="50" fillId="0" borderId="0" xfId="2015" applyNumberFormat="1" applyFont="1"/>
    <xf numFmtId="0" fontId="50" fillId="0" borderId="37" xfId="2015" applyFont="1" applyBorder="1" applyAlignment="1">
      <alignment horizontal="center"/>
    </xf>
    <xf numFmtId="0" fontId="50" fillId="0" borderId="21" xfId="2015" applyFont="1" applyBorder="1" applyAlignment="1">
      <alignment horizontal="center"/>
    </xf>
    <xf numFmtId="0" fontId="50" fillId="0" borderId="0" xfId="2015" applyFont="1" applyAlignment="1">
      <alignment horizontal="center"/>
    </xf>
    <xf numFmtId="186" fontId="52" fillId="0" borderId="0" xfId="1399" applyNumberFormat="1" applyFont="1" applyBorder="1" applyAlignment="1" applyProtection="1">
      <alignment horizontal="center"/>
    </xf>
    <xf numFmtId="186" fontId="50" fillId="0" borderId="0" xfId="1399" applyNumberFormat="1" applyFont="1" applyBorder="1" applyAlignment="1" applyProtection="1">
      <alignment horizontal="center"/>
    </xf>
    <xf numFmtId="186" fontId="52" fillId="0" borderId="19" xfId="1399" applyNumberFormat="1" applyFont="1" applyBorder="1" applyAlignment="1" applyProtection="1">
      <alignment horizontal="center"/>
    </xf>
    <xf numFmtId="186" fontId="50" fillId="0" borderId="0" xfId="1399" applyNumberFormat="1" applyFont="1" applyBorder="1" applyAlignment="1" applyProtection="1"/>
    <xf numFmtId="186" fontId="50" fillId="0" borderId="19" xfId="1399" applyNumberFormat="1" applyFont="1" applyBorder="1" applyAlignment="1" applyProtection="1">
      <alignment horizontal="center"/>
    </xf>
    <xf numFmtId="186" fontId="53" fillId="0" borderId="19" xfId="1399" applyNumberFormat="1" applyFont="1" applyBorder="1" applyAlignment="1" applyProtection="1">
      <alignment horizontal="center"/>
    </xf>
    <xf numFmtId="186" fontId="51" fillId="0" borderId="0" xfId="1399" applyNumberFormat="1" applyFont="1" applyBorder="1" applyAlignment="1" applyProtection="1"/>
    <xf numFmtId="186" fontId="51" fillId="0" borderId="19" xfId="1399" applyNumberFormat="1" applyFont="1" applyBorder="1" applyAlignment="1" applyProtection="1">
      <alignment horizontal="center"/>
    </xf>
    <xf numFmtId="186" fontId="53" fillId="0" borderId="0" xfId="1399" applyNumberFormat="1" applyFont="1" applyBorder="1" applyAlignment="1" applyProtection="1">
      <alignment horizontal="center"/>
    </xf>
    <xf numFmtId="186" fontId="51" fillId="0" borderId="0" xfId="1399" applyNumberFormat="1" applyFont="1" applyBorder="1" applyAlignment="1" applyProtection="1">
      <alignment horizontal="center"/>
    </xf>
    <xf numFmtId="164" fontId="50" fillId="0" borderId="0" xfId="2015" applyNumberFormat="1" applyFont="1"/>
    <xf numFmtId="0" fontId="50" fillId="0" borderId="0" xfId="2015" applyFont="1" applyAlignment="1">
      <alignment horizontal="right"/>
    </xf>
    <xf numFmtId="186" fontId="50" fillId="0" borderId="0" xfId="1399" applyNumberFormat="1" applyFont="1" applyBorder="1" applyAlignment="1" applyProtection="1">
      <alignment horizontal="right"/>
    </xf>
    <xf numFmtId="186" fontId="51" fillId="0" borderId="0" xfId="1399" applyNumberFormat="1" applyFont="1" applyBorder="1" applyAlignment="1" applyProtection="1">
      <alignment horizontal="right"/>
    </xf>
    <xf numFmtId="0" fontId="51" fillId="0" borderId="18" xfId="2015" applyFont="1" applyBorder="1" applyAlignment="1">
      <alignment horizontal="center"/>
    </xf>
    <xf numFmtId="0" fontId="50" fillId="0" borderId="38" xfId="2015" applyFont="1" applyBorder="1" applyAlignment="1">
      <alignment horizontal="center"/>
    </xf>
    <xf numFmtId="0" fontId="50" fillId="0" borderId="36" xfId="2015" applyFont="1" applyBorder="1" applyAlignment="1">
      <alignment horizontal="center"/>
    </xf>
    <xf numFmtId="186" fontId="50" fillId="0" borderId="0" xfId="1399" applyNumberFormat="1" applyFont="1" applyProtection="1"/>
    <xf numFmtId="186" fontId="50" fillId="0" borderId="0" xfId="1399" applyNumberFormat="1" applyFont="1" applyBorder="1"/>
    <xf numFmtId="0" fontId="54" fillId="0" borderId="0" xfId="0" applyFont="1"/>
    <xf numFmtId="0" fontId="55" fillId="0" borderId="0" xfId="1540" applyNumberFormat="1" applyFont="1" applyFill="1" applyAlignment="1">
      <alignment horizontal="left" vertical="top"/>
    </xf>
    <xf numFmtId="0" fontId="55" fillId="0" borderId="0" xfId="2188" applyFont="1"/>
    <xf numFmtId="186" fontId="56" fillId="0" borderId="5" xfId="1540" applyNumberFormat="1" applyFont="1" applyFill="1" applyBorder="1" applyAlignment="1">
      <alignment horizontal="center" vertical="center"/>
    </xf>
    <xf numFmtId="186" fontId="56" fillId="0" borderId="5" xfId="1540" applyNumberFormat="1" applyFont="1" applyFill="1" applyBorder="1" applyAlignment="1">
      <alignment vertical="center"/>
    </xf>
    <xf numFmtId="0" fontId="57" fillId="0" borderId="6" xfId="2142" applyFont="1" applyBorder="1" applyAlignment="1">
      <alignment horizontal="center"/>
    </xf>
    <xf numFmtId="186" fontId="56" fillId="0" borderId="5" xfId="1682" applyNumberFormat="1" applyFont="1" applyFill="1" applyBorder="1" applyAlignment="1">
      <alignment horizontal="center" vertical="center"/>
    </xf>
    <xf numFmtId="1" fontId="55" fillId="0" borderId="39" xfId="1682" applyNumberFormat="1" applyFont="1" applyFill="1" applyBorder="1" applyAlignment="1">
      <alignment horizontal="center" vertical="center"/>
    </xf>
    <xf numFmtId="186" fontId="55" fillId="0" borderId="39" xfId="1540" applyNumberFormat="1" applyFont="1" applyFill="1" applyBorder="1" applyAlignment="1">
      <alignment horizontal="center" vertical="center"/>
    </xf>
    <xf numFmtId="175" fontId="55" fillId="0" borderId="39" xfId="1540" applyNumberFormat="1" applyFont="1" applyFill="1" applyBorder="1" applyAlignment="1">
      <alignment horizontal="center" vertical="center"/>
    </xf>
    <xf numFmtId="186" fontId="56" fillId="0" borderId="0" xfId="1540" applyNumberFormat="1" applyFont="1" applyFill="1" applyBorder="1" applyAlignment="1">
      <alignment horizontal="left" vertical="center"/>
    </xf>
    <xf numFmtId="186" fontId="56" fillId="0" borderId="0" xfId="1540" applyNumberFormat="1" applyFont="1" applyFill="1" applyBorder="1" applyAlignment="1">
      <alignment horizontal="center" vertical="center"/>
    </xf>
    <xf numFmtId="186" fontId="56" fillId="0" borderId="0" xfId="1540" applyNumberFormat="1" applyFont="1" applyFill="1" applyBorder="1" applyAlignment="1">
      <alignment vertical="center"/>
    </xf>
    <xf numFmtId="186" fontId="55" fillId="0" borderId="39" xfId="1540" applyNumberFormat="1" applyFont="1" applyFill="1" applyBorder="1" applyAlignment="1">
      <alignment vertical="center"/>
    </xf>
    <xf numFmtId="0" fontId="57" fillId="0" borderId="0" xfId="0" applyFont="1"/>
    <xf numFmtId="186" fontId="56" fillId="0" borderId="16" xfId="1540" applyNumberFormat="1" applyFont="1" applyFill="1" applyBorder="1" applyAlignment="1">
      <alignment horizontal="center" vertical="center"/>
    </xf>
    <xf numFmtId="9" fontId="56" fillId="0" borderId="5" xfId="1540" applyNumberFormat="1" applyFont="1" applyFill="1" applyBorder="1" applyAlignment="1">
      <alignment horizontal="center" vertical="center"/>
    </xf>
    <xf numFmtId="186" fontId="56" fillId="0" borderId="5" xfId="1540" applyNumberFormat="1" applyFont="1" applyFill="1" applyBorder="1" applyAlignment="1">
      <alignment vertical="center" wrapText="1"/>
    </xf>
    <xf numFmtId="3" fontId="56" fillId="0" borderId="5" xfId="1540" applyNumberFormat="1" applyFont="1" applyFill="1" applyBorder="1" applyAlignment="1">
      <alignment vertical="center"/>
    </xf>
    <xf numFmtId="186" fontId="55" fillId="0" borderId="39" xfId="1633" applyNumberFormat="1" applyFont="1" applyFill="1" applyBorder="1" applyAlignment="1">
      <alignment horizontal="center" vertical="center"/>
    </xf>
    <xf numFmtId="0" fontId="58" fillId="0" borderId="15" xfId="0" applyFont="1" applyBorder="1" applyAlignment="1">
      <alignment horizontal="center"/>
    </xf>
    <xf numFmtId="0" fontId="58" fillId="0" borderId="23" xfId="0" applyFont="1" applyBorder="1" applyAlignment="1">
      <alignment horizontal="center"/>
    </xf>
    <xf numFmtId="186" fontId="57" fillId="0" borderId="0" xfId="1" applyNumberFormat="1" applyFont="1"/>
    <xf numFmtId="186" fontId="58" fillId="0" borderId="12" xfId="1" applyNumberFormat="1" applyFont="1" applyBorder="1"/>
    <xf numFmtId="186" fontId="57" fillId="0" borderId="16" xfId="2142" applyNumberFormat="1" applyFont="1" applyBorder="1"/>
    <xf numFmtId="0" fontId="57" fillId="0" borderId="0" xfId="2142" applyFont="1"/>
    <xf numFmtId="3" fontId="58" fillId="0" borderId="40" xfId="2142" applyNumberFormat="1" applyFont="1" applyBorder="1"/>
    <xf numFmtId="0" fontId="59" fillId="0" borderId="19" xfId="0" applyFont="1" applyBorder="1"/>
    <xf numFmtId="0" fontId="0" fillId="0" borderId="19" xfId="0" applyBorder="1"/>
    <xf numFmtId="0" fontId="60" fillId="0" borderId="0" xfId="0" applyFont="1" applyAlignment="1">
      <alignment horizontal="center"/>
    </xf>
    <xf numFmtId="186" fontId="60" fillId="0" borderId="0" xfId="1" applyNumberFormat="1" applyFont="1"/>
    <xf numFmtId="9" fontId="60" fillId="0" borderId="0" xfId="0" applyNumberFormat="1" applyFont="1" applyAlignment="1">
      <alignment horizontal="center"/>
    </xf>
    <xf numFmtId="0" fontId="60" fillId="0" borderId="1" xfId="0" applyFont="1" applyBorder="1" applyAlignment="1">
      <alignment horizontal="center"/>
    </xf>
    <xf numFmtId="15" fontId="0" fillId="0" borderId="1" xfId="0" applyNumberFormat="1" applyBorder="1"/>
    <xf numFmtId="186" fontId="0" fillId="0" borderId="1" xfId="1" applyNumberFormat="1" applyFont="1" applyBorder="1"/>
    <xf numFmtId="186" fontId="0" fillId="0" borderId="5" xfId="1" applyNumberFormat="1" applyFont="1" applyFill="1" applyBorder="1"/>
    <xf numFmtId="15" fontId="0" fillId="4" borderId="1" xfId="0" applyNumberFormat="1" applyFill="1" applyBorder="1"/>
    <xf numFmtId="186" fontId="0" fillId="4" borderId="1" xfId="1" applyNumberFormat="1" applyFont="1" applyFill="1" applyBorder="1"/>
    <xf numFmtId="3" fontId="0" fillId="0" borderId="1" xfId="0" applyNumberFormat="1" applyBorder="1"/>
    <xf numFmtId="186" fontId="0" fillId="0" borderId="8" xfId="1" applyNumberFormat="1" applyFont="1" applyFill="1" applyBorder="1"/>
    <xf numFmtId="186" fontId="0" fillId="0" borderId="0" xfId="1" applyNumberFormat="1" applyFont="1" applyFill="1" applyBorder="1"/>
    <xf numFmtId="186" fontId="60" fillId="0" borderId="0" xfId="0" applyNumberFormat="1" applyFont="1"/>
    <xf numFmtId="186" fontId="0" fillId="0" borderId="1" xfId="1" applyNumberFormat="1" applyFont="1" applyFill="1" applyBorder="1"/>
    <xf numFmtId="186" fontId="61" fillId="0" borderId="0" xfId="1" applyNumberFormat="1" applyFont="1"/>
    <xf numFmtId="186" fontId="32" fillId="0" borderId="0" xfId="1" applyNumberFormat="1" applyFont="1"/>
    <xf numFmtId="186" fontId="32" fillId="0" borderId="0" xfId="1" applyNumberFormat="1" applyFont="1" applyBorder="1"/>
    <xf numFmtId="186" fontId="27" fillId="4" borderId="0" xfId="1" applyNumberFormat="1" applyFont="1" applyFill="1"/>
    <xf numFmtId="186" fontId="27" fillId="0" borderId="0" xfId="1" applyNumberFormat="1" applyFont="1" applyAlignment="1">
      <alignment horizontal="center"/>
    </xf>
    <xf numFmtId="186" fontId="27" fillId="0" borderId="0" xfId="1" applyNumberFormat="1" applyFont="1"/>
    <xf numFmtId="186" fontId="33" fillId="0" borderId="0" xfId="1" applyNumberFormat="1" applyFont="1" applyAlignment="1">
      <alignment horizontal="center"/>
    </xf>
    <xf numFmtId="186" fontId="62" fillId="0" borderId="0" xfId="1" applyNumberFormat="1" applyFont="1" applyAlignment="1">
      <alignment horizontal="left"/>
    </xf>
    <xf numFmtId="186" fontId="62" fillId="0" borderId="0" xfId="1" applyNumberFormat="1" applyFont="1" applyAlignment="1">
      <alignment horizontal="center"/>
    </xf>
    <xf numFmtId="186" fontId="33" fillId="0" borderId="0" xfId="1" applyNumberFormat="1" applyFont="1"/>
    <xf numFmtId="186" fontId="33" fillId="0" borderId="0" xfId="1" applyNumberFormat="1" applyFont="1" applyFill="1"/>
    <xf numFmtId="186" fontId="63" fillId="4" borderId="0" xfId="1" applyNumberFormat="1" applyFont="1" applyFill="1" applyAlignment="1">
      <alignment horizontal="justify" vertical="top" wrapText="1"/>
    </xf>
    <xf numFmtId="186" fontId="27" fillId="0" borderId="0" xfId="1" applyNumberFormat="1" applyFont="1" applyAlignment="1">
      <alignment vertical="top" wrapText="1"/>
    </xf>
    <xf numFmtId="186" fontId="33" fillId="0" borderId="0" xfId="1" applyNumberFormat="1" applyFont="1" applyFill="1" applyAlignment="1">
      <alignment vertical="top" wrapText="1"/>
    </xf>
    <xf numFmtId="186" fontId="33" fillId="0" borderId="0" xfId="1" applyNumberFormat="1" applyFont="1" applyAlignment="1">
      <alignment horizontal="left" vertical="top"/>
    </xf>
    <xf numFmtId="186" fontId="27" fillId="0" borderId="0" xfId="1" applyNumberFormat="1" applyFont="1" applyAlignment="1">
      <alignment horizontal="justify" vertical="top" wrapText="1"/>
    </xf>
    <xf numFmtId="186" fontId="27" fillId="0" borderId="0" xfId="1" applyNumberFormat="1" applyFont="1" applyAlignment="1">
      <alignment horizontal="left" vertical="top" wrapText="1"/>
    </xf>
    <xf numFmtId="186" fontId="30" fillId="0" borderId="0" xfId="1" applyNumberFormat="1" applyFont="1"/>
    <xf numFmtId="186" fontId="27" fillId="0" borderId="0" xfId="1" applyNumberFormat="1" applyFont="1" applyAlignment="1">
      <alignment horizontal="left"/>
    </xf>
    <xf numFmtId="186" fontId="33" fillId="0" borderId="0" xfId="1" applyNumberFormat="1" applyFont="1" applyAlignment="1">
      <alignment horizontal="left"/>
    </xf>
    <xf numFmtId="186" fontId="32" fillId="0" borderId="0" xfId="1" applyNumberFormat="1" applyFont="1" applyAlignment="1">
      <alignment horizontal="left"/>
    </xf>
    <xf numFmtId="186" fontId="32" fillId="0" borderId="0" xfId="1" applyNumberFormat="1" applyFont="1" applyAlignment="1">
      <alignment horizontal="justify" vertical="top" wrapText="1"/>
    </xf>
    <xf numFmtId="186" fontId="32" fillId="0" borderId="0" xfId="1" applyNumberFormat="1" applyFont="1" applyAlignment="1">
      <alignment vertical="top" wrapText="1"/>
    </xf>
    <xf numFmtId="186" fontId="30" fillId="0" borderId="0" xfId="1" applyNumberFormat="1" applyFont="1" applyAlignment="1">
      <alignment horizontal="center"/>
    </xf>
    <xf numFmtId="186" fontId="30" fillId="0" borderId="0" xfId="1" applyNumberFormat="1" applyFont="1" applyFill="1" applyAlignment="1" applyProtection="1">
      <alignment horizontal="center"/>
    </xf>
    <xf numFmtId="186" fontId="27" fillId="0" borderId="0" xfId="1" applyNumberFormat="1" applyFont="1" applyFill="1" applyAlignment="1">
      <alignment horizontal="left" vertical="center"/>
    </xf>
    <xf numFmtId="186" fontId="27" fillId="0" borderId="0" xfId="1" applyNumberFormat="1" applyFont="1" applyAlignment="1">
      <alignment horizontal="justify" vertical="top"/>
    </xf>
    <xf numFmtId="186" fontId="27" fillId="0" borderId="0" xfId="1" applyNumberFormat="1" applyFont="1" applyFill="1" applyAlignment="1">
      <alignment horizontal="left"/>
    </xf>
    <xf numFmtId="186" fontId="27" fillId="0" borderId="0" xfId="1" applyNumberFormat="1" applyFont="1" applyFill="1" applyAlignment="1"/>
    <xf numFmtId="186" fontId="33" fillId="0" borderId="0" xfId="1" applyNumberFormat="1" applyFont="1" applyAlignment="1">
      <alignment horizontal="left" indent="1"/>
    </xf>
    <xf numFmtId="186" fontId="64" fillId="0" borderId="0" xfId="1" applyNumberFormat="1" applyFont="1" applyAlignment="1">
      <alignment horizontal="left"/>
    </xf>
    <xf numFmtId="186" fontId="64" fillId="0" borderId="0" xfId="1" applyNumberFormat="1" applyFont="1" applyAlignment="1">
      <alignment vertical="center"/>
    </xf>
    <xf numFmtId="186" fontId="33" fillId="0" borderId="0" xfId="1" applyNumberFormat="1" applyFont="1" applyAlignment="1">
      <alignment horizontal="center" vertical="top"/>
    </xf>
    <xf numFmtId="186" fontId="64" fillId="0" borderId="0" xfId="1" applyNumberFormat="1" applyFont="1" applyAlignment="1">
      <alignment horizontal="justify" vertical="top" wrapText="1"/>
    </xf>
    <xf numFmtId="186" fontId="27" fillId="4" borderId="0" xfId="1" applyNumberFormat="1" applyFont="1" applyFill="1" applyAlignment="1">
      <alignment horizontal="left" vertical="top" wrapText="1"/>
    </xf>
    <xf numFmtId="186" fontId="27" fillId="0" borderId="0" xfId="1" applyNumberFormat="1" applyFont="1" applyAlignment="1">
      <alignment horizontal="centerContinuous"/>
    </xf>
    <xf numFmtId="186" fontId="65" fillId="0" borderId="0" xfId="1" applyNumberFormat="1" applyFont="1"/>
    <xf numFmtId="186" fontId="62" fillId="0" borderId="0" xfId="1" applyNumberFormat="1" applyFont="1" applyBorder="1" applyAlignment="1">
      <alignment horizontal="left"/>
    </xf>
    <xf numFmtId="186" fontId="27" fillId="0" borderId="0" xfId="1" applyNumberFormat="1" applyFont="1" applyBorder="1" applyAlignment="1">
      <alignment horizontal="justify" vertical="top" wrapText="1"/>
    </xf>
    <xf numFmtId="186" fontId="33" fillId="0" borderId="0" xfId="1" applyNumberFormat="1" applyFont="1" applyAlignment="1">
      <alignment horizontal="centerContinuous"/>
    </xf>
    <xf numFmtId="186" fontId="66" fillId="0" borderId="0" xfId="1" applyNumberFormat="1" applyFont="1" applyAlignment="1">
      <alignment horizontal="justify" vertical="top" wrapText="1"/>
    </xf>
    <xf numFmtId="186" fontId="66" fillId="0" borderId="0" xfId="1" applyNumberFormat="1" applyFont="1" applyAlignment="1">
      <alignment horizontal="justify" vertical="justify" wrapText="1"/>
    </xf>
    <xf numFmtId="186" fontId="30" fillId="0" borderId="0" xfId="1" applyNumberFormat="1" applyFont="1" applyAlignment="1">
      <alignment vertical="top"/>
    </xf>
    <xf numFmtId="186" fontId="33" fillId="0" borderId="0" xfId="1" applyNumberFormat="1" applyFont="1" applyAlignment="1">
      <alignment horizontal="left" vertical="top" indent="2"/>
    </xf>
    <xf numFmtId="186" fontId="27" fillId="0" borderId="0" xfId="1" applyNumberFormat="1" applyFont="1" applyAlignment="1"/>
    <xf numFmtId="186" fontId="30" fillId="0" borderId="0" xfId="1" applyNumberFormat="1" applyFont="1" applyAlignment="1">
      <alignment horizontal="left" vertical="top" indent="2"/>
    </xf>
    <xf numFmtId="186" fontId="27" fillId="0" borderId="0" xfId="1" applyNumberFormat="1" applyFont="1" applyAlignment="1">
      <alignment horizontal="left" vertical="top" wrapText="1" indent="2"/>
    </xf>
    <xf numFmtId="186" fontId="33" fillId="0" borderId="0" xfId="1" applyNumberFormat="1" applyFont="1" applyAlignment="1">
      <alignment horizontal="center" vertical="center"/>
    </xf>
    <xf numFmtId="186" fontId="64" fillId="0" borderId="0" xfId="1" applyNumberFormat="1" applyFont="1" applyAlignment="1">
      <alignment vertical="top"/>
    </xf>
    <xf numFmtId="186" fontId="64" fillId="0" borderId="0" xfId="1" applyNumberFormat="1" applyFont="1" applyAlignment="1">
      <alignment horizontal="left" vertical="top"/>
    </xf>
    <xf numFmtId="186" fontId="27" fillId="0" borderId="0" xfId="1" applyNumberFormat="1" applyFont="1" applyAlignment="1">
      <alignment vertical="top"/>
    </xf>
    <xf numFmtId="186" fontId="32" fillId="0" borderId="0" xfId="1" applyNumberFormat="1" applyFont="1" applyAlignment="1">
      <alignment horizontal="center"/>
    </xf>
    <xf numFmtId="186" fontId="33" fillId="0" borderId="0" xfId="1" applyNumberFormat="1" applyFont="1" applyAlignment="1">
      <alignment horizontal="justify" vertical="top"/>
    </xf>
    <xf numFmtId="186" fontId="33" fillId="0" borderId="0" xfId="1" applyNumberFormat="1" applyFont="1" applyFill="1" applyAlignment="1">
      <alignment horizontal="center" vertical="center"/>
    </xf>
    <xf numFmtId="186" fontId="27" fillId="4" borderId="0" xfId="1" applyNumberFormat="1" applyFont="1" applyFill="1" applyAlignment="1">
      <alignment horizontal="justify" vertical="top" wrapText="1"/>
    </xf>
    <xf numFmtId="186" fontId="67" fillId="4" borderId="0" xfId="1" applyNumberFormat="1" applyFont="1" applyFill="1" applyAlignment="1">
      <alignment horizontal="center"/>
    </xf>
    <xf numFmtId="186" fontId="67" fillId="4" borderId="0" xfId="1" applyNumberFormat="1" applyFont="1" applyFill="1" applyAlignment="1">
      <alignment vertical="top"/>
    </xf>
    <xf numFmtId="186" fontId="63" fillId="4" borderId="0" xfId="1" applyNumberFormat="1" applyFont="1" applyFill="1" applyAlignment="1">
      <alignment horizontal="left" vertical="top" wrapText="1"/>
    </xf>
    <xf numFmtId="186" fontId="63" fillId="4" borderId="0" xfId="1" applyNumberFormat="1" applyFont="1" applyFill="1"/>
    <xf numFmtId="186" fontId="66" fillId="0" borderId="0" xfId="1" applyNumberFormat="1" applyFont="1" applyAlignment="1">
      <alignment vertical="center"/>
    </xf>
    <xf numFmtId="186" fontId="66" fillId="0" borderId="0" xfId="1" applyNumberFormat="1" applyFont="1" applyAlignment="1">
      <alignment horizontal="left" vertical="top" wrapText="1"/>
    </xf>
    <xf numFmtId="186" fontId="33" fillId="4" borderId="0" xfId="1" applyNumberFormat="1" applyFont="1" applyFill="1" applyAlignment="1"/>
    <xf numFmtId="186" fontId="67" fillId="4" borderId="0" xfId="1" applyNumberFormat="1" applyFont="1" applyFill="1" applyAlignment="1">
      <alignment horizontal="center" vertical="center"/>
    </xf>
    <xf numFmtId="186" fontId="33" fillId="0" borderId="0" xfId="1" applyNumberFormat="1" applyFont="1" applyFill="1" applyAlignment="1">
      <alignment horizontal="center"/>
    </xf>
    <xf numFmtId="186" fontId="27" fillId="0" borderId="0" xfId="1" applyNumberFormat="1" applyFont="1" applyAlignment="1">
      <alignment horizontal="justify" vertical="justify" wrapText="1"/>
    </xf>
    <xf numFmtId="186" fontId="27" fillId="0" borderId="0" xfId="1" applyNumberFormat="1" applyFont="1" applyAlignment="1">
      <alignment vertical="center"/>
    </xf>
    <xf numFmtId="186" fontId="27" fillId="0" borderId="0" xfId="1" applyNumberFormat="1" applyFont="1" applyAlignment="1">
      <alignment horizontal="center" vertical="center" wrapText="1"/>
    </xf>
    <xf numFmtId="186" fontId="66" fillId="0" borderId="0" xfId="1" applyNumberFormat="1" applyFont="1"/>
    <xf numFmtId="186" fontId="66" fillId="4" borderId="0" xfId="1" applyNumberFormat="1" applyFont="1" applyFill="1" applyAlignment="1">
      <alignment horizontal="left" vertical="top" wrapText="1"/>
    </xf>
    <xf numFmtId="186" fontId="66" fillId="4" borderId="0" xfId="1" applyNumberFormat="1" applyFont="1" applyFill="1"/>
    <xf numFmtId="186" fontId="63" fillId="4" borderId="0" xfId="1" applyNumberFormat="1" applyFont="1" applyFill="1" applyAlignment="1">
      <alignment vertical="top"/>
    </xf>
    <xf numFmtId="186" fontId="33" fillId="0" borderId="0" xfId="1" applyNumberFormat="1" applyFont="1" applyFill="1" applyAlignment="1">
      <alignment horizontal="justify" vertical="top"/>
    </xf>
    <xf numFmtId="186" fontId="32" fillId="0" borderId="0" xfId="1" applyNumberFormat="1" applyFont="1" applyAlignment="1">
      <alignment horizontal="justify" vertical="top"/>
    </xf>
    <xf numFmtId="186" fontId="33" fillId="0" borderId="0" xfId="1" applyNumberFormat="1" applyFont="1" applyAlignment="1">
      <alignment horizontal="right"/>
    </xf>
    <xf numFmtId="186" fontId="27" fillId="35" borderId="1" xfId="1" applyNumberFormat="1" applyFont="1" applyFill="1" applyBorder="1" applyAlignment="1">
      <alignment horizontal="center"/>
    </xf>
    <xf numFmtId="186" fontId="27" fillId="35" borderId="3" xfId="1" applyNumberFormat="1" applyFont="1" applyFill="1" applyBorder="1" applyAlignment="1">
      <alignment horizontal="center"/>
    </xf>
    <xf numFmtId="186" fontId="27" fillId="0" borderId="1" xfId="1" applyNumberFormat="1" applyFont="1" applyBorder="1" applyAlignment="1">
      <alignment horizontal="center" vertical="center"/>
    </xf>
    <xf numFmtId="186" fontId="63" fillId="0" borderId="0" xfId="1" applyNumberFormat="1" applyFont="1" applyAlignment="1">
      <alignment horizontal="left" vertical="center"/>
    </xf>
    <xf numFmtId="186" fontId="30" fillId="0" borderId="0" xfId="1" applyNumberFormat="1" applyFont="1" applyAlignment="1">
      <alignment horizontal="center" vertical="top"/>
    </xf>
    <xf numFmtId="186" fontId="27" fillId="0" borderId="0" xfId="1" applyNumberFormat="1" applyFont="1" applyFill="1" applyAlignment="1">
      <alignment horizontal="center" vertical="center"/>
    </xf>
    <xf numFmtId="186" fontId="27" fillId="35" borderId="9" xfId="1" applyNumberFormat="1" applyFont="1" applyFill="1" applyBorder="1" applyAlignment="1">
      <alignment horizontal="center"/>
    </xf>
    <xf numFmtId="186" fontId="32" fillId="0" borderId="0" xfId="1" applyNumberFormat="1" applyFont="1" applyFill="1" applyAlignment="1">
      <alignment horizontal="justify" vertical="top"/>
    </xf>
    <xf numFmtId="0" fontId="33" fillId="3" borderId="0" xfId="1" applyNumberFormat="1" applyFont="1" applyFill="1" applyBorder="1" applyAlignment="1">
      <alignment horizontal="center" vertical="center"/>
    </xf>
    <xf numFmtId="186" fontId="33" fillId="0" borderId="0" xfId="1" applyNumberFormat="1" applyFont="1" applyFill="1" applyBorder="1"/>
    <xf numFmtId="186" fontId="33" fillId="0" borderId="12" xfId="1" applyNumberFormat="1" applyFont="1" applyFill="1" applyBorder="1"/>
    <xf numFmtId="186" fontId="33" fillId="0" borderId="0" xfId="1" applyNumberFormat="1" applyFont="1" applyFill="1" applyBorder="1" applyAlignment="1">
      <alignment horizontal="center"/>
    </xf>
    <xf numFmtId="186" fontId="33" fillId="0" borderId="12" xfId="1" applyNumberFormat="1" applyFont="1" applyBorder="1"/>
    <xf numFmtId="186" fontId="30" fillId="3" borderId="0" xfId="1" applyNumberFormat="1" applyFont="1" applyFill="1"/>
    <xf numFmtId="186" fontId="33" fillId="0" borderId="34" xfId="1" applyNumberFormat="1" applyFont="1" applyFill="1" applyBorder="1"/>
    <xf numFmtId="186" fontId="33" fillId="0" borderId="13" xfId="1" applyNumberFormat="1" applyFont="1" applyFill="1" applyBorder="1"/>
    <xf numFmtId="186" fontId="33" fillId="0" borderId="3" xfId="1" applyNumberFormat="1" applyFont="1" applyFill="1" applyBorder="1" applyAlignment="1">
      <alignment horizontal="center" vertical="center" wrapText="1"/>
    </xf>
    <xf numFmtId="186" fontId="27" fillId="35" borderId="1" xfId="1" applyNumberFormat="1" applyFont="1" applyFill="1" applyBorder="1"/>
    <xf numFmtId="186" fontId="33" fillId="0" borderId="9" xfId="1" applyNumberFormat="1" applyFont="1" applyFill="1" applyBorder="1" applyAlignment="1">
      <alignment horizontal="center" vertical="center" wrapText="1"/>
    </xf>
    <xf numFmtId="15" fontId="33" fillId="0" borderId="1" xfId="1" applyNumberFormat="1" applyFont="1" applyFill="1" applyBorder="1" applyAlignment="1">
      <alignment vertical="center"/>
    </xf>
    <xf numFmtId="15" fontId="33" fillId="0" borderId="6" xfId="1" applyNumberFormat="1" applyFont="1" applyFill="1" applyBorder="1" applyAlignment="1">
      <alignment vertical="center"/>
    </xf>
    <xf numFmtId="186" fontId="33" fillId="0" borderId="0" xfId="1" applyNumberFormat="1" applyFont="1" applyBorder="1" applyAlignment="1">
      <alignment horizontal="center"/>
    </xf>
    <xf numFmtId="186" fontId="33" fillId="0" borderId="0" xfId="1" applyNumberFormat="1" applyFont="1" applyBorder="1" applyAlignment="1">
      <alignment horizontal="right"/>
    </xf>
    <xf numFmtId="186" fontId="27" fillId="0" borderId="0" xfId="1" applyNumberFormat="1" applyFont="1" applyFill="1"/>
    <xf numFmtId="186" fontId="27" fillId="0" borderId="0" xfId="1" applyNumberFormat="1" applyFont="1" applyFill="1" applyBorder="1"/>
    <xf numFmtId="9" fontId="27" fillId="0" borderId="0" xfId="1" applyNumberFormat="1" applyFont="1"/>
    <xf numFmtId="186" fontId="27" fillId="0" borderId="0" xfId="1" applyNumberFormat="1" applyFont="1" applyBorder="1"/>
    <xf numFmtId="186" fontId="27" fillId="0" borderId="0" xfId="1" applyNumberFormat="1" applyFont="1" applyBorder="1" applyAlignment="1">
      <alignment horizontal="right"/>
    </xf>
    <xf numFmtId="9" fontId="27" fillId="0" borderId="0" xfId="1" applyNumberFormat="1" applyFont="1" applyBorder="1" applyAlignment="1">
      <alignment horizontal="right"/>
    </xf>
    <xf numFmtId="9" fontId="27" fillId="0" borderId="0" xfId="1" applyNumberFormat="1" applyFont="1" applyFill="1" applyBorder="1" applyAlignment="1">
      <alignment horizontal="right"/>
    </xf>
    <xf numFmtId="0" fontId="27" fillId="0" borderId="0" xfId="1" applyNumberFormat="1" applyFont="1"/>
    <xf numFmtId="186" fontId="27" fillId="0" borderId="0" xfId="1" applyNumberFormat="1" applyFont="1" applyFill="1" applyBorder="1" applyAlignment="1">
      <alignment horizontal="right"/>
    </xf>
    <xf numFmtId="186" fontId="27" fillId="0" borderId="0" xfId="1" applyNumberFormat="1" applyFont="1" applyBorder="1" applyAlignment="1">
      <alignment horizontal="center"/>
    </xf>
    <xf numFmtId="9" fontId="32" fillId="0" borderId="0" xfId="1" applyNumberFormat="1" applyFont="1"/>
    <xf numFmtId="186" fontId="27" fillId="0" borderId="0" xfId="1" applyNumberFormat="1" applyFont="1" applyAlignment="1">
      <alignment horizontal="center" vertical="center"/>
    </xf>
    <xf numFmtId="9" fontId="27" fillId="0" borderId="0" xfId="1" applyNumberFormat="1" applyFont="1" applyAlignment="1">
      <alignment horizontal="center" vertical="center"/>
    </xf>
    <xf numFmtId="186" fontId="33" fillId="0" borderId="0" xfId="1" applyNumberFormat="1" applyFont="1" applyBorder="1"/>
    <xf numFmtId="186" fontId="33" fillId="0" borderId="0" xfId="1" applyNumberFormat="1" applyFont="1" applyFill="1" applyBorder="1" applyAlignment="1">
      <alignment horizontal="center" vertical="center" wrapText="1"/>
    </xf>
    <xf numFmtId="186" fontId="30" fillId="0" borderId="0" xfId="1" applyNumberFormat="1" applyFont="1" applyFill="1" applyBorder="1"/>
    <xf numFmtId="3" fontId="32" fillId="0" borderId="0" xfId="1" applyNumberFormat="1" applyFont="1"/>
    <xf numFmtId="186" fontId="33" fillId="0" borderId="12" xfId="1" applyNumberFormat="1" applyFont="1" applyFill="1" applyBorder="1" applyAlignment="1">
      <alignment horizontal="center"/>
    </xf>
    <xf numFmtId="186" fontId="30" fillId="0" borderId="0" xfId="1" applyNumberFormat="1" applyFont="1" applyFill="1" applyBorder="1" applyAlignment="1">
      <alignment vertical="top" wrapText="1"/>
    </xf>
    <xf numFmtId="186" fontId="30" fillId="0" borderId="13" xfId="1" applyNumberFormat="1" applyFont="1" applyFill="1" applyBorder="1" applyAlignment="1">
      <alignment vertical="top" wrapText="1"/>
    </xf>
    <xf numFmtId="186" fontId="30" fillId="0" borderId="10" xfId="1" applyNumberFormat="1" applyFont="1" applyFill="1" applyBorder="1" applyAlignment="1">
      <alignment vertical="top" wrapText="1"/>
    </xf>
    <xf numFmtId="186" fontId="30" fillId="0" borderId="12" xfId="1" applyNumberFormat="1" applyFont="1" applyFill="1" applyBorder="1" applyAlignment="1">
      <alignment vertical="top" wrapText="1"/>
    </xf>
    <xf numFmtId="186" fontId="33" fillId="0" borderId="0" xfId="1" applyNumberFormat="1" applyFont="1" applyFill="1" applyAlignment="1">
      <alignment horizontal="center" vertical="center" wrapText="1"/>
    </xf>
    <xf numFmtId="15" fontId="33" fillId="0" borderId="0" xfId="1" applyNumberFormat="1" applyFont="1" applyFill="1" applyBorder="1" applyAlignment="1">
      <alignment vertical="center"/>
    </xf>
    <xf numFmtId="186" fontId="27" fillId="0" borderId="0" xfId="1" applyNumberFormat="1" applyFont="1" applyAlignment="1">
      <alignment vertical="justify"/>
    </xf>
    <xf numFmtId="186" fontId="30" fillId="0" borderId="0" xfId="1" applyNumberFormat="1" applyFont="1" applyFill="1"/>
    <xf numFmtId="9" fontId="33" fillId="0" borderId="0" xfId="1" applyNumberFormat="1" applyFont="1" applyFill="1" applyBorder="1" applyAlignment="1">
      <alignment horizontal="center"/>
    </xf>
    <xf numFmtId="186" fontId="32" fillId="0" borderId="12" xfId="1" applyNumberFormat="1" applyFont="1" applyBorder="1"/>
    <xf numFmtId="4" fontId="32" fillId="0" borderId="0" xfId="1" applyNumberFormat="1" applyFont="1"/>
    <xf numFmtId="9" fontId="30" fillId="0" borderId="0" xfId="1" applyNumberFormat="1" applyFont="1" applyBorder="1" applyAlignment="1">
      <alignment vertical="top" wrapText="1"/>
    </xf>
    <xf numFmtId="186" fontId="30" fillId="0" borderId="0" xfId="1" applyNumberFormat="1" applyFont="1" applyBorder="1" applyAlignment="1">
      <alignment vertical="top" wrapText="1"/>
    </xf>
    <xf numFmtId="9" fontId="30" fillId="0" borderId="12" xfId="1" applyNumberFormat="1" applyFont="1" applyBorder="1" applyAlignment="1">
      <alignment vertical="top" wrapText="1"/>
    </xf>
    <xf numFmtId="175" fontId="30" fillId="0" borderId="0" xfId="1" applyNumberFormat="1" applyFont="1" applyAlignment="1">
      <alignment horizontal="center" vertical="top"/>
    </xf>
    <xf numFmtId="175" fontId="32" fillId="0" borderId="0" xfId="1" applyNumberFormat="1" applyFont="1"/>
    <xf numFmtId="175" fontId="30" fillId="0" borderId="0" xfId="1" applyNumberFormat="1" applyFont="1" applyAlignment="1">
      <alignment horizontal="center" vertical="center"/>
    </xf>
    <xf numFmtId="186" fontId="30" fillId="0" borderId="0" xfId="1" applyNumberFormat="1" applyFont="1" applyAlignment="1">
      <alignment horizontal="center" vertical="center"/>
    </xf>
    <xf numFmtId="175" fontId="33" fillId="0" borderId="0" xfId="1" applyNumberFormat="1" applyFont="1" applyAlignment="1">
      <alignment horizontal="center" vertical="top"/>
    </xf>
    <xf numFmtId="186" fontId="27" fillId="3" borderId="0" xfId="1" applyNumberFormat="1" applyFont="1" applyFill="1" applyBorder="1"/>
    <xf numFmtId="186" fontId="27" fillId="0" borderId="0" xfId="1" applyNumberFormat="1" applyFont="1" applyBorder="1" applyAlignment="1">
      <alignment vertical="top"/>
    </xf>
    <xf numFmtId="186" fontId="32" fillId="0" borderId="0" xfId="1" applyNumberFormat="1" applyFont="1" applyBorder="1" applyAlignment="1">
      <alignment horizontal="justify" vertical="top" wrapText="1"/>
    </xf>
    <xf numFmtId="186" fontId="27" fillId="3" borderId="0" xfId="1" applyNumberFormat="1" applyFont="1" applyFill="1"/>
    <xf numFmtId="186" fontId="33" fillId="3" borderId="0" xfId="1" applyNumberFormat="1" applyFont="1" applyFill="1" applyAlignment="1">
      <alignment horizontal="left"/>
    </xf>
    <xf numFmtId="186" fontId="27" fillId="0" borderId="0" xfId="1" applyNumberFormat="1" applyFont="1" applyAlignment="1">
      <alignment horizontal="left" indent="1"/>
    </xf>
    <xf numFmtId="186" fontId="30" fillId="0" borderId="2" xfId="1" applyNumberFormat="1" applyFont="1" applyFill="1" applyBorder="1" applyAlignment="1">
      <alignment vertical="top" wrapText="1"/>
    </xf>
    <xf numFmtId="186" fontId="30" fillId="0" borderId="5" xfId="1" applyNumberFormat="1" applyFont="1" applyFill="1" applyBorder="1" applyAlignment="1">
      <alignment vertical="top" wrapText="1"/>
    </xf>
    <xf numFmtId="186" fontId="30" fillId="0" borderId="6" xfId="1" applyNumberFormat="1" applyFont="1" applyBorder="1"/>
    <xf numFmtId="186" fontId="32" fillId="0" borderId="0" xfId="1" applyNumberFormat="1" applyFont="1" applyAlignment="1">
      <alignment vertical="top"/>
    </xf>
    <xf numFmtId="186" fontId="32" fillId="0" borderId="6" xfId="1" applyNumberFormat="1" applyFont="1" applyBorder="1"/>
    <xf numFmtId="186" fontId="33" fillId="3" borderId="13" xfId="1" applyNumberFormat="1" applyFont="1" applyFill="1" applyBorder="1" applyAlignment="1">
      <alignment horizontal="right"/>
    </xf>
    <xf numFmtId="186" fontId="32" fillId="0" borderId="0" xfId="1" applyNumberFormat="1" applyFont="1" applyBorder="1" applyAlignment="1">
      <alignment vertical="top" wrapText="1"/>
    </xf>
    <xf numFmtId="186" fontId="30" fillId="0" borderId="0" xfId="1" applyNumberFormat="1" applyFont="1" applyAlignment="1">
      <alignment horizontal="center" vertical="top" wrapText="1"/>
    </xf>
    <xf numFmtId="186" fontId="30" fillId="0" borderId="0" xfId="1" applyNumberFormat="1" applyFont="1" applyAlignment="1">
      <alignment horizontal="left"/>
    </xf>
    <xf numFmtId="0" fontId="58" fillId="0" borderId="0" xfId="0" applyFont="1"/>
    <xf numFmtId="0" fontId="68" fillId="0" borderId="0" xfId="0" applyFont="1"/>
    <xf numFmtId="0" fontId="58" fillId="0" borderId="0" xfId="0" applyFont="1" applyAlignment="1">
      <alignment horizontal="center"/>
    </xf>
    <xf numFmtId="186" fontId="57" fillId="0" borderId="0" xfId="1" applyNumberFormat="1" applyFont="1" applyBorder="1"/>
    <xf numFmtId="186" fontId="58" fillId="0" borderId="0" xfId="1" applyNumberFormat="1" applyFont="1" applyBorder="1"/>
    <xf numFmtId="0" fontId="69" fillId="3" borderId="0" xfId="2015" applyFont="1" applyFill="1"/>
    <xf numFmtId="0" fontId="70" fillId="3" borderId="0" xfId="2015" applyFont="1" applyFill="1" applyAlignment="1">
      <alignment horizontal="center" vertical="center"/>
    </xf>
    <xf numFmtId="164" fontId="70" fillId="0" borderId="0" xfId="1632" applyFont="1" applyAlignment="1">
      <alignment vertical="center"/>
    </xf>
    <xf numFmtId="0" fontId="70" fillId="3" borderId="0" xfId="2056" applyFont="1" applyFill="1"/>
    <xf numFmtId="0" fontId="70" fillId="3" borderId="0" xfId="2015" applyFont="1" applyFill="1" applyAlignment="1">
      <alignment horizontal="center"/>
    </xf>
    <xf numFmtId="0" fontId="69" fillId="3" borderId="0" xfId="2056" applyFont="1" applyFill="1"/>
    <xf numFmtId="0" fontId="70" fillId="3" borderId="0" xfId="2056" applyFont="1" applyFill="1" applyAlignment="1">
      <alignment horizontal="center" vertical="center"/>
    </xf>
    <xf numFmtId="0" fontId="69" fillId="3" borderId="0" xfId="2056" applyFont="1" applyFill="1" applyAlignment="1">
      <alignment horizontal="left" indent="1"/>
    </xf>
    <xf numFmtId="186" fontId="70" fillId="3" borderId="19" xfId="2015" applyNumberFormat="1" applyFont="1" applyFill="1" applyBorder="1"/>
    <xf numFmtId="187" fontId="70" fillId="3" borderId="0" xfId="2015" applyNumberFormat="1" applyFont="1" applyFill="1" applyAlignment="1">
      <alignment horizontal="center" vertical="center"/>
    </xf>
    <xf numFmtId="0" fontId="70" fillId="3" borderId="0" xfId="2056" applyFont="1" applyFill="1" applyAlignment="1">
      <alignment horizontal="center"/>
    </xf>
    <xf numFmtId="0" fontId="69" fillId="3" borderId="0" xfId="2056" applyFont="1" applyFill="1" applyAlignment="1">
      <alignment horizontal="center"/>
    </xf>
    <xf numFmtId="37" fontId="70" fillId="3" borderId="6" xfId="2056" applyNumberFormat="1" applyFont="1" applyFill="1" applyBorder="1" applyAlignment="1">
      <alignment horizontal="center" vertical="center" wrapText="1"/>
    </xf>
    <xf numFmtId="186" fontId="69" fillId="3" borderId="0" xfId="1407" applyNumberFormat="1" applyFont="1" applyFill="1" applyBorder="1" applyAlignment="1">
      <alignment horizontal="center" vertical="center" wrapText="1"/>
    </xf>
    <xf numFmtId="186" fontId="69" fillId="3" borderId="0" xfId="1407" applyNumberFormat="1" applyFont="1" applyFill="1"/>
    <xf numFmtId="186" fontId="69" fillId="3" borderId="0" xfId="1407" applyNumberFormat="1" applyFont="1" applyFill="1" applyAlignment="1">
      <alignment horizontal="center" vertical="center"/>
    </xf>
    <xf numFmtId="186" fontId="69" fillId="3" borderId="12" xfId="1407" applyNumberFormat="1" applyFont="1" applyFill="1" applyBorder="1" applyAlignment="1">
      <alignment horizontal="center" vertical="center" wrapText="1"/>
    </xf>
    <xf numFmtId="186" fontId="69" fillId="3" borderId="0" xfId="2015" applyNumberFormat="1" applyFont="1" applyFill="1"/>
    <xf numFmtId="186" fontId="70" fillId="3" borderId="12" xfId="1407" applyNumberFormat="1" applyFont="1" applyFill="1" applyBorder="1" applyAlignment="1">
      <alignment horizontal="center" vertical="center" wrapText="1"/>
    </xf>
    <xf numFmtId="186" fontId="70" fillId="3" borderId="0" xfId="1407" applyNumberFormat="1" applyFont="1" applyFill="1" applyBorder="1" applyAlignment="1">
      <alignment horizontal="center" vertical="center" wrapText="1"/>
    </xf>
    <xf numFmtId="186" fontId="69" fillId="3" borderId="19" xfId="2015" applyNumberFormat="1" applyFont="1" applyFill="1" applyBorder="1"/>
    <xf numFmtId="0" fontId="70" fillId="3" borderId="10" xfId="2056" applyFont="1" applyFill="1" applyBorder="1" applyAlignment="1">
      <alignment horizontal="center" vertical="center" wrapText="1"/>
    </xf>
    <xf numFmtId="37" fontId="70" fillId="0" borderId="10" xfId="2175" applyNumberFormat="1" applyFont="1" applyBorder="1" applyAlignment="1">
      <alignment horizontal="center" vertical="center" wrapText="1"/>
    </xf>
    <xf numFmtId="186" fontId="71" fillId="3" borderId="0" xfId="1407" applyNumberFormat="1" applyFont="1" applyFill="1" applyBorder="1" applyAlignment="1">
      <alignment horizontal="center" vertical="center" wrapText="1"/>
    </xf>
    <xf numFmtId="186" fontId="70" fillId="3" borderId="0" xfId="1796" applyNumberFormat="1" applyFont="1" applyFill="1" applyBorder="1"/>
    <xf numFmtId="0" fontId="70" fillId="3" borderId="1" xfId="2056" applyFont="1" applyFill="1" applyBorder="1" applyAlignment="1">
      <alignment horizontal="center"/>
    </xf>
    <xf numFmtId="49" fontId="70" fillId="3" borderId="0" xfId="2056" applyNumberFormat="1" applyFont="1" applyFill="1" applyAlignment="1">
      <alignment horizontal="center" vertical="center" wrapText="1"/>
    </xf>
    <xf numFmtId="49" fontId="70" fillId="3" borderId="5" xfId="2056" applyNumberFormat="1" applyFont="1" applyFill="1" applyBorder="1" applyAlignment="1">
      <alignment horizontal="center" vertical="center" wrapText="1"/>
    </xf>
    <xf numFmtId="0" fontId="72" fillId="3" borderId="0" xfId="2056" applyFont="1" applyFill="1"/>
    <xf numFmtId="0" fontId="72" fillId="3" borderId="0" xfId="2056" applyFont="1" applyFill="1" applyAlignment="1">
      <alignment horizontal="left"/>
    </xf>
    <xf numFmtId="186" fontId="72" fillId="3" borderId="2" xfId="1407" applyNumberFormat="1" applyFont="1" applyFill="1" applyBorder="1" applyAlignment="1">
      <alignment horizontal="center" vertical="center" wrapText="1"/>
    </xf>
    <xf numFmtId="186" fontId="72" fillId="3" borderId="6" xfId="1407" applyNumberFormat="1" applyFont="1" applyFill="1" applyBorder="1" applyAlignment="1">
      <alignment horizontal="center" vertical="center" wrapText="1"/>
    </xf>
    <xf numFmtId="186" fontId="72" fillId="3" borderId="0" xfId="1407" applyNumberFormat="1" applyFont="1" applyFill="1" applyBorder="1" applyAlignment="1">
      <alignment horizontal="center" vertical="center" wrapText="1"/>
    </xf>
    <xf numFmtId="0" fontId="73" fillId="3" borderId="0" xfId="2056" applyFont="1" applyFill="1"/>
    <xf numFmtId="186" fontId="69" fillId="3" borderId="2" xfId="1407" applyNumberFormat="1" applyFont="1" applyFill="1" applyBorder="1" applyAlignment="1">
      <alignment horizontal="center" vertical="center" wrapText="1"/>
    </xf>
    <xf numFmtId="186" fontId="69" fillId="3" borderId="6" xfId="1407" applyNumberFormat="1" applyFont="1" applyFill="1" applyBorder="1" applyAlignment="1">
      <alignment horizontal="center" vertical="center" wrapText="1"/>
    </xf>
    <xf numFmtId="186" fontId="70" fillId="3" borderId="0" xfId="1407" applyNumberFormat="1" applyFont="1" applyFill="1"/>
    <xf numFmtId="186" fontId="72" fillId="3" borderId="0" xfId="1407" applyNumberFormat="1" applyFont="1" applyFill="1"/>
    <xf numFmtId="186" fontId="69" fillId="3" borderId="2" xfId="2015" applyNumberFormat="1" applyFont="1" applyFill="1" applyBorder="1"/>
    <xf numFmtId="186" fontId="69" fillId="3" borderId="6" xfId="2015" applyNumberFormat="1" applyFont="1" applyFill="1" applyBorder="1"/>
    <xf numFmtId="0" fontId="70" fillId="3" borderId="0" xfId="2015" applyFont="1" applyFill="1"/>
    <xf numFmtId="186" fontId="69" fillId="3" borderId="2" xfId="1407" applyNumberFormat="1" applyFont="1" applyFill="1" applyBorder="1"/>
    <xf numFmtId="186" fontId="69" fillId="3" borderId="6" xfId="1407" applyNumberFormat="1" applyFont="1" applyFill="1" applyBorder="1"/>
    <xf numFmtId="186" fontId="70" fillId="3" borderId="2" xfId="1407" applyNumberFormat="1" applyFont="1" applyFill="1" applyBorder="1" applyAlignment="1">
      <alignment horizontal="center" vertical="center" wrapText="1"/>
    </xf>
    <xf numFmtId="186" fontId="70" fillId="3" borderId="6" xfId="1407" applyNumberFormat="1" applyFont="1" applyFill="1" applyBorder="1" applyAlignment="1">
      <alignment horizontal="center" vertical="center" wrapText="1"/>
    </xf>
    <xf numFmtId="164" fontId="41" fillId="3" borderId="0" xfId="2015" applyNumberFormat="1" applyFont="1" applyFill="1"/>
    <xf numFmtId="0" fontId="74" fillId="3" borderId="0" xfId="2056" applyFont="1" applyFill="1" applyAlignment="1">
      <alignment horizontal="center" vertical="top"/>
    </xf>
    <xf numFmtId="9" fontId="70" fillId="3" borderId="19" xfId="2" applyFont="1" applyFill="1" applyBorder="1" applyAlignment="1">
      <alignment horizontal="center" wrapText="1"/>
    </xf>
    <xf numFmtId="187" fontId="70" fillId="3" borderId="0" xfId="2015" applyNumberFormat="1" applyFont="1" applyFill="1" applyAlignment="1">
      <alignment horizontal="center"/>
    </xf>
    <xf numFmtId="186" fontId="70" fillId="3" borderId="0" xfId="1" applyNumberFormat="1" applyFont="1" applyFill="1"/>
    <xf numFmtId="37" fontId="69" fillId="3" borderId="0" xfId="2015" applyNumberFormat="1" applyFont="1" applyFill="1"/>
    <xf numFmtId="186" fontId="70" fillId="3" borderId="12" xfId="1" applyNumberFormat="1" applyFont="1" applyFill="1" applyBorder="1"/>
    <xf numFmtId="186" fontId="70" fillId="3" borderId="0" xfId="1407" applyNumberFormat="1" applyFont="1" applyFill="1" applyBorder="1" applyAlignment="1">
      <alignment horizontal="center" wrapText="1"/>
    </xf>
    <xf numFmtId="37" fontId="27" fillId="3" borderId="0" xfId="2222" applyFont="1" applyFill="1" applyAlignment="1">
      <alignment horizontal="center"/>
    </xf>
    <xf numFmtId="37" fontId="27" fillId="3" borderId="0" xfId="2222" applyFont="1" applyFill="1" applyAlignment="1">
      <alignment vertical="center"/>
    </xf>
    <xf numFmtId="37" fontId="27" fillId="3" borderId="0" xfId="2222" applyFont="1" applyFill="1"/>
    <xf numFmtId="37" fontId="33" fillId="3" borderId="0" xfId="2222" applyFont="1" applyFill="1" applyAlignment="1">
      <alignment horizontal="center"/>
    </xf>
    <xf numFmtId="37" fontId="61" fillId="3" borderId="0" xfId="2222" applyFont="1" applyFill="1" applyAlignment="1">
      <alignment horizontal="center"/>
    </xf>
    <xf numFmtId="37" fontId="33" fillId="3" borderId="0" xfId="2222" applyFont="1" applyFill="1" applyAlignment="1">
      <alignment horizontal="left"/>
    </xf>
    <xf numFmtId="37" fontId="33" fillId="3" borderId="19" xfId="2222" applyFont="1" applyFill="1" applyBorder="1" applyAlignment="1">
      <alignment horizontal="left"/>
    </xf>
    <xf numFmtId="37" fontId="27" fillId="3" borderId="19" xfId="2222" applyFont="1" applyFill="1" applyBorder="1" applyAlignment="1">
      <alignment horizontal="center"/>
    </xf>
    <xf numFmtId="37" fontId="27" fillId="3" borderId="19" xfId="2222" applyFont="1" applyFill="1" applyBorder="1" applyAlignment="1">
      <alignment vertical="center"/>
    </xf>
    <xf numFmtId="37" fontId="27" fillId="3" borderId="19" xfId="2222" applyFont="1" applyFill="1" applyBorder="1"/>
    <xf numFmtId="175" fontId="33" fillId="3" borderId="0" xfId="1" applyNumberFormat="1" applyFont="1" applyFill="1" applyAlignment="1">
      <alignment horizontal="center"/>
    </xf>
    <xf numFmtId="37" fontId="33" fillId="3" borderId="0" xfId="2222" applyFont="1" applyFill="1" applyAlignment="1">
      <alignment vertical="center"/>
    </xf>
    <xf numFmtId="0" fontId="63" fillId="3" borderId="0" xfId="0" applyFont="1" applyFill="1" applyAlignment="1">
      <alignment horizontal="justify" vertical="top" wrapText="1"/>
    </xf>
    <xf numFmtId="0" fontId="27" fillId="3" borderId="0" xfId="2222" applyNumberFormat="1" applyFont="1" applyFill="1" applyAlignment="1">
      <alignment horizontal="center" wrapText="1"/>
    </xf>
    <xf numFmtId="0" fontId="27" fillId="3" borderId="0" xfId="2222" applyNumberFormat="1" applyFont="1" applyFill="1" applyAlignment="1">
      <alignment vertical="center" wrapText="1"/>
    </xf>
    <xf numFmtId="0" fontId="27" fillId="3" borderId="0" xfId="2222" applyNumberFormat="1" applyFont="1" applyFill="1" applyAlignment="1">
      <alignment vertical="top" wrapText="1"/>
    </xf>
    <xf numFmtId="175" fontId="33" fillId="3" borderId="0" xfId="1" applyNumberFormat="1" applyFont="1" applyFill="1" applyAlignment="1">
      <alignment horizontal="center" wrapText="1"/>
    </xf>
    <xf numFmtId="37" fontId="33" fillId="3" borderId="0" xfId="0" applyNumberFormat="1" applyFont="1" applyFill="1" applyAlignment="1">
      <alignment horizontal="left" vertical="center"/>
    </xf>
    <xf numFmtId="39" fontId="30" fillId="3" borderId="0" xfId="2222" applyNumberFormat="1" applyFont="1" applyFill="1" applyAlignment="1">
      <alignment horizontal="center"/>
    </xf>
    <xf numFmtId="37" fontId="27" fillId="3" borderId="0" xfId="2222" applyFont="1" applyFill="1" applyAlignment="1">
      <alignment horizontal="left" vertical="center"/>
    </xf>
    <xf numFmtId="37" fontId="27" fillId="3" borderId="0" xfId="2222" applyFont="1" applyFill="1" applyAlignment="1">
      <alignment horizontal="left"/>
    </xf>
    <xf numFmtId="37" fontId="32" fillId="3" borderId="0" xfId="2222" applyFont="1" applyFill="1" applyAlignment="1">
      <alignment horizontal="center"/>
    </xf>
    <xf numFmtId="0" fontId="32" fillId="3" borderId="0" xfId="2222" applyNumberFormat="1" applyFont="1" applyFill="1" applyAlignment="1">
      <alignment horizontal="justify" vertical="top" wrapText="1"/>
    </xf>
    <xf numFmtId="0" fontId="32" fillId="3" borderId="0" xfId="2222" applyNumberFormat="1" applyFont="1" applyFill="1" applyAlignment="1">
      <alignment vertical="center" wrapText="1"/>
    </xf>
    <xf numFmtId="0" fontId="32" fillId="3" borderId="0" xfId="2222" applyNumberFormat="1" applyFont="1" applyFill="1" applyAlignment="1">
      <alignment vertical="top" wrapText="1"/>
    </xf>
    <xf numFmtId="0" fontId="33" fillId="3" borderId="0" xfId="0" applyFont="1" applyFill="1" applyAlignment="1">
      <alignment horizontal="left"/>
    </xf>
    <xf numFmtId="0" fontId="33" fillId="3" borderId="0" xfId="0" applyFont="1" applyFill="1" applyAlignment="1">
      <alignment horizontal="center"/>
    </xf>
    <xf numFmtId="224" fontId="33" fillId="3" borderId="0" xfId="0" applyNumberFormat="1" applyFont="1" applyFill="1" applyAlignment="1">
      <alignment horizontal="center" vertical="center"/>
    </xf>
    <xf numFmtId="224" fontId="33" fillId="3" borderId="0" xfId="2056" applyNumberFormat="1" applyFont="1" applyFill="1" applyAlignment="1">
      <alignment horizontal="center"/>
    </xf>
    <xf numFmtId="0" fontId="27" fillId="3" borderId="0" xfId="2222" applyNumberFormat="1" applyFont="1" applyFill="1" applyAlignment="1">
      <alignment horizontal="justify" vertical="top" wrapText="1"/>
    </xf>
    <xf numFmtId="0" fontId="75" fillId="0" borderId="0" xfId="0" applyFont="1" applyAlignment="1">
      <alignment horizontal="justify" vertical="center"/>
    </xf>
    <xf numFmtId="175" fontId="30" fillId="3" borderId="0" xfId="1" applyNumberFormat="1" applyFont="1" applyFill="1" applyAlignment="1" applyProtection="1">
      <alignment horizontal="center"/>
    </xf>
    <xf numFmtId="0" fontId="33" fillId="3" borderId="0" xfId="2056" applyFont="1" applyFill="1" applyAlignment="1">
      <alignment horizontal="left" vertical="center"/>
    </xf>
    <xf numFmtId="0" fontId="27" fillId="3" borderId="0" xfId="2056" applyFont="1" applyFill="1" applyAlignment="1">
      <alignment horizontal="justify" vertical="top" wrapText="1"/>
    </xf>
    <xf numFmtId="37" fontId="30" fillId="3" borderId="0" xfId="2222" applyFont="1" applyFill="1" applyAlignment="1">
      <alignment horizontal="center"/>
    </xf>
    <xf numFmtId="0" fontId="27" fillId="3" borderId="0" xfId="2056" applyFont="1" applyFill="1" applyAlignment="1">
      <alignment horizontal="justify" vertical="center" wrapText="1"/>
    </xf>
    <xf numFmtId="0" fontId="33" fillId="3" borderId="0" xfId="2056" applyFont="1" applyFill="1" applyAlignment="1">
      <alignment horizontal="left"/>
    </xf>
    <xf numFmtId="224" fontId="30" fillId="3" borderId="0" xfId="2222" applyNumberFormat="1" applyFont="1" applyFill="1" applyAlignment="1">
      <alignment horizontal="center"/>
    </xf>
    <xf numFmtId="0" fontId="27" fillId="3" borderId="0" xfId="0" applyFont="1" applyFill="1" applyAlignment="1">
      <alignment vertical="center" wrapText="1"/>
    </xf>
    <xf numFmtId="0" fontId="27" fillId="3" borderId="0" xfId="0" applyFont="1" applyFill="1" applyAlignment="1">
      <alignment vertical="top" wrapText="1"/>
    </xf>
    <xf numFmtId="186" fontId="27" fillId="3" borderId="0" xfId="1399" applyNumberFormat="1" applyFont="1" applyFill="1" applyAlignment="1">
      <alignment horizontal="left" vertical="center"/>
    </xf>
    <xf numFmtId="0" fontId="27" fillId="3" borderId="0" xfId="2056" applyFont="1" applyFill="1" applyAlignment="1">
      <alignment horizontal="justify" vertical="top"/>
    </xf>
    <xf numFmtId="186" fontId="27" fillId="3" borderId="0" xfId="1399" applyNumberFormat="1" applyFont="1" applyFill="1" applyAlignment="1"/>
    <xf numFmtId="0" fontId="27" fillId="3" borderId="0" xfId="2056" applyFont="1" applyFill="1" applyAlignment="1">
      <alignment horizontal="justify" vertical="center"/>
    </xf>
    <xf numFmtId="186" fontId="33" fillId="3" borderId="0" xfId="0" applyNumberFormat="1" applyFont="1" applyFill="1" applyAlignment="1">
      <alignment horizontal="left"/>
    </xf>
    <xf numFmtId="224" fontId="33" fillId="3" borderId="0" xfId="2222" applyNumberFormat="1" applyFont="1" applyFill="1" applyAlignment="1">
      <alignment horizontal="center"/>
    </xf>
    <xf numFmtId="37" fontId="33" fillId="3" borderId="0" xfId="2222" applyFont="1" applyFill="1" applyAlignment="1">
      <alignment horizontal="left" vertical="center"/>
    </xf>
    <xf numFmtId="37" fontId="64" fillId="3" borderId="0" xfId="2222" applyFont="1" applyFill="1" applyAlignment="1">
      <alignment horizontal="left" vertical="center"/>
    </xf>
    <xf numFmtId="37" fontId="64" fillId="3" borderId="0" xfId="2222" applyFont="1" applyFill="1" applyAlignment="1">
      <alignment horizontal="left"/>
    </xf>
    <xf numFmtId="0" fontId="33" fillId="3" borderId="0" xfId="2056" applyFont="1" applyFill="1" applyAlignment="1">
      <alignment horizontal="center"/>
    </xf>
    <xf numFmtId="0" fontId="66" fillId="4" borderId="0" xfId="2056" applyFont="1" applyFill="1" applyAlignment="1">
      <alignment horizontal="justify" vertical="center" wrapText="1"/>
    </xf>
    <xf numFmtId="0" fontId="66" fillId="4" borderId="0" xfId="2056" applyFont="1" applyFill="1" applyAlignment="1">
      <alignment horizontal="justify" vertical="top" wrapText="1"/>
    </xf>
    <xf numFmtId="37" fontId="66" fillId="4" borderId="0" xfId="0" applyNumberFormat="1" applyFont="1" applyFill="1" applyAlignment="1">
      <alignment horizontal="justify" vertical="center" wrapText="1"/>
    </xf>
    <xf numFmtId="37" fontId="66" fillId="4" borderId="0" xfId="0" applyNumberFormat="1" applyFont="1" applyFill="1" applyAlignment="1">
      <alignment horizontal="justify" vertical="justify" wrapText="1"/>
    </xf>
    <xf numFmtId="225" fontId="33" fillId="3" borderId="0" xfId="2222" applyNumberFormat="1" applyFont="1" applyFill="1" applyAlignment="1">
      <alignment horizontal="center"/>
    </xf>
    <xf numFmtId="225" fontId="33" fillId="3" borderId="0" xfId="2222" applyNumberFormat="1" applyFont="1" applyFill="1" applyAlignment="1">
      <alignment horizontal="center" vertical="center"/>
    </xf>
    <xf numFmtId="37" fontId="27" fillId="3" borderId="0" xfId="0" applyNumberFormat="1" applyFont="1" applyFill="1" applyAlignment="1">
      <alignment horizontal="justify" vertical="top" wrapText="1"/>
    </xf>
    <xf numFmtId="0" fontId="27" fillId="3" borderId="0" xfId="2056" applyFont="1" applyFill="1" applyAlignment="1">
      <alignment vertical="center" wrapText="1"/>
    </xf>
    <xf numFmtId="37" fontId="27" fillId="3" borderId="0" xfId="0" applyNumberFormat="1" applyFont="1" applyFill="1" applyAlignment="1">
      <alignment horizontal="left" vertical="top" wrapText="1"/>
    </xf>
    <xf numFmtId="226" fontId="33" fillId="3" borderId="0" xfId="1" applyNumberFormat="1" applyFont="1" applyFill="1" applyBorder="1" applyAlignment="1" applyProtection="1">
      <alignment horizontal="center" vertical="center"/>
    </xf>
    <xf numFmtId="186" fontId="33" fillId="3" borderId="0" xfId="0" applyNumberFormat="1" applyFont="1" applyFill="1" applyAlignment="1">
      <alignment horizontal="left" vertical="center"/>
    </xf>
    <xf numFmtId="0" fontId="27" fillId="3" borderId="0" xfId="2056" applyFont="1" applyFill="1" applyAlignment="1">
      <alignment horizontal="left"/>
    </xf>
    <xf numFmtId="0" fontId="27" fillId="3" borderId="0" xfId="2056" applyFont="1" applyFill="1"/>
    <xf numFmtId="0" fontId="65" fillId="0" borderId="0" xfId="0" applyFont="1"/>
    <xf numFmtId="37" fontId="27" fillId="3" borderId="0" xfId="2222" applyFont="1" applyFill="1" applyAlignment="1">
      <alignment horizontal="centerContinuous"/>
    </xf>
    <xf numFmtId="37" fontId="33" fillId="3" borderId="19" xfId="2222" applyFont="1" applyFill="1" applyBorder="1"/>
    <xf numFmtId="37" fontId="33" fillId="3" borderId="0" xfId="2222" applyFont="1" applyFill="1"/>
    <xf numFmtId="0" fontId="27" fillId="3" borderId="0" xfId="2056" applyFont="1" applyFill="1" applyAlignment="1">
      <alignment vertical="top" wrapText="1"/>
    </xf>
    <xf numFmtId="0" fontId="27" fillId="3" borderId="0" xfId="2056" applyFont="1" applyFill="1" applyAlignment="1">
      <alignment vertical="top"/>
    </xf>
    <xf numFmtId="37" fontId="27" fillId="3" borderId="0" xfId="0" applyNumberFormat="1" applyFont="1" applyFill="1" applyAlignment="1">
      <alignment vertical="top" wrapText="1"/>
    </xf>
    <xf numFmtId="3" fontId="65" fillId="0" borderId="0" xfId="0" applyNumberFormat="1" applyFont="1"/>
    <xf numFmtId="0" fontId="27" fillId="3" borderId="0" xfId="2220" applyFont="1" applyFill="1" applyAlignment="1">
      <alignment horizontal="justify" vertical="top"/>
    </xf>
    <xf numFmtId="186" fontId="33" fillId="3" borderId="0" xfId="1535" applyNumberFormat="1" applyFont="1" applyFill="1" applyAlignment="1">
      <alignment horizontal="justify" vertical="top"/>
    </xf>
    <xf numFmtId="186" fontId="27" fillId="3" borderId="0" xfId="1535" applyNumberFormat="1" applyFont="1" applyFill="1" applyAlignment="1">
      <alignment horizontal="justify" vertical="top"/>
    </xf>
    <xf numFmtId="0" fontId="30" fillId="3" borderId="0" xfId="0" applyFont="1" applyFill="1" applyAlignment="1">
      <alignment vertical="top"/>
    </xf>
    <xf numFmtId="0" fontId="33" fillId="3" borderId="0" xfId="2223" applyFont="1" applyFill="1" applyAlignment="1">
      <alignment horizontal="center" vertical="center"/>
    </xf>
    <xf numFmtId="0" fontId="27" fillId="3" borderId="0" xfId="2223" applyFont="1" applyFill="1">
      <alignment vertical="top"/>
    </xf>
    <xf numFmtId="0" fontId="30" fillId="3" borderId="0" xfId="0" applyFont="1" applyFill="1" applyAlignment="1">
      <alignment horizontal="center" vertical="center"/>
    </xf>
    <xf numFmtId="37" fontId="27" fillId="3" borderId="0" xfId="0" applyNumberFormat="1" applyFont="1" applyFill="1" applyAlignment="1">
      <alignment horizontal="center" vertical="center" wrapText="1"/>
    </xf>
    <xf numFmtId="0" fontId="33" fillId="3" borderId="0" xfId="2056" applyFont="1" applyFill="1" applyAlignment="1">
      <alignment horizontal="center" vertical="center" wrapText="1"/>
    </xf>
    <xf numFmtId="0" fontId="27" fillId="3" borderId="0" xfId="2056" applyFont="1" applyFill="1" applyAlignment="1">
      <alignment horizontal="center" vertical="center" wrapText="1"/>
    </xf>
    <xf numFmtId="226" fontId="27" fillId="3" borderId="0" xfId="1" applyNumberFormat="1" applyFont="1" applyFill="1" applyBorder="1" applyAlignment="1" applyProtection="1">
      <alignment horizontal="center" vertical="center"/>
    </xf>
    <xf numFmtId="0" fontId="33" fillId="3" borderId="0" xfId="2056" applyFont="1" applyFill="1" applyAlignment="1">
      <alignment vertical="center"/>
    </xf>
    <xf numFmtId="0" fontId="33" fillId="3" borderId="0" xfId="2056" applyFont="1" applyFill="1" applyAlignment="1">
      <alignment horizontal="center" vertical="center"/>
    </xf>
    <xf numFmtId="0" fontId="27" fillId="3" borderId="0" xfId="2056" applyFont="1" applyFill="1" applyAlignment="1">
      <alignment horizontal="center" vertical="center"/>
    </xf>
    <xf numFmtId="0" fontId="30" fillId="3" borderId="0" xfId="2214" applyFont="1" applyFill="1" applyAlignment="1">
      <alignment vertical="center"/>
    </xf>
    <xf numFmtId="0" fontId="63" fillId="3" borderId="0" xfId="2214" applyFont="1" applyFill="1" applyAlignment="1">
      <alignment horizontal="justify" vertical="top" wrapText="1"/>
    </xf>
    <xf numFmtId="0" fontId="63" fillId="3" borderId="0" xfId="2214" applyFont="1" applyFill="1" applyAlignment="1">
      <alignment horizontal="justify" vertical="center" wrapText="1"/>
    </xf>
    <xf numFmtId="209" fontId="27" fillId="3" borderId="0" xfId="2222" applyNumberFormat="1" applyFont="1" applyFill="1" applyAlignment="1">
      <alignment horizontal="center"/>
    </xf>
    <xf numFmtId="0" fontId="33" fillId="3" borderId="0" xfId="0" applyFont="1" applyFill="1" applyAlignment="1">
      <alignment vertical="center"/>
    </xf>
    <xf numFmtId="209" fontId="33" fillId="3" borderId="0" xfId="2222" applyNumberFormat="1" applyFont="1" applyFill="1" applyAlignment="1">
      <alignment horizontal="center"/>
    </xf>
    <xf numFmtId="0" fontId="27" fillId="3" borderId="0" xfId="2222" applyNumberFormat="1" applyFont="1" applyFill="1" applyAlignment="1">
      <alignment vertical="center"/>
    </xf>
    <xf numFmtId="0" fontId="27" fillId="3" borderId="0" xfId="2222" applyNumberFormat="1" applyFont="1" applyFill="1" applyAlignment="1">
      <alignment vertical="top"/>
    </xf>
    <xf numFmtId="226" fontId="27" fillId="3" borderId="0" xfId="1" applyNumberFormat="1" applyFont="1" applyFill="1" applyAlignment="1" applyProtection="1">
      <alignment horizontal="center" vertical="center"/>
    </xf>
    <xf numFmtId="226" fontId="33" fillId="3" borderId="0" xfId="1" applyNumberFormat="1" applyFont="1" applyFill="1" applyAlignment="1">
      <alignment horizontal="center" vertical="center"/>
    </xf>
    <xf numFmtId="0" fontId="33" fillId="3" borderId="0" xfId="0" applyFont="1" applyFill="1" applyAlignment="1">
      <alignment horizontal="left" vertical="center"/>
    </xf>
    <xf numFmtId="37" fontId="32" fillId="3" borderId="0" xfId="2221" applyNumberFormat="1" applyFont="1" applyFill="1" applyAlignment="1">
      <alignment horizontal="center"/>
    </xf>
    <xf numFmtId="0" fontId="67" fillId="3" borderId="0" xfId="2214" applyFont="1" applyFill="1" applyAlignment="1">
      <alignment vertical="center"/>
    </xf>
    <xf numFmtId="0" fontId="63" fillId="3" borderId="0" xfId="0" applyFont="1" applyFill="1" applyAlignment="1">
      <alignment horizontal="left" vertical="top" wrapText="1"/>
    </xf>
    <xf numFmtId="226" fontId="63" fillId="3" borderId="0" xfId="1" applyNumberFormat="1" applyFont="1" applyFill="1" applyBorder="1" applyAlignment="1" applyProtection="1">
      <alignment horizontal="center" vertical="center"/>
    </xf>
    <xf numFmtId="186" fontId="63" fillId="3" borderId="0" xfId="2214" applyNumberFormat="1" applyFont="1" applyFill="1" applyAlignment="1">
      <alignment horizontal="justify" vertical="top" wrapText="1"/>
    </xf>
    <xf numFmtId="186" fontId="66" fillId="3" borderId="0" xfId="2214" applyNumberFormat="1" applyFont="1" applyFill="1" applyAlignment="1">
      <alignment vertical="center"/>
    </xf>
    <xf numFmtId="186" fontId="66" fillId="3" borderId="0" xfId="2214" applyNumberFormat="1" applyFont="1" applyFill="1" applyAlignment="1">
      <alignment horizontal="justify" vertical="top" wrapText="1"/>
    </xf>
    <xf numFmtId="0" fontId="66" fillId="3" borderId="0" xfId="0" applyFont="1" applyFill="1" applyAlignment="1">
      <alignment horizontal="left" vertical="top" wrapText="1"/>
    </xf>
    <xf numFmtId="186" fontId="27" fillId="3" borderId="0" xfId="2214" applyNumberFormat="1" applyFont="1" applyFill="1" applyAlignment="1">
      <alignment horizontal="justify" vertical="top" wrapText="1"/>
    </xf>
    <xf numFmtId="186" fontId="67" fillId="3" borderId="0" xfId="2214" applyNumberFormat="1" applyFont="1" applyFill="1" applyAlignment="1">
      <alignment horizontal="left" vertical="center"/>
    </xf>
    <xf numFmtId="186" fontId="67" fillId="3" borderId="0" xfId="2214" applyNumberFormat="1" applyFont="1" applyFill="1" applyAlignment="1">
      <alignment horizontal="center" vertical="top"/>
    </xf>
    <xf numFmtId="186" fontId="67" fillId="3" borderId="0" xfId="2214" applyNumberFormat="1" applyFont="1" applyFill="1" applyAlignment="1">
      <alignment horizontal="center" vertical="center"/>
    </xf>
    <xf numFmtId="0" fontId="33" fillId="3" borderId="0" xfId="2224" applyFont="1" applyFill="1" applyAlignment="1">
      <alignment horizontal="left" vertical="center"/>
    </xf>
    <xf numFmtId="0" fontId="27" fillId="3" borderId="0" xfId="0" applyFont="1" applyFill="1" applyAlignment="1">
      <alignment horizontal="left" vertical="top" wrapText="1"/>
    </xf>
    <xf numFmtId="0" fontId="27" fillId="3" borderId="0" xfId="0" applyFont="1" applyFill="1" applyAlignment="1">
      <alignment horizontal="left" vertical="center" wrapText="1"/>
    </xf>
    <xf numFmtId="0" fontId="30" fillId="3" borderId="0" xfId="0" applyFont="1" applyFill="1" applyAlignment="1">
      <alignment vertical="center"/>
    </xf>
    <xf numFmtId="209" fontId="33" fillId="3" borderId="0" xfId="2222" applyNumberFormat="1" applyFont="1" applyFill="1"/>
    <xf numFmtId="0" fontId="32" fillId="3" borderId="0" xfId="2221" applyFont="1" applyFill="1"/>
    <xf numFmtId="186" fontId="66" fillId="3" borderId="0" xfId="2214" applyNumberFormat="1" applyFont="1" applyFill="1"/>
    <xf numFmtId="186" fontId="33" fillId="3" borderId="0" xfId="1535" applyNumberFormat="1" applyFont="1" applyFill="1"/>
    <xf numFmtId="186" fontId="30" fillId="3" borderId="0" xfId="2221" applyNumberFormat="1" applyFont="1" applyFill="1"/>
    <xf numFmtId="186" fontId="32" fillId="3" borderId="0" xfId="2221" applyNumberFormat="1" applyFont="1" applyFill="1"/>
    <xf numFmtId="0" fontId="27" fillId="3" borderId="0" xfId="2223" applyFont="1" applyFill="1" applyAlignment="1">
      <alignment vertical="top" wrapText="1"/>
    </xf>
    <xf numFmtId="0" fontId="63" fillId="3" borderId="0" xfId="0" applyFont="1" applyFill="1" applyAlignment="1">
      <alignment vertical="top"/>
    </xf>
    <xf numFmtId="0" fontId="27" fillId="3" borderId="0" xfId="0" applyFont="1" applyFill="1" applyAlignment="1">
      <alignment vertical="top"/>
    </xf>
    <xf numFmtId="0" fontId="27" fillId="3" borderId="0" xfId="2056" applyFont="1" applyFill="1" applyAlignment="1">
      <alignment vertical="justify" wrapText="1"/>
    </xf>
    <xf numFmtId="38" fontId="33" fillId="3" borderId="0" xfId="1814" applyNumberFormat="1" applyFont="1" applyFill="1" applyAlignment="1">
      <alignment horizontal="center"/>
    </xf>
    <xf numFmtId="227" fontId="33" fillId="3" borderId="0" xfId="1814" applyNumberFormat="1" applyFont="1" applyFill="1"/>
    <xf numFmtId="189" fontId="33" fillId="3" borderId="0" xfId="1814" applyNumberFormat="1" applyFont="1" applyFill="1" applyAlignment="1">
      <alignment horizontal="left"/>
    </xf>
    <xf numFmtId="189" fontId="27" fillId="3" borderId="0" xfId="1814" applyNumberFormat="1" applyFont="1" applyFill="1" applyAlignment="1">
      <alignment vertical="top" wrapText="1"/>
    </xf>
    <xf numFmtId="0" fontId="63" fillId="3" borderId="0" xfId="1814" applyNumberFormat="1" applyFont="1" applyFill="1" applyAlignment="1">
      <alignment vertical="top" wrapText="1"/>
    </xf>
    <xf numFmtId="0" fontId="78" fillId="0" borderId="0" xfId="0" applyFont="1" applyAlignment="1">
      <alignment horizontal="justify" vertical="center"/>
    </xf>
    <xf numFmtId="0" fontId="27" fillId="3" borderId="0" xfId="2222" applyNumberFormat="1" applyFont="1" applyFill="1" applyAlignment="1">
      <alignment horizontal="justify" vertical="center" wrapText="1"/>
    </xf>
    <xf numFmtId="164" fontId="33" fillId="3" borderId="0" xfId="1" applyFont="1" applyFill="1" applyAlignment="1">
      <alignment horizontal="center"/>
    </xf>
    <xf numFmtId="164" fontId="33" fillId="3" borderId="0" xfId="1" applyFont="1" applyFill="1" applyAlignment="1">
      <alignment horizontal="center" vertical="center"/>
    </xf>
    <xf numFmtId="186" fontId="27" fillId="3" borderId="0" xfId="2214" applyNumberFormat="1" applyFont="1" applyFill="1" applyAlignment="1">
      <alignment vertical="center"/>
    </xf>
    <xf numFmtId="37" fontId="33" fillId="3" borderId="0" xfId="2222" applyFont="1" applyFill="1" applyAlignment="1">
      <alignment horizontal="justify" vertical="top"/>
    </xf>
    <xf numFmtId="37" fontId="27" fillId="3" borderId="0" xfId="2222" applyFont="1" applyFill="1" applyAlignment="1">
      <alignment horizontal="justify" vertical="top"/>
    </xf>
    <xf numFmtId="0" fontId="27" fillId="3" borderId="0" xfId="2223" applyFont="1" applyFill="1" applyAlignment="1"/>
    <xf numFmtId="186" fontId="62" fillId="0" borderId="0" xfId="1" applyNumberFormat="1" applyFont="1" applyAlignment="1">
      <alignment horizontal="left" vertical="top"/>
    </xf>
    <xf numFmtId="186" fontId="62" fillId="0" borderId="19" xfId="1" applyNumberFormat="1" applyFont="1" applyBorder="1" applyAlignment="1">
      <alignment horizontal="left" vertical="top"/>
    </xf>
    <xf numFmtId="186" fontId="61" fillId="0" borderId="0" xfId="1" applyNumberFormat="1" applyFont="1" applyAlignment="1">
      <alignment horizontal="left"/>
    </xf>
    <xf numFmtId="186" fontId="61" fillId="0" borderId="0" xfId="1" applyNumberFormat="1" applyFont="1" applyAlignment="1" applyProtection="1">
      <alignment horizontal="left"/>
      <protection locked="0"/>
    </xf>
    <xf numFmtId="186" fontId="62" fillId="0" borderId="0" xfId="1" applyNumberFormat="1" applyFont="1" applyAlignment="1" applyProtection="1">
      <alignment horizontal="left"/>
      <protection locked="0"/>
    </xf>
    <xf numFmtId="186" fontId="33" fillId="0" borderId="0" xfId="1" applyNumberFormat="1" applyFont="1" applyAlignment="1" applyProtection="1">
      <alignment horizontal="left"/>
      <protection locked="0"/>
    </xf>
    <xf numFmtId="186" fontId="61" fillId="0" borderId="0" xfId="1" applyNumberFormat="1" applyFont="1" applyFill="1" applyBorder="1" applyProtection="1"/>
    <xf numFmtId="186" fontId="62" fillId="0" borderId="0" xfId="1" applyNumberFormat="1" applyFont="1" applyAlignment="1">
      <alignment vertical="top"/>
    </xf>
    <xf numFmtId="186" fontId="61" fillId="0" borderId="2" xfId="1" applyNumberFormat="1" applyFont="1" applyBorder="1" applyAlignment="1">
      <alignment vertical="top"/>
    </xf>
    <xf numFmtId="186" fontId="61" fillId="0" borderId="4" xfId="1" applyNumberFormat="1" applyFont="1" applyBorder="1" applyAlignment="1">
      <alignment vertical="top"/>
    </xf>
    <xf numFmtId="186" fontId="61" fillId="0" borderId="0" xfId="1" applyNumberFormat="1" applyFont="1" applyAlignment="1">
      <alignment vertical="top"/>
    </xf>
    <xf numFmtId="186" fontId="61" fillId="0" borderId="2" xfId="1" applyNumberFormat="1" applyFont="1" applyFill="1" applyBorder="1" applyAlignment="1">
      <alignment vertical="top"/>
    </xf>
    <xf numFmtId="186" fontId="61" fillId="0" borderId="5" xfId="1" applyNumberFormat="1" applyFont="1" applyFill="1" applyBorder="1" applyAlignment="1">
      <alignment vertical="top"/>
    </xf>
    <xf numFmtId="186" fontId="61" fillId="0" borderId="6" xfId="1" applyNumberFormat="1" applyFont="1" applyFill="1" applyBorder="1" applyAlignment="1">
      <alignment vertical="top"/>
    </xf>
    <xf numFmtId="186" fontId="62" fillId="0" borderId="0" xfId="1" applyNumberFormat="1" applyFont="1" applyFill="1" applyBorder="1" applyAlignment="1">
      <alignment vertical="top"/>
    </xf>
    <xf numFmtId="186" fontId="61" fillId="0" borderId="1" xfId="1" applyNumberFormat="1" applyFont="1" applyFill="1" applyBorder="1" applyAlignment="1">
      <alignment vertical="top"/>
    </xf>
    <xf numFmtId="186" fontId="62" fillId="0" borderId="4" xfId="1" applyNumberFormat="1" applyFont="1" applyFill="1" applyBorder="1" applyAlignment="1">
      <alignment vertical="top"/>
    </xf>
    <xf numFmtId="186" fontId="62" fillId="0" borderId="4" xfId="1" applyNumberFormat="1" applyFont="1" applyBorder="1" applyAlignment="1">
      <alignment vertical="top"/>
    </xf>
    <xf numFmtId="186" fontId="62" fillId="0" borderId="0" xfId="1" applyNumberFormat="1" applyFont="1" applyAlignment="1">
      <alignment horizontal="right" vertical="top"/>
    </xf>
    <xf numFmtId="186" fontId="62" fillId="0" borderId="13" xfId="1" applyNumberFormat="1" applyFont="1" applyBorder="1" applyAlignment="1">
      <alignment vertical="top"/>
    </xf>
    <xf numFmtId="186" fontId="62" fillId="0" borderId="10" xfId="1" applyNumberFormat="1" applyFont="1" applyBorder="1" applyAlignment="1">
      <alignment vertical="top"/>
    </xf>
    <xf numFmtId="186" fontId="62" fillId="0" borderId="12" xfId="1" applyNumberFormat="1" applyFont="1" applyBorder="1" applyAlignment="1">
      <alignment vertical="top"/>
    </xf>
    <xf numFmtId="186" fontId="61" fillId="0" borderId="0" xfId="1" applyNumberFormat="1" applyFont="1" applyAlignment="1">
      <alignment horizontal="center"/>
    </xf>
    <xf numFmtId="186" fontId="61" fillId="0" borderId="0" xfId="1" applyNumberFormat="1" applyFont="1" applyFill="1" applyAlignment="1">
      <alignment vertical="top"/>
    </xf>
    <xf numFmtId="186" fontId="61" fillId="0" borderId="0" xfId="1" applyNumberFormat="1" applyFont="1" applyFill="1" applyBorder="1" applyAlignment="1">
      <alignment vertical="top"/>
    </xf>
    <xf numFmtId="186" fontId="61" fillId="0" borderId="0" xfId="1" applyNumberFormat="1" applyFont="1" applyAlignment="1">
      <alignment horizontal="right" vertical="top"/>
    </xf>
    <xf numFmtId="186" fontId="61" fillId="0" borderId="13" xfId="1" applyNumberFormat="1" applyFont="1" applyBorder="1" applyAlignment="1">
      <alignment vertical="top"/>
    </xf>
    <xf numFmtId="186" fontId="62" fillId="0" borderId="13" xfId="1" applyNumberFormat="1" applyFont="1" applyBorder="1" applyAlignment="1">
      <alignment horizontal="center"/>
    </xf>
    <xf numFmtId="186" fontId="62" fillId="3" borderId="0" xfId="1" applyNumberFormat="1" applyFont="1" applyFill="1"/>
    <xf numFmtId="186" fontId="33" fillId="3" borderId="0" xfId="1" applyNumberFormat="1" applyFont="1" applyFill="1"/>
    <xf numFmtId="186" fontId="62" fillId="3" borderId="19" xfId="1" applyNumberFormat="1" applyFont="1" applyFill="1" applyBorder="1"/>
    <xf numFmtId="186" fontId="27" fillId="3" borderId="19" xfId="1" applyNumberFormat="1" applyFont="1" applyFill="1" applyBorder="1"/>
    <xf numFmtId="186" fontId="27" fillId="3" borderId="0" xfId="1" applyNumberFormat="1" applyFont="1" applyFill="1" applyAlignment="1">
      <alignment horizontal="left" indent="1"/>
    </xf>
    <xf numFmtId="186" fontId="33" fillId="3" borderId="0" xfId="1" applyNumberFormat="1" applyFont="1" applyFill="1" applyAlignment="1">
      <alignment vertical="center"/>
    </xf>
    <xf numFmtId="186" fontId="27" fillId="3" borderId="0" xfId="1" applyNumberFormat="1" applyFont="1" applyFill="1" applyAlignment="1">
      <alignment vertical="center"/>
    </xf>
    <xf numFmtId="186" fontId="27" fillId="3" borderId="0" xfId="1" applyNumberFormat="1" applyFont="1" applyFill="1" applyAlignment="1">
      <alignment horizontal="left"/>
    </xf>
    <xf numFmtId="186" fontId="64" fillId="3" borderId="0" xfId="1" applyNumberFormat="1" applyFont="1" applyFill="1"/>
    <xf numFmtId="186" fontId="33" fillId="3" borderId="0" xfId="1" applyNumberFormat="1" applyFont="1" applyFill="1" applyAlignment="1">
      <alignment horizontal="center"/>
    </xf>
    <xf numFmtId="186" fontId="27" fillId="3" borderId="0" xfId="1" applyNumberFormat="1" applyFont="1" applyFill="1" applyAlignment="1">
      <alignment horizontal="center"/>
    </xf>
    <xf numFmtId="186" fontId="33" fillId="3" borderId="0" xfId="1" applyNumberFormat="1" applyFont="1" applyFill="1" applyBorder="1" applyAlignment="1">
      <alignment horizontal="center"/>
    </xf>
    <xf numFmtId="186" fontId="33" fillId="3" borderId="10" xfId="1" applyNumberFormat="1" applyFont="1" applyFill="1" applyBorder="1" applyAlignment="1">
      <alignment horizontal="right"/>
    </xf>
    <xf numFmtId="186" fontId="33" fillId="3" borderId="13" xfId="1" applyNumberFormat="1" applyFont="1" applyFill="1" applyBorder="1"/>
    <xf numFmtId="186" fontId="33" fillId="3" borderId="0" xfId="1" applyNumberFormat="1" applyFont="1" applyFill="1" applyBorder="1"/>
    <xf numFmtId="186" fontId="33" fillId="3" borderId="2" xfId="1" applyNumberFormat="1" applyFont="1" applyFill="1" applyBorder="1"/>
    <xf numFmtId="186" fontId="33" fillId="3" borderId="6" xfId="1" applyNumberFormat="1" applyFont="1" applyFill="1" applyBorder="1" applyAlignment="1">
      <alignment horizontal="right"/>
    </xf>
    <xf numFmtId="186" fontId="33" fillId="3" borderId="4" xfId="1" applyNumberFormat="1" applyFont="1" applyFill="1" applyBorder="1" applyAlignment="1">
      <alignment horizontal="right"/>
    </xf>
    <xf numFmtId="186" fontId="33" fillId="3" borderId="0" xfId="1" applyNumberFormat="1" applyFont="1" applyFill="1" applyBorder="1" applyAlignment="1">
      <alignment horizontal="right"/>
    </xf>
    <xf numFmtId="186" fontId="27" fillId="3" borderId="0" xfId="1" applyNumberFormat="1" applyFont="1" applyFill="1" applyAlignment="1">
      <alignment horizontal="right"/>
    </xf>
    <xf numFmtId="186" fontId="33" fillId="3" borderId="0" xfId="1" applyNumberFormat="1" applyFont="1" applyFill="1" applyAlignment="1">
      <alignment horizontal="right"/>
    </xf>
    <xf numFmtId="186" fontId="27" fillId="3" borderId="0" xfId="1" applyNumberFormat="1" applyFont="1" applyFill="1" applyBorder="1" applyAlignment="1">
      <alignment horizontal="right"/>
    </xf>
    <xf numFmtId="186" fontId="33" fillId="3" borderId="12" xfId="1" applyNumberFormat="1" applyFont="1" applyFill="1" applyBorder="1" applyAlignment="1">
      <alignment horizontal="right" vertical="center"/>
    </xf>
    <xf numFmtId="186" fontId="33" fillId="3" borderId="0" xfId="1" applyNumberFormat="1" applyFont="1" applyFill="1" applyBorder="1" applyAlignment="1">
      <alignment horizontal="right" vertical="center"/>
    </xf>
    <xf numFmtId="186" fontId="33" fillId="3" borderId="10" xfId="1" applyNumberFormat="1" applyFont="1" applyFill="1" applyBorder="1" applyAlignment="1">
      <alignment horizontal="center"/>
    </xf>
    <xf numFmtId="186" fontId="64" fillId="3" borderId="0" xfId="1" applyNumberFormat="1" applyFont="1" applyFill="1" applyBorder="1"/>
    <xf numFmtId="186" fontId="27" fillId="3" borderId="0" xfId="1" applyNumberFormat="1" applyFont="1" applyFill="1" applyBorder="1" applyAlignment="1">
      <alignment horizontal="center"/>
    </xf>
    <xf numFmtId="197" fontId="27" fillId="3" borderId="0" xfId="1" applyNumberFormat="1" applyFont="1" applyFill="1" applyBorder="1"/>
    <xf numFmtId="10" fontId="27" fillId="3" borderId="0" xfId="1" applyNumberFormat="1" applyFont="1" applyFill="1" applyBorder="1" applyAlignment="1">
      <alignment horizontal="right"/>
    </xf>
    <xf numFmtId="186" fontId="27" fillId="3" borderId="0" xfId="1" applyNumberFormat="1" applyFont="1" applyFill="1" applyBorder="1" applyAlignment="1">
      <alignment vertical="center"/>
    </xf>
    <xf numFmtId="186" fontId="27" fillId="3" borderId="0" xfId="1" applyNumberFormat="1" applyFont="1" applyFill="1" applyBorder="1" applyAlignment="1">
      <alignment horizontal="right" vertical="center"/>
    </xf>
    <xf numFmtId="186" fontId="64" fillId="0" borderId="0" xfId="1" applyNumberFormat="1" applyFont="1" applyBorder="1"/>
    <xf numFmtId="186" fontId="27" fillId="0" borderId="0" xfId="1" applyNumberFormat="1" applyFont="1" applyBorder="1" applyAlignment="1">
      <alignment vertical="center"/>
    </xf>
    <xf numFmtId="186" fontId="79" fillId="0" borderId="0" xfId="1" applyNumberFormat="1" applyFont="1" applyBorder="1" applyAlignment="1">
      <alignment horizontal="right" vertical="center"/>
    </xf>
    <xf numFmtId="186" fontId="80" fillId="0" borderId="0" xfId="1" applyNumberFormat="1" applyFont="1" applyBorder="1" applyAlignment="1">
      <alignment horizontal="right" vertical="center"/>
    </xf>
    <xf numFmtId="186" fontId="81" fillId="0" borderId="0" xfId="1" applyNumberFormat="1" applyFont="1" applyBorder="1" applyAlignment="1">
      <alignment horizontal="right" vertical="center"/>
    </xf>
    <xf numFmtId="37" fontId="41" fillId="0" borderId="0" xfId="2222" applyFont="1"/>
    <xf numFmtId="186" fontId="42" fillId="0" borderId="0" xfId="1" applyNumberFormat="1" applyFont="1" applyFill="1"/>
    <xf numFmtId="37" fontId="70" fillId="0" borderId="0" xfId="2222" applyFont="1" applyAlignment="1">
      <alignment vertical="center"/>
    </xf>
    <xf numFmtId="37" fontId="70" fillId="0" borderId="0" xfId="2222" applyFont="1"/>
    <xf numFmtId="37" fontId="82" fillId="0" borderId="0" xfId="2222" applyFont="1"/>
    <xf numFmtId="37" fontId="70" fillId="0" borderId="19" xfId="2222" applyFont="1" applyBorder="1"/>
    <xf numFmtId="37" fontId="69" fillId="0" borderId="19" xfId="2222" applyFont="1" applyBorder="1"/>
    <xf numFmtId="37" fontId="69" fillId="0" borderId="0" xfId="2222" applyFont="1"/>
    <xf numFmtId="37" fontId="69" fillId="0" borderId="0" xfId="2222" applyFont="1" applyAlignment="1">
      <alignment horizontal="left"/>
    </xf>
    <xf numFmtId="37" fontId="70" fillId="0" borderId="0" xfId="2222" applyFont="1" applyAlignment="1">
      <alignment horizontal="left"/>
    </xf>
    <xf numFmtId="37" fontId="42" fillId="0" borderId="0" xfId="2222" applyFont="1"/>
    <xf numFmtId="0" fontId="70" fillId="0" borderId="0" xfId="1" applyNumberFormat="1" applyFont="1" applyFill="1" applyAlignment="1">
      <alignment horizontal="center"/>
    </xf>
    <xf numFmtId="186" fontId="70" fillId="0" borderId="0" xfId="1" applyNumberFormat="1" applyFont="1" applyFill="1" applyBorder="1" applyAlignment="1">
      <alignment horizontal="center"/>
    </xf>
    <xf numFmtId="186" fontId="70" fillId="0" borderId="0" xfId="1" applyNumberFormat="1" applyFont="1" applyFill="1"/>
    <xf numFmtId="186" fontId="70" fillId="0" borderId="0" xfId="1" applyNumberFormat="1" applyFont="1" applyFill="1" applyProtection="1"/>
    <xf numFmtId="186" fontId="70" fillId="0" borderId="0" xfId="1" applyNumberFormat="1" applyFont="1" applyFill="1" applyBorder="1" applyProtection="1"/>
    <xf numFmtId="186" fontId="70" fillId="0" borderId="13" xfId="1" applyNumberFormat="1" applyFont="1" applyFill="1" applyBorder="1" applyProtection="1"/>
    <xf numFmtId="186" fontId="70" fillId="0" borderId="41" xfId="1" applyNumberFormat="1" applyFont="1" applyFill="1" applyBorder="1" applyProtection="1"/>
    <xf numFmtId="186" fontId="70" fillId="0" borderId="42" xfId="1" applyNumberFormat="1" applyFont="1" applyFill="1" applyBorder="1" applyProtection="1"/>
    <xf numFmtId="186" fontId="70" fillId="0" borderId="43" xfId="1" applyNumberFormat="1" applyFont="1" applyFill="1" applyBorder="1" applyProtection="1"/>
    <xf numFmtId="186" fontId="70" fillId="0" borderId="44" xfId="1" applyNumberFormat="1" applyFont="1" applyFill="1" applyBorder="1" applyProtection="1"/>
    <xf numFmtId="186" fontId="70" fillId="0" borderId="0" xfId="1" applyNumberFormat="1" applyFont="1" applyFill="1" applyBorder="1"/>
    <xf numFmtId="186" fontId="70" fillId="0" borderId="10" xfId="1" applyNumberFormat="1" applyFont="1" applyFill="1" applyBorder="1"/>
    <xf numFmtId="37" fontId="70" fillId="0" borderId="0" xfId="2222" applyFont="1" applyAlignment="1">
      <alignment horizontal="center"/>
    </xf>
    <xf numFmtId="186" fontId="70" fillId="0" borderId="12" xfId="1" applyNumberFormat="1" applyFont="1" applyFill="1" applyBorder="1" applyProtection="1"/>
    <xf numFmtId="228" fontId="42" fillId="0" borderId="0" xfId="1" applyNumberFormat="1" applyFont="1" applyFill="1"/>
    <xf numFmtId="37" fontId="83" fillId="0" borderId="0" xfId="2222" applyFont="1"/>
    <xf numFmtId="37" fontId="41" fillId="0" borderId="19" xfId="2222" applyFont="1" applyBorder="1"/>
    <xf numFmtId="186" fontId="42" fillId="0" borderId="19" xfId="1" applyNumberFormat="1" applyFont="1" applyFill="1" applyBorder="1"/>
    <xf numFmtId="186" fontId="41" fillId="0" borderId="0" xfId="1" applyNumberFormat="1" applyFont="1" applyFill="1" applyAlignment="1">
      <alignment horizontal="center"/>
    </xf>
    <xf numFmtId="186" fontId="41" fillId="0" borderId="0" xfId="1" applyNumberFormat="1" applyFont="1" applyFill="1" applyBorder="1" applyAlignment="1">
      <alignment horizontal="center"/>
    </xf>
    <xf numFmtId="186" fontId="41" fillId="0" borderId="0" xfId="1" applyNumberFormat="1" applyFont="1" applyFill="1"/>
    <xf numFmtId="186" fontId="69" fillId="0" borderId="0" xfId="1" applyNumberFormat="1" applyFont="1" applyFill="1" applyProtection="1"/>
    <xf numFmtId="186" fontId="41" fillId="0" borderId="0" xfId="1" applyNumberFormat="1" applyFont="1" applyFill="1" applyProtection="1"/>
    <xf numFmtId="186" fontId="69" fillId="0" borderId="0" xfId="1" applyNumberFormat="1" applyFont="1" applyFill="1" applyBorder="1" applyProtection="1"/>
    <xf numFmtId="186" fontId="41" fillId="0" borderId="0" xfId="1" applyNumberFormat="1" applyFont="1" applyFill="1" applyBorder="1" applyProtection="1"/>
    <xf numFmtId="186" fontId="69" fillId="0" borderId="13" xfId="1" applyNumberFormat="1" applyFont="1" applyFill="1" applyBorder="1" applyProtection="1"/>
    <xf numFmtId="186" fontId="41" fillId="0" borderId="13" xfId="1" applyNumberFormat="1" applyFont="1" applyFill="1" applyBorder="1" applyProtection="1"/>
    <xf numFmtId="186" fontId="69" fillId="0" borderId="41" xfId="1" applyNumberFormat="1" applyFont="1" applyFill="1" applyBorder="1" applyProtection="1"/>
    <xf numFmtId="186" fontId="41" fillId="0" borderId="41" xfId="1" applyNumberFormat="1" applyFont="1" applyFill="1" applyBorder="1" applyProtection="1"/>
    <xf numFmtId="186" fontId="69" fillId="0" borderId="42" xfId="1" applyNumberFormat="1" applyFont="1" applyFill="1" applyBorder="1" applyProtection="1"/>
    <xf numFmtId="186" fontId="41" fillId="0" borderId="42" xfId="1" applyNumberFormat="1" applyFont="1" applyFill="1" applyBorder="1" applyProtection="1"/>
    <xf numFmtId="186" fontId="69" fillId="0" borderId="43" xfId="1" applyNumberFormat="1" applyFont="1" applyFill="1" applyBorder="1" applyProtection="1"/>
    <xf numFmtId="186" fontId="41" fillId="0" borderId="43" xfId="1" applyNumberFormat="1" applyFont="1" applyFill="1" applyBorder="1" applyProtection="1"/>
    <xf numFmtId="186" fontId="69" fillId="0" borderId="44" xfId="1" applyNumberFormat="1" applyFont="1" applyFill="1" applyBorder="1" applyProtection="1"/>
    <xf numFmtId="186" fontId="41" fillId="0" borderId="44" xfId="1" applyNumberFormat="1" applyFont="1" applyFill="1" applyBorder="1" applyProtection="1"/>
    <xf numFmtId="186" fontId="69" fillId="0" borderId="0" xfId="1" applyNumberFormat="1" applyFont="1" applyFill="1" applyBorder="1"/>
    <xf numFmtId="186" fontId="41" fillId="0" borderId="0" xfId="1" applyNumberFormat="1" applyFont="1" applyFill="1" applyBorder="1"/>
    <xf numFmtId="186" fontId="69" fillId="0" borderId="0" xfId="1" applyNumberFormat="1" applyFont="1" applyFill="1"/>
    <xf numFmtId="186" fontId="69" fillId="0" borderId="10" xfId="1" applyNumberFormat="1" applyFont="1" applyFill="1" applyBorder="1"/>
    <xf numFmtId="186" fontId="41" fillId="0" borderId="2" xfId="1" applyNumberFormat="1" applyFont="1" applyFill="1" applyBorder="1"/>
    <xf numFmtId="186" fontId="69" fillId="0" borderId="12" xfId="1" applyNumberFormat="1" applyFont="1" applyFill="1" applyBorder="1" applyProtection="1"/>
    <xf numFmtId="37" fontId="42" fillId="0" borderId="0" xfId="2222" applyFont="1" applyAlignment="1">
      <alignment horizontal="center"/>
    </xf>
    <xf numFmtId="186" fontId="41" fillId="0" borderId="12" xfId="1" applyNumberFormat="1" applyFont="1" applyFill="1" applyBorder="1" applyProtection="1"/>
    <xf numFmtId="186" fontId="42" fillId="0" borderId="0" xfId="1" applyNumberFormat="1" applyFont="1" applyFill="1" applyProtection="1"/>
    <xf numFmtId="228" fontId="41" fillId="0" borderId="0" xfId="2222" applyNumberFormat="1" applyFont="1"/>
    <xf numFmtId="37" fontId="41" fillId="0" borderId="0" xfId="2222" applyFont="1" applyAlignment="1">
      <alignment horizontal="center"/>
    </xf>
    <xf numFmtId="37" fontId="84" fillId="0" borderId="0" xfId="2222" applyFont="1" applyAlignment="1">
      <alignment horizontal="center"/>
    </xf>
    <xf numFmtId="186" fontId="41" fillId="0" borderId="0" xfId="1535" applyNumberFormat="1" applyFont="1" applyFill="1"/>
    <xf numFmtId="186" fontId="41" fillId="0" borderId="0" xfId="1535" applyNumberFormat="1" applyFont="1" applyFill="1" applyProtection="1"/>
    <xf numFmtId="164" fontId="41" fillId="0" borderId="0" xfId="1535" applyFont="1" applyFill="1"/>
    <xf numFmtId="186" fontId="41" fillId="0" borderId="0" xfId="1535" applyNumberFormat="1" applyFont="1" applyFill="1" applyBorder="1" applyProtection="1"/>
    <xf numFmtId="186" fontId="41" fillId="0" borderId="41" xfId="1535" applyNumberFormat="1" applyFont="1" applyFill="1" applyBorder="1" applyProtection="1"/>
    <xf numFmtId="186" fontId="41" fillId="0" borderId="42" xfId="1535" applyNumberFormat="1" applyFont="1" applyFill="1" applyBorder="1" applyProtection="1"/>
    <xf numFmtId="186" fontId="41" fillId="0" borderId="43" xfId="1535" applyNumberFormat="1" applyFont="1" applyFill="1" applyBorder="1" applyProtection="1"/>
    <xf numFmtId="37" fontId="41" fillId="0" borderId="13" xfId="2222" applyFont="1" applyBorder="1"/>
    <xf numFmtId="164" fontId="41" fillId="0" borderId="1" xfId="1535" applyFont="1" applyFill="1" applyBorder="1"/>
    <xf numFmtId="164" fontId="41" fillId="0" borderId="0" xfId="1535" applyFont="1" applyFill="1" applyBorder="1"/>
    <xf numFmtId="164" fontId="42" fillId="0" borderId="0" xfId="1535" applyFont="1" applyFill="1"/>
    <xf numFmtId="164" fontId="41" fillId="0" borderId="0" xfId="1" applyFont="1" applyFill="1"/>
    <xf numFmtId="37" fontId="41" fillId="0" borderId="17" xfId="2222" applyFont="1" applyBorder="1"/>
    <xf numFmtId="37" fontId="41" fillId="0" borderId="16" xfId="2222" applyFont="1" applyBorder="1"/>
    <xf numFmtId="37" fontId="62" fillId="3" borderId="0" xfId="2056" applyNumberFormat="1" applyFont="1" applyFill="1"/>
    <xf numFmtId="37" fontId="33" fillId="3" borderId="0" xfId="2056" applyNumberFormat="1" applyFont="1" applyFill="1"/>
    <xf numFmtId="0" fontId="62" fillId="3" borderId="0" xfId="2056" applyFont="1" applyFill="1"/>
    <xf numFmtId="0" fontId="33" fillId="3" borderId="0" xfId="2056" applyFont="1" applyFill="1"/>
    <xf numFmtId="0" fontId="64" fillId="3" borderId="0" xfId="2056" applyFont="1" applyFill="1"/>
    <xf numFmtId="0" fontId="62" fillId="3" borderId="19" xfId="2056" applyFont="1" applyFill="1" applyBorder="1"/>
    <xf numFmtId="0" fontId="33" fillId="3" borderId="19" xfId="2056" applyFont="1" applyFill="1" applyBorder="1"/>
    <xf numFmtId="0" fontId="64" fillId="3" borderId="19" xfId="2056" applyFont="1" applyFill="1" applyBorder="1"/>
    <xf numFmtId="0" fontId="64" fillId="3" borderId="0" xfId="2056" applyFont="1" applyFill="1" applyAlignment="1">
      <alignment horizontal="center"/>
    </xf>
    <xf numFmtId="186" fontId="64" fillId="3" borderId="0" xfId="1" applyNumberFormat="1" applyFont="1" applyFill="1" applyAlignment="1">
      <alignment horizontal="center"/>
    </xf>
    <xf numFmtId="164" fontId="33" fillId="3" borderId="0" xfId="1535" applyFont="1" applyFill="1" applyBorder="1" applyAlignment="1">
      <alignment horizontal="left"/>
    </xf>
    <xf numFmtId="37" fontId="33" fillId="3" borderId="0" xfId="2056" applyNumberFormat="1" applyFont="1" applyFill="1" applyAlignment="1">
      <alignment horizontal="center"/>
    </xf>
    <xf numFmtId="164" fontId="27" fillId="3" borderId="0" xfId="1535" applyFont="1" applyFill="1" applyBorder="1" applyAlignment="1">
      <alignment horizontal="left"/>
    </xf>
    <xf numFmtId="186" fontId="33" fillId="3" borderId="11" xfId="1" applyNumberFormat="1" applyFont="1" applyFill="1" applyBorder="1" applyAlignment="1">
      <alignment horizontal="center"/>
    </xf>
    <xf numFmtId="164" fontId="27" fillId="3" borderId="0" xfId="1535" applyFont="1" applyFill="1"/>
    <xf numFmtId="37" fontId="33" fillId="3" borderId="0" xfId="2056" applyNumberFormat="1" applyFont="1" applyFill="1" applyAlignment="1">
      <alignment horizontal="center" vertical="center"/>
    </xf>
    <xf numFmtId="186" fontId="33" fillId="3" borderId="5" xfId="1" applyNumberFormat="1" applyFont="1" applyFill="1" applyBorder="1" applyAlignment="1">
      <alignment horizontal="right"/>
    </xf>
    <xf numFmtId="186" fontId="27" fillId="3" borderId="0" xfId="2056" applyNumberFormat="1" applyFont="1" applyFill="1"/>
    <xf numFmtId="186" fontId="33" fillId="3" borderId="12" xfId="1" applyNumberFormat="1" applyFont="1" applyFill="1" applyBorder="1" applyAlignment="1">
      <alignment horizontal="center"/>
    </xf>
    <xf numFmtId="0" fontId="27" fillId="3" borderId="0" xfId="2056" applyFont="1" applyFill="1" applyAlignment="1">
      <alignment horizontal="left" indent="1"/>
    </xf>
    <xf numFmtId="0" fontId="33" fillId="3" borderId="0" xfId="2056" applyFont="1" applyFill="1" applyAlignment="1">
      <alignment horizontal="left" vertical="top" wrapText="1"/>
    </xf>
    <xf numFmtId="37" fontId="33" fillId="3" borderId="0" xfId="2056" applyNumberFormat="1" applyFont="1" applyFill="1" applyAlignment="1">
      <alignment horizontal="center" vertical="top"/>
    </xf>
    <xf numFmtId="186" fontId="33" fillId="3" borderId="0" xfId="1" applyNumberFormat="1" applyFont="1" applyFill="1" applyBorder="1" applyAlignment="1">
      <alignment horizontal="center" vertical="top"/>
    </xf>
    <xf numFmtId="37" fontId="27" fillId="3" borderId="0" xfId="2056" applyNumberFormat="1" applyFont="1" applyFill="1"/>
    <xf numFmtId="186" fontId="33" fillId="3" borderId="7" xfId="1" applyNumberFormat="1" applyFont="1" applyFill="1" applyBorder="1" applyAlignment="1">
      <alignment horizontal="center"/>
    </xf>
    <xf numFmtId="186" fontId="33" fillId="3" borderId="8" xfId="1" applyNumberFormat="1" applyFont="1" applyFill="1" applyBorder="1" applyAlignment="1">
      <alignment horizontal="center"/>
    </xf>
    <xf numFmtId="0" fontId="27" fillId="3" borderId="0" xfId="2056" applyFont="1" applyFill="1" applyAlignment="1">
      <alignment horizontal="center"/>
    </xf>
    <xf numFmtId="186" fontId="27" fillId="3" borderId="0" xfId="2056" applyNumberFormat="1" applyFont="1" applyFill="1" applyAlignment="1">
      <alignment horizontal="center"/>
    </xf>
    <xf numFmtId="186" fontId="64" fillId="3" borderId="0" xfId="1" applyNumberFormat="1" applyFont="1" applyFill="1" applyBorder="1" applyAlignment="1">
      <alignment horizontal="center"/>
    </xf>
    <xf numFmtId="164" fontId="27" fillId="3" borderId="0" xfId="1" applyFont="1" applyFill="1" applyBorder="1" applyAlignment="1">
      <alignment horizontal="center"/>
    </xf>
    <xf numFmtId="37" fontId="33" fillId="0" borderId="0" xfId="2056" applyNumberFormat="1" applyFont="1"/>
    <xf numFmtId="0" fontId="64" fillId="0" borderId="0" xfId="2056" applyFont="1"/>
    <xf numFmtId="0" fontId="64" fillId="0" borderId="0" xfId="2056" applyFont="1" applyAlignment="1">
      <alignment horizontal="center"/>
    </xf>
    <xf numFmtId="0" fontId="33" fillId="0" borderId="0" xfId="2056" applyFont="1" applyAlignment="1">
      <alignment horizontal="center"/>
    </xf>
    <xf numFmtId="37" fontId="33" fillId="0" borderId="0" xfId="2056" applyNumberFormat="1" applyFont="1" applyAlignment="1">
      <alignment horizontal="center"/>
    </xf>
    <xf numFmtId="3" fontId="85" fillId="0" borderId="0" xfId="0" applyNumberFormat="1" applyFont="1"/>
    <xf numFmtId="37" fontId="27" fillId="3" borderId="0" xfId="2056" applyNumberFormat="1" applyFont="1" applyFill="1" applyAlignment="1">
      <alignment horizontal="center" vertical="center"/>
    </xf>
    <xf numFmtId="186" fontId="27" fillId="3" borderId="2" xfId="1" applyNumberFormat="1" applyFont="1" applyFill="1" applyBorder="1"/>
    <xf numFmtId="37" fontId="33" fillId="0" borderId="0" xfId="2056" applyNumberFormat="1" applyFont="1" applyAlignment="1">
      <alignment horizontal="center" vertical="center"/>
    </xf>
    <xf numFmtId="37" fontId="27" fillId="3" borderId="0" xfId="2056" applyNumberFormat="1" applyFont="1" applyFill="1" applyAlignment="1">
      <alignment horizontal="center"/>
    </xf>
    <xf numFmtId="186" fontId="27" fillId="3" borderId="5" xfId="1" applyNumberFormat="1" applyFont="1" applyFill="1" applyBorder="1" applyAlignment="1">
      <alignment horizontal="right"/>
    </xf>
    <xf numFmtId="186" fontId="27" fillId="3" borderId="6" xfId="1" applyNumberFormat="1" applyFont="1" applyFill="1" applyBorder="1" applyAlignment="1">
      <alignment horizontal="right"/>
    </xf>
    <xf numFmtId="186" fontId="27" fillId="3" borderId="0" xfId="1" applyNumberFormat="1" applyFont="1" applyFill="1" applyBorder="1" applyAlignment="1">
      <alignment horizontal="center" vertical="top"/>
    </xf>
    <xf numFmtId="0" fontId="33" fillId="0" borderId="0" xfId="2056" applyFont="1" applyAlignment="1">
      <alignment horizontal="center" vertical="top"/>
    </xf>
    <xf numFmtId="186" fontId="27" fillId="3" borderId="1" xfId="1" applyNumberFormat="1" applyFont="1" applyFill="1" applyBorder="1" applyAlignment="1">
      <alignment horizontal="center"/>
    </xf>
    <xf numFmtId="9" fontId="27" fillId="0" borderId="0" xfId="2056" applyNumberFormat="1" applyFont="1"/>
    <xf numFmtId="186" fontId="27" fillId="0" borderId="0" xfId="2056" applyNumberFormat="1" applyFont="1" applyAlignment="1">
      <alignment vertical="top"/>
    </xf>
    <xf numFmtId="0" fontId="33" fillId="3" borderId="0" xfId="2056" applyFont="1" applyFill="1" applyAlignment="1">
      <alignment horizontal="left" indent="8"/>
    </xf>
    <xf numFmtId="0" fontId="86" fillId="0" borderId="0" xfId="2056" applyFont="1"/>
    <xf numFmtId="0" fontId="27" fillId="3" borderId="10" xfId="2056" applyFont="1" applyFill="1" applyBorder="1"/>
    <xf numFmtId="0" fontId="27" fillId="3" borderId="10" xfId="2056" applyFont="1" applyFill="1" applyBorder="1" applyAlignment="1">
      <alignment horizontal="center"/>
    </xf>
    <xf numFmtId="228" fontId="27" fillId="0" borderId="0" xfId="2056" applyNumberFormat="1" applyFont="1" applyAlignment="1">
      <alignment horizontal="center"/>
    </xf>
    <xf numFmtId="186" fontId="32" fillId="0" borderId="13" xfId="1" applyNumberFormat="1" applyFont="1" applyBorder="1" applyAlignment="1">
      <alignment horizontal="justify" vertical="top" wrapText="1"/>
    </xf>
    <xf numFmtId="186" fontId="33" fillId="3" borderId="0" xfId="1535" applyNumberFormat="1" applyFont="1" applyFill="1" applyBorder="1" applyAlignment="1">
      <alignment horizontal="right"/>
    </xf>
    <xf numFmtId="0" fontId="33" fillId="0" borderId="0" xfId="2056" applyFont="1" applyAlignment="1">
      <alignment horizontal="right" indent="8"/>
    </xf>
    <xf numFmtId="0" fontId="27" fillId="0" borderId="0" xfId="2129" applyFont="1"/>
    <xf numFmtId="0" fontId="27" fillId="0" borderId="45" xfId="2129" applyFont="1" applyBorder="1"/>
    <xf numFmtId="0" fontId="27" fillId="0" borderId="46" xfId="2129" applyFont="1" applyBorder="1"/>
    <xf numFmtId="0" fontId="88" fillId="0" borderId="0" xfId="2129" applyFont="1" applyAlignment="1">
      <alignment vertical="justify"/>
    </xf>
    <xf numFmtId="0" fontId="27" fillId="0" borderId="47" xfId="2129" applyFont="1" applyBorder="1"/>
    <xf numFmtId="0" fontId="27" fillId="0" borderId="45" xfId="2129" applyFont="1" applyBorder="1" applyAlignment="1">
      <alignment horizontal="center" vertical="center"/>
    </xf>
    <xf numFmtId="0" fontId="61" fillId="0" borderId="45" xfId="2129" applyFont="1" applyBorder="1" applyAlignment="1">
      <alignment vertical="center"/>
    </xf>
    <xf numFmtId="0" fontId="61" fillId="0" borderId="0" xfId="2129" applyFont="1" applyAlignment="1">
      <alignment vertical="center"/>
    </xf>
    <xf numFmtId="0" fontId="91" fillId="0" borderId="0" xfId="2129" applyFont="1"/>
    <xf numFmtId="0" fontId="92" fillId="0" borderId="0" xfId="2129" applyFont="1"/>
    <xf numFmtId="0" fontId="60" fillId="0" borderId="0" xfId="0" applyFont="1"/>
    <xf numFmtId="0" fontId="61" fillId="3" borderId="0" xfId="2152" applyNumberFormat="1" applyFill="1"/>
    <xf numFmtId="39" fontId="61" fillId="3" borderId="0" xfId="2152" applyFill="1"/>
    <xf numFmtId="39" fontId="62" fillId="3" borderId="0" xfId="2152" applyFont="1" applyFill="1"/>
    <xf numFmtId="0" fontId="62" fillId="3" borderId="10" xfId="2152" applyNumberFormat="1" applyFont="1" applyFill="1" applyBorder="1"/>
    <xf numFmtId="39" fontId="62" fillId="3" borderId="10" xfId="2152" applyFont="1" applyFill="1" applyBorder="1"/>
    <xf numFmtId="0" fontId="62" fillId="3" borderId="1" xfId="1592" applyNumberFormat="1" applyFont="1" applyFill="1" applyBorder="1" applyAlignment="1"/>
    <xf numFmtId="164" fontId="62" fillId="3" borderId="1" xfId="1592" applyFont="1" applyFill="1" applyBorder="1" applyAlignment="1">
      <alignment horizontal="center"/>
    </xf>
    <xf numFmtId="0" fontId="62" fillId="3" borderId="1" xfId="1592" applyNumberFormat="1" applyFont="1" applyFill="1" applyBorder="1" applyAlignment="1">
      <alignment horizontal="center"/>
    </xf>
    <xf numFmtId="39" fontId="61" fillId="3" borderId="3" xfId="2152" applyFill="1" applyBorder="1" applyAlignment="1">
      <alignment horizontal="center" wrapText="1" readingOrder="1"/>
    </xf>
    <xf numFmtId="39" fontId="61" fillId="3" borderId="3" xfId="2152" applyFill="1" applyBorder="1" applyAlignment="1">
      <alignment horizontal="left" wrapText="1" readingOrder="1"/>
    </xf>
    <xf numFmtId="39" fontId="61" fillId="3" borderId="1" xfId="2152" applyFill="1" applyBorder="1" applyAlignment="1">
      <alignment horizontal="left" vertical="top" wrapText="1" readingOrder="1"/>
    </xf>
    <xf numFmtId="186" fontId="62" fillId="3" borderId="1" xfId="1592" applyNumberFormat="1" applyFont="1" applyFill="1" applyBorder="1" applyAlignment="1">
      <alignment horizontal="center"/>
    </xf>
    <xf numFmtId="39" fontId="62" fillId="3" borderId="3" xfId="2152" applyFont="1" applyFill="1" applyBorder="1" applyAlignment="1">
      <alignment horizontal="center" wrapText="1" readingOrder="1"/>
    </xf>
    <xf numFmtId="186" fontId="62" fillId="3" borderId="48" xfId="1592" applyNumberFormat="1" applyFont="1" applyFill="1" applyBorder="1" applyAlignment="1">
      <alignment horizontal="center"/>
    </xf>
    <xf numFmtId="186" fontId="62" fillId="3" borderId="49" xfId="1592" applyNumberFormat="1" applyFont="1" applyFill="1" applyBorder="1" applyAlignment="1">
      <alignment horizontal="center"/>
    </xf>
    <xf numFmtId="186" fontId="62" fillId="3" borderId="50" xfId="1592" applyNumberFormat="1" applyFont="1" applyFill="1" applyBorder="1" applyAlignment="1">
      <alignment horizontal="center"/>
    </xf>
    <xf numFmtId="186" fontId="62" fillId="3" borderId="6" xfId="1592" applyNumberFormat="1" applyFont="1" applyFill="1" applyBorder="1"/>
    <xf numFmtId="186" fontId="62" fillId="3" borderId="1" xfId="1592" applyNumberFormat="1" applyFont="1" applyFill="1" applyBorder="1"/>
    <xf numFmtId="186" fontId="62" fillId="3" borderId="2" xfId="1592" applyNumberFormat="1" applyFont="1" applyFill="1" applyBorder="1"/>
    <xf numFmtId="37" fontId="62" fillId="3" borderId="39" xfId="2152" applyNumberFormat="1" applyFont="1" applyFill="1" applyBorder="1"/>
    <xf numFmtId="0" fontId="61" fillId="3" borderId="1" xfId="2152" applyNumberFormat="1" applyFill="1" applyBorder="1"/>
    <xf numFmtId="39" fontId="61" fillId="3" borderId="1" xfId="2152" applyFill="1" applyBorder="1" applyAlignment="1">
      <alignment horizontal="center" vertical="top" wrapText="1" readingOrder="1"/>
    </xf>
    <xf numFmtId="39" fontId="62" fillId="3" borderId="1" xfId="2152" applyFont="1" applyFill="1" applyBorder="1"/>
    <xf numFmtId="39" fontId="61" fillId="3" borderId="39" xfId="2152" applyFill="1" applyBorder="1" applyAlignment="1">
      <alignment horizontal="center" vertical="top" wrapText="1" readingOrder="1"/>
    </xf>
    <xf numFmtId="0" fontId="61" fillId="3" borderId="1" xfId="1592" applyNumberFormat="1" applyFont="1" applyFill="1" applyBorder="1" applyAlignment="1">
      <alignment horizontal="center"/>
    </xf>
    <xf numFmtId="39" fontId="61" fillId="3" borderId="1" xfId="2152" applyFill="1" applyBorder="1" applyAlignment="1">
      <alignment vertical="top" wrapText="1" readingOrder="1"/>
    </xf>
    <xf numFmtId="0" fontId="61" fillId="3" borderId="1" xfId="1592" applyNumberFormat="1" applyFont="1" applyFill="1" applyBorder="1" applyAlignment="1">
      <alignment horizontal="center" vertical="center"/>
    </xf>
    <xf numFmtId="39" fontId="61" fillId="3" borderId="3" xfId="2152" applyFill="1" applyBorder="1" applyAlignment="1">
      <alignment vertical="top" wrapText="1" readingOrder="1"/>
    </xf>
    <xf numFmtId="39" fontId="61" fillId="3" borderId="3" xfId="2152" applyFill="1" applyBorder="1" applyAlignment="1">
      <alignment horizontal="left" vertical="top" wrapText="1" readingOrder="1"/>
    </xf>
    <xf numFmtId="39" fontId="61" fillId="3" borderId="3" xfId="2152" applyFill="1" applyBorder="1" applyAlignment="1">
      <alignment vertical="center" wrapText="1" readingOrder="1"/>
    </xf>
    <xf numFmtId="39" fontId="61" fillId="3" borderId="1" xfId="2152" applyFill="1" applyBorder="1" applyAlignment="1">
      <alignment vertical="center" wrapText="1" readingOrder="1"/>
    </xf>
    <xf numFmtId="39" fontId="61" fillId="0" borderId="0" xfId="2152"/>
    <xf numFmtId="39" fontId="93" fillId="3" borderId="0" xfId="2152" applyFont="1" applyFill="1"/>
    <xf numFmtId="39" fontId="93" fillId="0" borderId="0" xfId="2152" applyFont="1"/>
    <xf numFmtId="186" fontId="61" fillId="3" borderId="3" xfId="1592" applyNumberFormat="1" applyFont="1" applyFill="1" applyBorder="1" applyAlignment="1">
      <alignment horizontal="center"/>
    </xf>
    <xf numFmtId="39" fontId="61" fillId="3" borderId="1" xfId="2152" applyFill="1" applyBorder="1"/>
    <xf numFmtId="186" fontId="61" fillId="3" borderId="52" xfId="1592" applyNumberFormat="1" applyFont="1" applyFill="1" applyBorder="1" applyAlignment="1">
      <alignment horizontal="center"/>
    </xf>
    <xf numFmtId="186" fontId="61" fillId="3" borderId="53" xfId="1592" applyNumberFormat="1" applyFont="1" applyFill="1" applyBorder="1" applyAlignment="1">
      <alignment horizontal="center"/>
    </xf>
    <xf numFmtId="186" fontId="61" fillId="3" borderId="54" xfId="1592" applyNumberFormat="1" applyFont="1" applyFill="1" applyBorder="1" applyAlignment="1">
      <alignment horizontal="center"/>
    </xf>
    <xf numFmtId="186" fontId="62" fillId="3" borderId="11" xfId="1592" applyNumberFormat="1" applyFont="1" applyFill="1" applyBorder="1"/>
    <xf numFmtId="37" fontId="61" fillId="3" borderId="1" xfId="2152" applyNumberFormat="1" applyFill="1" applyBorder="1"/>
    <xf numFmtId="186" fontId="61" fillId="3" borderId="3" xfId="1592" applyNumberFormat="1" applyFont="1" applyFill="1" applyBorder="1"/>
    <xf numFmtId="186" fontId="61" fillId="3" borderId="7" xfId="1592" applyNumberFormat="1" applyFont="1" applyFill="1" applyBorder="1"/>
    <xf numFmtId="186" fontId="61" fillId="3" borderId="55" xfId="1592" applyNumberFormat="1" applyFont="1" applyFill="1" applyBorder="1"/>
    <xf numFmtId="186" fontId="61" fillId="3" borderId="4" xfId="1592" applyNumberFormat="1" applyFont="1" applyFill="1" applyBorder="1"/>
    <xf numFmtId="186" fontId="61" fillId="3" borderId="14" xfId="1592" applyNumberFormat="1" applyFont="1" applyFill="1" applyBorder="1"/>
    <xf numFmtId="186" fontId="61" fillId="3" borderId="11" xfId="1592" applyNumberFormat="1" applyFont="1" applyFill="1" applyBorder="1"/>
    <xf numFmtId="37" fontId="61" fillId="3" borderId="51" xfId="2152" applyNumberFormat="1" applyFill="1" applyBorder="1"/>
    <xf numFmtId="0" fontId="0" fillId="3" borderId="1" xfId="0" applyFill="1" applyBorder="1"/>
    <xf numFmtId="39" fontId="61" fillId="3" borderId="3" xfId="2152" applyFill="1" applyBorder="1"/>
    <xf numFmtId="37" fontId="62" fillId="3" borderId="51" xfId="2152" applyNumberFormat="1" applyFont="1" applyFill="1" applyBorder="1"/>
    <xf numFmtId="37" fontId="0" fillId="3" borderId="1" xfId="0" applyNumberFormat="1" applyFill="1" applyBorder="1"/>
    <xf numFmtId="0" fontId="61" fillId="3" borderId="3" xfId="1592" applyNumberFormat="1" applyFont="1" applyFill="1" applyBorder="1" applyAlignment="1">
      <alignment horizontal="center"/>
    </xf>
    <xf numFmtId="186" fontId="0" fillId="3" borderId="1" xfId="1" applyNumberFormat="1" applyFont="1" applyFill="1" applyBorder="1"/>
    <xf numFmtId="223" fontId="61" fillId="3" borderId="51" xfId="1595" applyNumberFormat="1" applyFont="1" applyFill="1" applyBorder="1"/>
    <xf numFmtId="164" fontId="62" fillId="3" borderId="3" xfId="1592" applyFont="1" applyFill="1" applyBorder="1" applyAlignment="1">
      <alignment horizontal="center"/>
    </xf>
    <xf numFmtId="164" fontId="62" fillId="3" borderId="3" xfId="1592" applyFont="1" applyFill="1" applyBorder="1" applyAlignment="1">
      <alignment horizontal="left"/>
    </xf>
    <xf numFmtId="0" fontId="61" fillId="3" borderId="1" xfId="2152" applyNumberFormat="1" applyFill="1" applyBorder="1" applyAlignment="1">
      <alignment horizontal="center" vertical="center"/>
    </xf>
    <xf numFmtId="0" fontId="94" fillId="0" borderId="0" xfId="0" applyFont="1" applyAlignment="1">
      <alignment horizontal="left" vertical="top" wrapText="1"/>
    </xf>
    <xf numFmtId="39" fontId="61" fillId="3" borderId="0" xfId="2152" applyFill="1" applyAlignment="1">
      <alignment vertical="top" wrapText="1" readingOrder="1"/>
    </xf>
    <xf numFmtId="39" fontId="62" fillId="3" borderId="1" xfId="2152" applyFont="1" applyFill="1" applyBorder="1" applyAlignment="1">
      <alignment horizontal="left" vertical="top" wrapText="1" readingOrder="1"/>
    </xf>
    <xf numFmtId="0" fontId="62" fillId="3" borderId="0" xfId="2152" applyNumberFormat="1" applyFont="1" applyFill="1" applyAlignment="1">
      <alignment horizontal="center"/>
    </xf>
    <xf numFmtId="39" fontId="62" fillId="3" borderId="0" xfId="2152" applyFont="1" applyFill="1" applyAlignment="1">
      <alignment horizontal="center"/>
    </xf>
    <xf numFmtId="39" fontId="61" fillId="3" borderId="0" xfId="2152" applyFill="1" applyAlignment="1">
      <alignment horizontal="center" vertical="top" wrapText="1" readingOrder="1"/>
    </xf>
    <xf numFmtId="37" fontId="62" fillId="3" borderId="0" xfId="2152" applyNumberFormat="1" applyFont="1" applyFill="1"/>
    <xf numFmtId="186" fontId="60" fillId="3" borderId="1" xfId="1" applyNumberFormat="1" applyFont="1" applyFill="1" applyBorder="1"/>
    <xf numFmtId="37" fontId="0" fillId="0" borderId="0" xfId="0" applyNumberFormat="1"/>
    <xf numFmtId="37" fontId="61" fillId="3" borderId="0" xfId="2152" applyNumberFormat="1" applyFill="1"/>
    <xf numFmtId="164" fontId="38" fillId="3" borderId="0" xfId="1535" applyFont="1" applyFill="1"/>
    <xf numFmtId="39" fontId="62" fillId="3" borderId="0" xfId="2152" applyFont="1" applyFill="1" applyAlignment="1">
      <alignment horizontal="left"/>
    </xf>
    <xf numFmtId="0" fontId="61" fillId="3" borderId="1" xfId="2152" applyNumberFormat="1" applyFill="1" applyBorder="1" applyAlignment="1">
      <alignment horizontal="center"/>
    </xf>
    <xf numFmtId="49" fontId="61" fillId="3" borderId="1" xfId="1592" applyNumberFormat="1" applyFont="1" applyFill="1" applyBorder="1" applyAlignment="1">
      <alignment horizontal="center"/>
    </xf>
    <xf numFmtId="49" fontId="61" fillId="3" borderId="1" xfId="2152" applyNumberFormat="1" applyFill="1" applyBorder="1" applyAlignment="1">
      <alignment horizontal="center"/>
    </xf>
    <xf numFmtId="49" fontId="95" fillId="3" borderId="1" xfId="2152" applyNumberFormat="1" applyFont="1" applyFill="1" applyBorder="1" applyAlignment="1">
      <alignment horizontal="left"/>
    </xf>
    <xf numFmtId="186" fontId="0" fillId="0" borderId="0" xfId="1" applyNumberFormat="1" applyFont="1" applyFill="1"/>
    <xf numFmtId="39" fontId="62" fillId="3" borderId="1" xfId="2152" applyFont="1" applyFill="1" applyBorder="1" applyAlignment="1">
      <alignment horizontal="center"/>
    </xf>
    <xf numFmtId="0" fontId="94" fillId="0" borderId="1" xfId="0" applyFont="1" applyBorder="1" applyAlignment="1">
      <alignment horizontal="left" vertical="top" wrapText="1"/>
    </xf>
    <xf numFmtId="37" fontId="62" fillId="3" borderId="1" xfId="2152" applyNumberFormat="1" applyFont="1" applyFill="1" applyBorder="1"/>
    <xf numFmtId="37" fontId="61" fillId="3" borderId="3" xfId="2152" applyNumberFormat="1" applyFill="1" applyBorder="1"/>
    <xf numFmtId="49" fontId="61" fillId="3" borderId="1" xfId="2152" applyNumberFormat="1" applyFill="1" applyBorder="1" applyAlignment="1">
      <alignment horizontal="center" vertical="center"/>
    </xf>
    <xf numFmtId="49" fontId="95" fillId="3" borderId="7" xfId="2152" applyNumberFormat="1" applyFont="1" applyFill="1" applyBorder="1" applyAlignment="1">
      <alignment horizontal="left"/>
    </xf>
    <xf numFmtId="39" fontId="61" fillId="3" borderId="1" xfId="2152" applyFill="1" applyBorder="1" applyAlignment="1">
      <alignment vertical="center" wrapText="1"/>
    </xf>
    <xf numFmtId="0" fontId="61" fillId="3" borderId="1" xfId="2152" applyNumberFormat="1" applyFill="1" applyBorder="1" applyAlignment="1">
      <alignment horizontal="right"/>
    </xf>
    <xf numFmtId="0" fontId="38" fillId="3" borderId="0" xfId="2056" applyFont="1" applyFill="1"/>
    <xf numFmtId="39" fontId="61" fillId="3" borderId="3" xfId="2152" applyFill="1" applyBorder="1" applyAlignment="1">
      <alignment horizontal="left" vertical="center" wrapText="1"/>
    </xf>
    <xf numFmtId="37" fontId="61" fillId="3" borderId="3" xfId="2222" applyFont="1" applyFill="1" applyBorder="1" applyAlignment="1">
      <alignment horizontal="left"/>
    </xf>
    <xf numFmtId="37" fontId="61" fillId="3" borderId="7" xfId="2222" applyFont="1" applyFill="1" applyBorder="1" applyAlignment="1">
      <alignment horizontal="left"/>
    </xf>
    <xf numFmtId="39" fontId="62" fillId="3" borderId="10" xfId="2152" applyFont="1" applyFill="1" applyBorder="1" applyAlignment="1">
      <alignment wrapText="1" shrinkToFit="1"/>
    </xf>
    <xf numFmtId="39" fontId="61" fillId="3" borderId="10" xfId="2152" applyFill="1" applyBorder="1" applyAlignment="1">
      <alignment wrapText="1" shrinkToFit="1"/>
    </xf>
    <xf numFmtId="39" fontId="61" fillId="3" borderId="1" xfId="2152" applyFill="1" applyBorder="1" applyAlignment="1">
      <alignment horizontal="center" vertical="center"/>
    </xf>
    <xf numFmtId="37" fontId="61" fillId="3" borderId="1" xfId="2152" applyNumberFormat="1" applyFill="1" applyBorder="1" applyAlignment="1">
      <alignment horizontal="center" vertical="center"/>
    </xf>
    <xf numFmtId="37" fontId="61" fillId="3" borderId="1" xfId="1592" applyNumberFormat="1" applyFont="1" applyFill="1" applyBorder="1" applyAlignment="1">
      <alignment horizontal="center" vertical="center"/>
    </xf>
    <xf numFmtId="0" fontId="0" fillId="3" borderId="1" xfId="0" applyFill="1" applyBorder="1" applyAlignment="1">
      <alignment horizontal="center" vertical="center"/>
    </xf>
    <xf numFmtId="39" fontId="62" fillId="3" borderId="0" xfId="2152" applyFont="1" applyFill="1" applyAlignment="1">
      <alignment wrapText="1" shrinkToFit="1"/>
    </xf>
    <xf numFmtId="39" fontId="61" fillId="3" borderId="3" xfId="2152" applyFill="1" applyBorder="1" applyAlignment="1">
      <alignment horizontal="left" vertical="center" wrapText="1" readingOrder="1"/>
    </xf>
    <xf numFmtId="0" fontId="61" fillId="3" borderId="7" xfId="1592" applyNumberFormat="1" applyFont="1" applyFill="1" applyBorder="1" applyAlignment="1">
      <alignment horizontal="center"/>
    </xf>
    <xf numFmtId="39" fontId="61" fillId="3" borderId="13" xfId="2152" applyFill="1" applyBorder="1" applyAlignment="1">
      <alignment horizontal="left" wrapText="1" readingOrder="1"/>
    </xf>
    <xf numFmtId="39" fontId="61" fillId="3" borderId="2" xfId="2152" applyFill="1" applyBorder="1" applyAlignment="1">
      <alignment vertical="top" wrapText="1" readingOrder="1"/>
    </xf>
    <xf numFmtId="186" fontId="62" fillId="3" borderId="2" xfId="1592" applyNumberFormat="1" applyFont="1" applyFill="1" applyBorder="1" applyAlignment="1">
      <alignment horizontal="center"/>
    </xf>
    <xf numFmtId="39" fontId="61" fillId="3" borderId="13" xfId="2152" applyFill="1" applyBorder="1" applyAlignment="1">
      <alignment horizontal="left" vertical="top" wrapText="1" readingOrder="1"/>
    </xf>
    <xf numFmtId="0" fontId="61" fillId="3" borderId="7" xfId="2152" applyNumberFormat="1" applyFill="1" applyBorder="1"/>
    <xf numFmtId="39" fontId="61" fillId="3" borderId="2" xfId="2152" applyFill="1" applyBorder="1" applyAlignment="1">
      <alignment horizontal="center" vertical="top" wrapText="1" readingOrder="1"/>
    </xf>
    <xf numFmtId="39" fontId="61" fillId="3" borderId="0" xfId="2152" applyFill="1" applyAlignment="1">
      <alignment wrapText="1" shrinkToFit="1"/>
    </xf>
    <xf numFmtId="186" fontId="61" fillId="3" borderId="7" xfId="1592" applyNumberFormat="1" applyFont="1" applyFill="1" applyBorder="1" applyAlignment="1">
      <alignment horizontal="center"/>
    </xf>
    <xf numFmtId="9" fontId="0" fillId="0" borderId="0" xfId="2" applyFont="1" applyFill="1"/>
    <xf numFmtId="186" fontId="61" fillId="3" borderId="1" xfId="1" applyNumberFormat="1" applyFont="1" applyFill="1" applyBorder="1"/>
    <xf numFmtId="39" fontId="61" fillId="3" borderId="13" xfId="2152" applyFill="1" applyBorder="1" applyAlignment="1">
      <alignment horizontal="center" vertical="top" wrapText="1" readingOrder="1"/>
    </xf>
    <xf numFmtId="39" fontId="61" fillId="3" borderId="1" xfId="2152" applyFill="1" applyBorder="1" applyAlignment="1">
      <alignment horizontal="left" vertical="center" wrapText="1" readingOrder="1"/>
    </xf>
    <xf numFmtId="39" fontId="61" fillId="3" borderId="1" xfId="2152" applyFill="1" applyBorder="1" applyAlignment="1">
      <alignment horizontal="center" vertical="center" wrapText="1" readingOrder="1"/>
    </xf>
    <xf numFmtId="186" fontId="62" fillId="3" borderId="1" xfId="1592" applyNumberFormat="1" applyFont="1" applyFill="1" applyBorder="1" applyAlignment="1">
      <alignment horizontal="center" vertical="center"/>
    </xf>
    <xf numFmtId="0" fontId="61" fillId="3" borderId="1" xfId="2152" applyNumberFormat="1" applyFill="1" applyBorder="1" applyAlignment="1">
      <alignment horizontal="right" vertical="center"/>
    </xf>
    <xf numFmtId="39" fontId="61" fillId="3" borderId="3" xfId="2152" applyFill="1" applyBorder="1" applyAlignment="1">
      <alignment horizontal="center" vertical="top" wrapText="1" readingOrder="1"/>
    </xf>
    <xf numFmtId="39" fontId="0" fillId="0" borderId="0" xfId="0" applyNumberFormat="1"/>
    <xf numFmtId="186" fontId="61" fillId="3" borderId="3" xfId="1592" applyNumberFormat="1" applyFont="1" applyFill="1" applyBorder="1" applyAlignment="1">
      <alignment horizontal="center" vertical="center"/>
    </xf>
    <xf numFmtId="186" fontId="61" fillId="0" borderId="0" xfId="1592" applyNumberFormat="1" applyFont="1" applyFill="1"/>
    <xf numFmtId="0" fontId="61" fillId="3" borderId="1" xfId="1592" applyNumberFormat="1" applyFont="1" applyFill="1" applyBorder="1" applyAlignment="1">
      <alignment horizontal="right" vertical="center"/>
    </xf>
    <xf numFmtId="39" fontId="62" fillId="3" borderId="1" xfId="2152" applyFont="1" applyFill="1" applyBorder="1" applyAlignment="1">
      <alignment horizontal="left" vertical="center" wrapText="1" readingOrder="1"/>
    </xf>
    <xf numFmtId="39" fontId="62" fillId="3" borderId="3" xfId="2152" applyFont="1" applyFill="1" applyBorder="1" applyAlignment="1">
      <alignment horizontal="center" vertical="center" wrapText="1"/>
    </xf>
    <xf numFmtId="39" fontId="96" fillId="0" borderId="0" xfId="2152" applyFont="1"/>
    <xf numFmtId="37" fontId="61" fillId="0" borderId="0" xfId="2152" applyNumberFormat="1"/>
    <xf numFmtId="0" fontId="61" fillId="3" borderId="1" xfId="1592" applyNumberFormat="1" applyFont="1" applyFill="1" applyBorder="1" applyAlignment="1"/>
    <xf numFmtId="0" fontId="61" fillId="3" borderId="1" xfId="1592" applyNumberFormat="1" applyFont="1" applyFill="1" applyBorder="1"/>
    <xf numFmtId="186" fontId="61" fillId="3" borderId="1" xfId="1592" applyNumberFormat="1" applyFont="1" applyFill="1" applyBorder="1" applyAlignment="1">
      <alignment horizontal="left"/>
    </xf>
    <xf numFmtId="0" fontId="62" fillId="3" borderId="2" xfId="1592" applyNumberFormat="1" applyFont="1" applyFill="1" applyBorder="1" applyAlignment="1">
      <alignment horizontal="center"/>
    </xf>
    <xf numFmtId="39" fontId="62" fillId="3" borderId="1" xfId="2152" applyFont="1" applyFill="1" applyBorder="1" applyAlignment="1">
      <alignment vertical="center" wrapText="1"/>
    </xf>
    <xf numFmtId="186" fontId="62" fillId="3" borderId="18" xfId="1592" applyNumberFormat="1" applyFont="1" applyFill="1" applyBorder="1" applyAlignment="1">
      <alignment horizontal="center"/>
    </xf>
    <xf numFmtId="186" fontId="62" fillId="3" borderId="5" xfId="1592" applyNumberFormat="1" applyFont="1" applyFill="1" applyBorder="1" applyAlignment="1">
      <alignment horizontal="center"/>
    </xf>
    <xf numFmtId="39" fontId="62" fillId="3" borderId="1" xfId="2152" applyFont="1" applyFill="1" applyBorder="1" applyAlignment="1">
      <alignment horizontal="left"/>
    </xf>
    <xf numFmtId="186" fontId="62" fillId="3" borderId="48" xfId="1592" applyNumberFormat="1" applyFont="1" applyFill="1" applyBorder="1"/>
    <xf numFmtId="39" fontId="61" fillId="3" borderId="1" xfId="2152" applyFill="1" applyBorder="1" applyAlignment="1">
      <alignment horizontal="left"/>
    </xf>
    <xf numFmtId="186" fontId="62" fillId="3" borderId="49" xfId="1592" applyNumberFormat="1" applyFont="1" applyFill="1" applyBorder="1"/>
    <xf numFmtId="186" fontId="62" fillId="3" borderId="50" xfId="1592" applyNumberFormat="1" applyFont="1" applyFill="1" applyBorder="1"/>
    <xf numFmtId="49" fontId="97" fillId="3" borderId="7" xfId="2152" applyNumberFormat="1" applyFont="1" applyFill="1" applyBorder="1" applyAlignment="1">
      <alignment horizontal="left"/>
    </xf>
    <xf numFmtId="0" fontId="0" fillId="3" borderId="0" xfId="0" applyFill="1"/>
    <xf numFmtId="0" fontId="61" fillId="3" borderId="2" xfId="1592" applyNumberFormat="1" applyFont="1" applyFill="1" applyBorder="1" applyAlignment="1">
      <alignment horizontal="center"/>
    </xf>
    <xf numFmtId="186" fontId="61" fillId="3" borderId="18" xfId="1592" applyNumberFormat="1" applyFont="1" applyFill="1" applyBorder="1" applyAlignment="1">
      <alignment horizontal="center"/>
    </xf>
    <xf numFmtId="186" fontId="61" fillId="3" borderId="5" xfId="1592" applyNumberFormat="1" applyFont="1" applyFill="1" applyBorder="1" applyAlignment="1">
      <alignment horizontal="center"/>
    </xf>
    <xf numFmtId="186" fontId="61" fillId="3" borderId="56" xfId="1592" applyNumberFormat="1" applyFont="1" applyFill="1" applyBorder="1" applyAlignment="1">
      <alignment horizontal="center"/>
    </xf>
    <xf numFmtId="186" fontId="61" fillId="3" borderId="57" xfId="1592" applyNumberFormat="1" applyFont="1" applyFill="1" applyBorder="1"/>
    <xf numFmtId="186" fontId="61" fillId="3" borderId="58" xfId="1592" applyNumberFormat="1" applyFont="1" applyFill="1" applyBorder="1"/>
    <xf numFmtId="186" fontId="61" fillId="3" borderId="6" xfId="1592" applyNumberFormat="1" applyFont="1" applyFill="1" applyBorder="1"/>
    <xf numFmtId="186" fontId="61" fillId="3" borderId="1" xfId="1592" applyNumberFormat="1" applyFont="1" applyFill="1" applyBorder="1"/>
    <xf numFmtId="37" fontId="61" fillId="3" borderId="39" xfId="2152" applyNumberFormat="1" applyFill="1" applyBorder="1"/>
    <xf numFmtId="186" fontId="61" fillId="3" borderId="1" xfId="1592" applyNumberFormat="1" applyFont="1" applyFill="1" applyBorder="1" applyAlignment="1">
      <alignment horizontal="center"/>
    </xf>
    <xf numFmtId="164" fontId="61" fillId="3" borderId="39" xfId="1438" applyFont="1" applyFill="1" applyBorder="1"/>
    <xf numFmtId="186" fontId="62" fillId="3" borderId="39" xfId="1438" applyNumberFormat="1" applyFont="1" applyFill="1" applyBorder="1"/>
    <xf numFmtId="39" fontId="61" fillId="3" borderId="3" xfId="2152" applyFill="1" applyBorder="1" applyAlignment="1">
      <alignment horizontal="left" readingOrder="1"/>
    </xf>
    <xf numFmtId="186" fontId="61" fillId="3" borderId="39" xfId="1438" applyNumberFormat="1" applyFont="1" applyFill="1" applyBorder="1"/>
    <xf numFmtId="186" fontId="0" fillId="3" borderId="0" xfId="0" applyNumberFormat="1" applyFill="1"/>
    <xf numFmtId="49" fontId="61" fillId="3" borderId="1" xfId="1592" applyNumberFormat="1" applyFont="1" applyFill="1" applyBorder="1" applyAlignment="1"/>
    <xf numFmtId="186" fontId="62" fillId="3" borderId="18" xfId="1592" applyNumberFormat="1" applyFont="1" applyFill="1" applyBorder="1"/>
    <xf numFmtId="0" fontId="60" fillId="3" borderId="0" xfId="0" applyFont="1" applyFill="1"/>
    <xf numFmtId="186" fontId="61" fillId="3" borderId="2" xfId="1592" applyNumberFormat="1" applyFont="1" applyFill="1" applyBorder="1"/>
    <xf numFmtId="186" fontId="61" fillId="3" borderId="18" xfId="1592" applyNumberFormat="1" applyFont="1" applyFill="1" applyBorder="1"/>
    <xf numFmtId="39" fontId="61" fillId="3" borderId="3" xfId="2152" applyFill="1" applyBorder="1" applyAlignment="1">
      <alignment horizontal="left" vertical="top" wrapText="1" indent="7" readingOrder="1"/>
    </xf>
    <xf numFmtId="39" fontId="61" fillId="3" borderId="1" xfId="2152" applyFill="1" applyBorder="1" applyAlignment="1">
      <alignment horizontal="left" vertical="top" wrapText="1" indent="7" readingOrder="1"/>
    </xf>
    <xf numFmtId="39" fontId="62" fillId="3" borderId="1" xfId="2152" applyFont="1" applyFill="1" applyBorder="1" applyAlignment="1">
      <alignment horizontal="left" vertical="top" wrapText="1" indent="7" readingOrder="1"/>
    </xf>
    <xf numFmtId="186" fontId="62" fillId="3" borderId="6" xfId="1592" applyNumberFormat="1" applyFont="1" applyFill="1" applyBorder="1" applyAlignment="1">
      <alignment horizontal="center"/>
    </xf>
    <xf numFmtId="39" fontId="61" fillId="3" borderId="1" xfId="2152" applyFill="1" applyBorder="1" applyAlignment="1">
      <alignment horizontal="left" vertical="top" wrapText="1" indent="3" readingOrder="1"/>
    </xf>
    <xf numFmtId="186" fontId="62" fillId="3" borderId="59" xfId="1592" applyNumberFormat="1" applyFont="1" applyFill="1" applyBorder="1" applyAlignment="1">
      <alignment horizontal="center"/>
    </xf>
    <xf numFmtId="39" fontId="61" fillId="3" borderId="1" xfId="2152" applyFill="1" applyBorder="1" applyAlignment="1">
      <alignment horizontal="left" vertical="top" wrapText="1" indent="5" readingOrder="1"/>
    </xf>
    <xf numFmtId="39" fontId="62" fillId="3" borderId="1" xfId="2152" applyFont="1" applyFill="1" applyBorder="1" applyAlignment="1">
      <alignment horizontal="left" vertical="top" wrapText="1" indent="1" readingOrder="1"/>
    </xf>
    <xf numFmtId="49" fontId="61" fillId="3" borderId="2" xfId="1592" applyNumberFormat="1" applyFont="1" applyFill="1" applyBorder="1" applyAlignment="1">
      <alignment horizontal="center"/>
    </xf>
    <xf numFmtId="39" fontId="61" fillId="3" borderId="2" xfId="2152" applyFill="1" applyBorder="1" applyAlignment="1">
      <alignment horizontal="left" vertical="top" wrapText="1" indent="5" readingOrder="1"/>
    </xf>
    <xf numFmtId="39" fontId="61" fillId="3" borderId="7" xfId="2152" applyFill="1" applyBorder="1" applyAlignment="1">
      <alignment vertical="top" wrapText="1" readingOrder="1"/>
    </xf>
    <xf numFmtId="39" fontId="62" fillId="3" borderId="1" xfId="2152" applyFont="1" applyFill="1" applyBorder="1" applyAlignment="1">
      <alignment horizontal="left" vertical="top" wrapText="1" indent="5" readingOrder="1"/>
    </xf>
    <xf numFmtId="49" fontId="61" fillId="3" borderId="6" xfId="1592" applyNumberFormat="1" applyFont="1" applyFill="1" applyBorder="1" applyAlignment="1">
      <alignment horizontal="center"/>
    </xf>
    <xf numFmtId="39" fontId="62" fillId="3" borderId="11" xfId="2152" applyFont="1" applyFill="1" applyBorder="1" applyAlignment="1">
      <alignment horizontal="left" vertical="top" wrapText="1" indent="1" readingOrder="1"/>
    </xf>
    <xf numFmtId="39" fontId="61" fillId="3" borderId="6" xfId="2152" applyFill="1" applyBorder="1" applyAlignment="1">
      <alignment vertical="top" wrapText="1" readingOrder="1"/>
    </xf>
    <xf numFmtId="186" fontId="61" fillId="3" borderId="48" xfId="1592" applyNumberFormat="1" applyFont="1" applyFill="1" applyBorder="1"/>
    <xf numFmtId="186" fontId="61" fillId="3" borderId="50" xfId="1592" applyNumberFormat="1" applyFont="1" applyFill="1" applyBorder="1"/>
    <xf numFmtId="186" fontId="61" fillId="3" borderId="6" xfId="1592" applyNumberFormat="1" applyFont="1" applyFill="1" applyBorder="1" applyAlignment="1">
      <alignment horizontal="center"/>
    </xf>
    <xf numFmtId="186" fontId="61" fillId="3" borderId="59" xfId="1592" applyNumberFormat="1" applyFont="1" applyFill="1" applyBorder="1"/>
    <xf numFmtId="186" fontId="61" fillId="3" borderId="49" xfId="1592" applyNumberFormat="1" applyFont="1" applyFill="1" applyBorder="1"/>
    <xf numFmtId="39" fontId="62" fillId="3" borderId="3" xfId="2152" applyFont="1" applyFill="1" applyBorder="1" applyAlignment="1">
      <alignment horizontal="left" vertical="top" wrapText="1" readingOrder="1"/>
    </xf>
    <xf numFmtId="39" fontId="62" fillId="3" borderId="1" xfId="2152" applyFont="1" applyFill="1" applyBorder="1" applyAlignment="1">
      <alignment vertical="top" wrapText="1" readingOrder="1"/>
    </xf>
    <xf numFmtId="186" fontId="62" fillId="3" borderId="60" xfId="1592" applyNumberFormat="1" applyFont="1" applyFill="1" applyBorder="1" applyAlignment="1">
      <alignment horizontal="center"/>
    </xf>
    <xf numFmtId="39" fontId="62" fillId="3" borderId="2" xfId="2152" applyFont="1" applyFill="1" applyBorder="1" applyAlignment="1">
      <alignment vertical="top" wrapText="1" readingOrder="1"/>
    </xf>
    <xf numFmtId="186" fontId="61" fillId="3" borderId="60" xfId="1592" applyNumberFormat="1" applyFont="1" applyFill="1" applyBorder="1" applyAlignment="1">
      <alignment horizontal="center"/>
    </xf>
    <xf numFmtId="0" fontId="61" fillId="0" borderId="0" xfId="2152" applyNumberFormat="1"/>
    <xf numFmtId="0" fontId="98" fillId="33" borderId="0" xfId="0" applyFont="1" applyFill="1"/>
    <xf numFmtId="0" fontId="98" fillId="0" borderId="0" xfId="0" applyFont="1"/>
    <xf numFmtId="186" fontId="98" fillId="0" borderId="0" xfId="1" applyNumberFormat="1" applyFont="1" applyFill="1"/>
    <xf numFmtId="0" fontId="99" fillId="0" borderId="61" xfId="0" applyFont="1" applyBorder="1" applyAlignment="1">
      <alignment horizontal="center" vertical="center"/>
    </xf>
    <xf numFmtId="0" fontId="99" fillId="0" borderId="60" xfId="0" applyFont="1" applyBorder="1" applyAlignment="1">
      <alignment horizontal="center" vertical="center"/>
    </xf>
    <xf numFmtId="186" fontId="99" fillId="0" borderId="60" xfId="1" applyNumberFormat="1" applyFont="1" applyFill="1" applyBorder="1" applyAlignment="1">
      <alignment horizontal="center" vertical="center"/>
    </xf>
    <xf numFmtId="0" fontId="98" fillId="3" borderId="6" xfId="0" applyFont="1" applyFill="1" applyBorder="1" applyAlignment="1">
      <alignment horizontal="center" vertical="center"/>
    </xf>
    <xf numFmtId="0" fontId="98" fillId="3" borderId="6" xfId="0" applyFont="1" applyFill="1" applyBorder="1" applyAlignment="1">
      <alignment vertical="center"/>
    </xf>
    <xf numFmtId="186" fontId="98" fillId="3" borderId="1" xfId="1" applyNumberFormat="1" applyFont="1" applyFill="1" applyBorder="1" applyAlignment="1"/>
    <xf numFmtId="186" fontId="98" fillId="3" borderId="10" xfId="1" applyNumberFormat="1" applyFont="1" applyFill="1" applyBorder="1" applyAlignment="1"/>
    <xf numFmtId="0" fontId="98" fillId="3" borderId="1" xfId="0" applyFont="1" applyFill="1" applyBorder="1" applyAlignment="1">
      <alignment horizontal="left" vertical="center" indent="3"/>
    </xf>
    <xf numFmtId="0" fontId="98" fillId="3" borderId="6" xfId="0" applyFont="1" applyFill="1" applyBorder="1" applyAlignment="1">
      <alignment horizontal="left" vertical="center" wrapText="1"/>
    </xf>
    <xf numFmtId="186" fontId="98" fillId="3" borderId="11" xfId="1" applyNumberFormat="1" applyFont="1" applyFill="1" applyBorder="1" applyAlignment="1"/>
    <xf numFmtId="186" fontId="98" fillId="3" borderId="6" xfId="1" applyNumberFormat="1" applyFont="1" applyFill="1" applyBorder="1" applyAlignment="1">
      <alignment vertical="center"/>
    </xf>
    <xf numFmtId="186" fontId="98" fillId="3" borderId="1" xfId="1" applyNumberFormat="1" applyFont="1" applyFill="1" applyBorder="1" applyAlignment="1">
      <alignment vertical="center"/>
    </xf>
    <xf numFmtId="0" fontId="98" fillId="3" borderId="1" xfId="0" applyFont="1" applyFill="1" applyBorder="1" applyAlignment="1">
      <alignment horizontal="left" vertical="center" wrapText="1"/>
    </xf>
    <xf numFmtId="186" fontId="98" fillId="3" borderId="3" xfId="1" applyNumberFormat="1" applyFont="1" applyFill="1" applyBorder="1" applyAlignment="1"/>
    <xf numFmtId="186" fontId="98" fillId="3" borderId="4" xfId="1" applyNumberFormat="1" applyFont="1" applyFill="1" applyBorder="1" applyAlignment="1"/>
    <xf numFmtId="186" fontId="100" fillId="3" borderId="6" xfId="1" applyNumberFormat="1" applyFont="1" applyFill="1" applyBorder="1" applyAlignment="1">
      <alignment vertical="center"/>
    </xf>
    <xf numFmtId="186" fontId="100" fillId="3" borderId="1" xfId="1" applyNumberFormat="1" applyFont="1" applyFill="1" applyBorder="1" applyAlignment="1">
      <alignment vertical="center"/>
    </xf>
    <xf numFmtId="0" fontId="98" fillId="3" borderId="6" xfId="0" applyFont="1" applyFill="1" applyBorder="1" applyAlignment="1">
      <alignment horizontal="left" vertical="center" indent="7"/>
    </xf>
    <xf numFmtId="0" fontId="98" fillId="3" borderId="5" xfId="0" applyFont="1" applyFill="1" applyBorder="1" applyAlignment="1">
      <alignment horizontal="center" vertical="center"/>
    </xf>
    <xf numFmtId="0" fontId="98" fillId="3" borderId="1" xfId="0" applyFont="1" applyFill="1" applyBorder="1" applyAlignment="1">
      <alignment horizontal="left" vertical="center" indent="14"/>
    </xf>
    <xf numFmtId="186" fontId="98" fillId="3" borderId="6" xfId="1" applyNumberFormat="1" applyFont="1" applyFill="1" applyBorder="1" applyAlignment="1"/>
    <xf numFmtId="0" fontId="98" fillId="3" borderId="6" xfId="0" applyFont="1" applyFill="1" applyBorder="1" applyAlignment="1">
      <alignment horizontal="left" vertical="center" indent="3"/>
    </xf>
    <xf numFmtId="0" fontId="98" fillId="3" borderId="1" xfId="0" applyFont="1" applyFill="1" applyBorder="1" applyAlignment="1">
      <alignment horizontal="center" vertical="center" wrapText="1"/>
    </xf>
    <xf numFmtId="0" fontId="98" fillId="3" borderId="1" xfId="0" applyFont="1" applyFill="1" applyBorder="1" applyAlignment="1">
      <alignment vertical="center"/>
    </xf>
    <xf numFmtId="0" fontId="98" fillId="3" borderId="1" xfId="0" applyFont="1" applyFill="1" applyBorder="1" applyAlignment="1">
      <alignment horizontal="left" vertical="center" wrapText="1" indent="3"/>
    </xf>
    <xf numFmtId="0" fontId="98" fillId="3" borderId="0" xfId="0" applyFont="1" applyFill="1" applyAlignment="1">
      <alignment horizontal="center" vertical="center"/>
    </xf>
    <xf numFmtId="0" fontId="98" fillId="3" borderId="0" xfId="0" applyFont="1" applyFill="1"/>
    <xf numFmtId="186" fontId="98" fillId="3" borderId="0" xfId="1" applyNumberFormat="1" applyFont="1" applyFill="1"/>
    <xf numFmtId="186" fontId="99" fillId="3" borderId="12" xfId="1" applyNumberFormat="1" applyFont="1" applyFill="1" applyBorder="1"/>
    <xf numFmtId="186" fontId="101" fillId="0" borderId="0" xfId="1" applyNumberFormat="1" applyFont="1" applyFill="1"/>
    <xf numFmtId="0" fontId="99" fillId="0" borderId="62" xfId="0" applyFont="1" applyBorder="1" applyAlignment="1">
      <alignment horizontal="center" vertical="center"/>
    </xf>
    <xf numFmtId="0" fontId="101" fillId="33" borderId="0" xfId="0" applyFont="1" applyFill="1"/>
    <xf numFmtId="186" fontId="101" fillId="33" borderId="0" xfId="1" applyNumberFormat="1" applyFont="1" applyFill="1"/>
    <xf numFmtId="186" fontId="98" fillId="33" borderId="0" xfId="0" applyNumberFormat="1" applyFont="1" applyFill="1"/>
    <xf numFmtId="0" fontId="94" fillId="4" borderId="0" xfId="2054" applyFill="1">
      <alignment vertical="top"/>
    </xf>
    <xf numFmtId="0" fontId="94" fillId="0" borderId="0" xfId="2054">
      <alignment vertical="top"/>
    </xf>
    <xf numFmtId="0" fontId="103" fillId="0" borderId="9" xfId="2054" applyFont="1" applyBorder="1" applyAlignment="1">
      <alignment horizontal="center" vertical="top"/>
    </xf>
    <xf numFmtId="0" fontId="103" fillId="0" borderId="2" xfId="2054" applyFont="1" applyBorder="1" applyAlignment="1">
      <alignment horizontal="center" vertical="top"/>
    </xf>
    <xf numFmtId="0" fontId="103" fillId="0" borderId="16" xfId="2054" applyFont="1" applyBorder="1" applyAlignment="1">
      <alignment horizontal="center" vertical="top"/>
    </xf>
    <xf numFmtId="0" fontId="103" fillId="0" borderId="0" xfId="2054" applyFont="1">
      <alignment vertical="top"/>
    </xf>
    <xf numFmtId="0" fontId="103" fillId="0" borderId="17" xfId="2054" applyFont="1" applyBorder="1" applyAlignment="1">
      <alignment horizontal="center" vertical="top"/>
    </xf>
    <xf numFmtId="186" fontId="94" fillId="36" borderId="5" xfId="1532" applyNumberFormat="1" applyFont="1" applyFill="1" applyBorder="1">
      <alignment vertical="top"/>
    </xf>
    <xf numFmtId="186" fontId="94" fillId="3" borderId="16" xfId="1532" applyNumberFormat="1" applyFont="1" applyFill="1" applyBorder="1">
      <alignment vertical="top"/>
    </xf>
    <xf numFmtId="0" fontId="94" fillId="0" borderId="0" xfId="0" applyFont="1" applyAlignment="1">
      <alignment vertical="top" wrapText="1"/>
    </xf>
    <xf numFmtId="186" fontId="94" fillId="3" borderId="5" xfId="1532" applyNumberFormat="1" applyFont="1" applyFill="1" applyBorder="1">
      <alignment vertical="top"/>
    </xf>
    <xf numFmtId="186" fontId="0" fillId="3" borderId="5" xfId="1532" applyNumberFormat="1" applyFont="1" applyFill="1" applyBorder="1">
      <alignment vertical="top"/>
    </xf>
    <xf numFmtId="186" fontId="0" fillId="3" borderId="16" xfId="1532" applyNumberFormat="1" applyFont="1" applyFill="1" applyBorder="1">
      <alignment vertical="top"/>
    </xf>
    <xf numFmtId="186" fontId="0" fillId="36" borderId="5" xfId="1532" applyNumberFormat="1" applyFont="1" applyFill="1" applyBorder="1">
      <alignment vertical="top"/>
    </xf>
    <xf numFmtId="0" fontId="103" fillId="0" borderId="1" xfId="2054" applyFont="1" applyBorder="1" applyAlignment="1">
      <alignment horizontal="center" vertical="top"/>
    </xf>
    <xf numFmtId="0" fontId="103" fillId="0" borderId="5" xfId="2054" applyFont="1" applyBorder="1" applyAlignment="1">
      <alignment horizontal="center" vertical="top"/>
    </xf>
    <xf numFmtId="186" fontId="0" fillId="33" borderId="5" xfId="1532" applyNumberFormat="1" applyFont="1" applyFill="1" applyBorder="1">
      <alignment vertical="top"/>
    </xf>
    <xf numFmtId="186" fontId="0" fillId="0" borderId="16" xfId="1532" applyNumberFormat="1" applyFont="1" applyFill="1" applyBorder="1">
      <alignment vertical="top"/>
    </xf>
    <xf numFmtId="186" fontId="0" fillId="0" borderId="5" xfId="1532" applyNumberFormat="1" applyFont="1" applyFill="1" applyBorder="1">
      <alignment vertical="top"/>
    </xf>
    <xf numFmtId="186" fontId="0" fillId="37" borderId="5" xfId="1532" applyNumberFormat="1" applyFont="1" applyFill="1" applyBorder="1">
      <alignment vertical="top"/>
    </xf>
    <xf numFmtId="186" fontId="94" fillId="0" borderId="0" xfId="2054" applyNumberFormat="1">
      <alignment vertical="top"/>
    </xf>
    <xf numFmtId="186" fontId="0" fillId="37" borderId="16" xfId="1532" applyNumberFormat="1" applyFont="1" applyFill="1" applyBorder="1">
      <alignment vertical="top"/>
    </xf>
    <xf numFmtId="186" fontId="0" fillId="33" borderId="16" xfId="1532" applyNumberFormat="1" applyFont="1" applyFill="1" applyBorder="1">
      <alignment vertical="top"/>
    </xf>
    <xf numFmtId="9" fontId="94" fillId="0" borderId="0" xfId="2" applyFont="1" applyFill="1" applyAlignment="1">
      <alignment vertical="top"/>
    </xf>
    <xf numFmtId="0" fontId="0" fillId="0" borderId="0" xfId="0" applyAlignment="1">
      <alignment vertical="top"/>
    </xf>
    <xf numFmtId="0" fontId="94" fillId="0" borderId="0" xfId="2054" applyAlignment="1">
      <alignment horizontal="left" vertical="top"/>
    </xf>
    <xf numFmtId="186" fontId="0" fillId="36" borderId="16" xfId="1532" applyNumberFormat="1" applyFont="1" applyFill="1" applyBorder="1">
      <alignment vertical="top"/>
    </xf>
    <xf numFmtId="186" fontId="94" fillId="36" borderId="16" xfId="1532" applyNumberFormat="1" applyFont="1" applyFill="1" applyBorder="1">
      <alignment vertical="top"/>
    </xf>
    <xf numFmtId="0" fontId="94" fillId="4" borderId="0" xfId="0" applyFont="1" applyFill="1" applyAlignment="1">
      <alignment horizontal="left" vertical="top" wrapText="1"/>
    </xf>
    <xf numFmtId="9" fontId="94" fillId="4" borderId="0" xfId="2" applyFont="1" applyFill="1" applyAlignment="1">
      <alignment vertical="top"/>
    </xf>
    <xf numFmtId="186" fontId="0" fillId="0" borderId="5" xfId="1" applyNumberFormat="1" applyFont="1" applyFill="1" applyBorder="1" applyAlignment="1">
      <alignment vertical="top"/>
    </xf>
    <xf numFmtId="186" fontId="94" fillId="0" borderId="0" xfId="1" applyNumberFormat="1" applyFont="1" applyFill="1" applyAlignment="1">
      <alignment vertical="top"/>
    </xf>
    <xf numFmtId="186" fontId="94" fillId="4" borderId="5" xfId="1532" applyNumberFormat="1" applyFont="1" applyFill="1" applyBorder="1">
      <alignment vertical="top"/>
    </xf>
    <xf numFmtId="186" fontId="94" fillId="4" borderId="16" xfId="1532" applyNumberFormat="1" applyFont="1" applyFill="1" applyBorder="1">
      <alignment vertical="top"/>
    </xf>
    <xf numFmtId="0" fontId="94" fillId="0" borderId="11" xfId="2054" applyBorder="1">
      <alignment vertical="top"/>
    </xf>
    <xf numFmtId="0" fontId="94" fillId="0" borderId="30" xfId="2054" applyBorder="1">
      <alignment vertical="top"/>
    </xf>
    <xf numFmtId="186" fontId="94" fillId="3" borderId="6" xfId="1532" applyNumberFormat="1" applyFont="1" applyFill="1" applyBorder="1">
      <alignment vertical="top"/>
    </xf>
    <xf numFmtId="186" fontId="94" fillId="3" borderId="10" xfId="1532" applyNumberFormat="1" applyFont="1" applyFill="1" applyBorder="1">
      <alignment vertical="top"/>
    </xf>
    <xf numFmtId="186" fontId="103" fillId="3" borderId="39" xfId="1532" applyNumberFormat="1" applyFont="1" applyFill="1" applyBorder="1">
      <alignment vertical="top"/>
    </xf>
    <xf numFmtId="186" fontId="103" fillId="3" borderId="12" xfId="1532" applyNumberFormat="1" applyFont="1" applyFill="1" applyBorder="1">
      <alignment vertical="top"/>
    </xf>
    <xf numFmtId="186" fontId="0" fillId="0" borderId="0" xfId="1" applyNumberFormat="1" applyFont="1" applyFill="1" applyAlignment="1">
      <alignment vertical="top"/>
    </xf>
    <xf numFmtId="186" fontId="0" fillId="0" borderId="0" xfId="1532" applyNumberFormat="1" applyFont="1" applyFill="1">
      <alignment vertical="top"/>
    </xf>
    <xf numFmtId="186" fontId="0" fillId="4" borderId="5" xfId="1532" applyNumberFormat="1" applyFont="1" applyFill="1" applyBorder="1">
      <alignment vertical="top"/>
    </xf>
    <xf numFmtId="186" fontId="0" fillId="4" borderId="16" xfId="1532" applyNumberFormat="1" applyFont="1" applyFill="1" applyBorder="1">
      <alignment vertical="top"/>
    </xf>
    <xf numFmtId="186" fontId="0" fillId="0" borderId="6" xfId="1532" applyNumberFormat="1" applyFont="1" applyFill="1" applyBorder="1">
      <alignment vertical="top"/>
    </xf>
    <xf numFmtId="186" fontId="0" fillId="0" borderId="10" xfId="1532" applyNumberFormat="1" applyFont="1" applyFill="1" applyBorder="1">
      <alignment vertical="top"/>
    </xf>
    <xf numFmtId="164" fontId="103" fillId="0" borderId="39" xfId="1532" applyFont="1" applyFill="1" applyBorder="1">
      <alignment vertical="top"/>
    </xf>
    <xf numFmtId="228" fontId="103" fillId="0" borderId="12" xfId="1532" applyNumberFormat="1" applyFont="1" applyFill="1" applyBorder="1">
      <alignment vertical="top"/>
    </xf>
    <xf numFmtId="186" fontId="103" fillId="0" borderId="63" xfId="1532" applyNumberFormat="1" applyFont="1" applyFill="1" applyBorder="1">
      <alignment vertical="top"/>
    </xf>
    <xf numFmtId="186" fontId="103" fillId="0" borderId="12" xfId="1532" applyNumberFormat="1" applyFont="1" applyFill="1" applyBorder="1">
      <alignment vertical="top"/>
    </xf>
    <xf numFmtId="164" fontId="0" fillId="0" borderId="0" xfId="1532" applyFont="1" applyFill="1">
      <alignment vertical="top"/>
    </xf>
    <xf numFmtId="164" fontId="94" fillId="0" borderId="0" xfId="2054" applyNumberFormat="1">
      <alignment vertical="top"/>
    </xf>
    <xf numFmtId="186" fontId="104" fillId="0" borderId="0" xfId="2054" applyNumberFormat="1" applyFont="1">
      <alignment vertical="top"/>
    </xf>
    <xf numFmtId="164" fontId="0" fillId="0" borderId="0" xfId="1" applyFont="1" applyFill="1" applyAlignment="1">
      <alignment vertical="top"/>
    </xf>
    <xf numFmtId="164" fontId="94" fillId="0" borderId="0" xfId="1" applyFont="1" applyFill="1" applyAlignment="1">
      <alignment vertical="top"/>
    </xf>
    <xf numFmtId="0" fontId="59" fillId="0" borderId="0" xfId="0" applyFont="1"/>
    <xf numFmtId="0" fontId="59" fillId="0" borderId="0" xfId="0" applyFont="1" applyAlignment="1">
      <alignment horizontal="center"/>
    </xf>
    <xf numFmtId="0" fontId="0" fillId="0" borderId="1" xfId="0" applyBorder="1" applyAlignment="1">
      <alignment horizontal="center"/>
    </xf>
    <xf numFmtId="186" fontId="0" fillId="0" borderId="1" xfId="1" applyNumberFormat="1" applyFont="1" applyBorder="1" applyAlignment="1">
      <alignment horizontal="center"/>
    </xf>
    <xf numFmtId="0" fontId="0" fillId="0" borderId="7" xfId="0" applyBorder="1"/>
    <xf numFmtId="186" fontId="0" fillId="0" borderId="2" xfId="1" applyNumberFormat="1" applyFont="1" applyBorder="1"/>
    <xf numFmtId="0" fontId="0" fillId="0" borderId="17" xfId="0" applyBorder="1"/>
    <xf numFmtId="0" fontId="0" fillId="0" borderId="8" xfId="0" applyBorder="1"/>
    <xf numFmtId="186" fontId="0" fillId="0" borderId="5" xfId="1" applyNumberFormat="1" applyFont="1" applyBorder="1"/>
    <xf numFmtId="0" fontId="0" fillId="0" borderId="16" xfId="0" applyBorder="1"/>
    <xf numFmtId="0" fontId="0" fillId="0" borderId="11" xfId="0" applyBorder="1"/>
    <xf numFmtId="0" fontId="0" fillId="0" borderId="16" xfId="0" applyBorder="1" applyAlignment="1">
      <alignment horizontal="center"/>
    </xf>
    <xf numFmtId="186" fontId="0" fillId="0" borderId="2" xfId="1" applyNumberFormat="1" applyFont="1" applyFill="1" applyBorder="1"/>
    <xf numFmtId="0" fontId="0" fillId="0" borderId="6" xfId="0" applyBorder="1" applyAlignment="1">
      <alignment horizontal="center"/>
    </xf>
    <xf numFmtId="0" fontId="0" fillId="0" borderId="30" xfId="0" applyBorder="1"/>
    <xf numFmtId="186" fontId="94" fillId="0" borderId="1" xfId="1" applyNumberFormat="1" applyFont="1" applyFill="1" applyBorder="1" applyAlignment="1">
      <alignment vertical="top"/>
    </xf>
    <xf numFmtId="0" fontId="94" fillId="0" borderId="0" xfId="2054" applyAlignment="1">
      <alignment vertical="top" wrapText="1"/>
    </xf>
    <xf numFmtId="186" fontId="94" fillId="0" borderId="1" xfId="1" applyNumberFormat="1" applyFont="1" applyFill="1" applyBorder="1" applyAlignment="1">
      <alignment horizontal="center" vertical="top" wrapText="1"/>
    </xf>
    <xf numFmtId="186" fontId="103" fillId="0" borderId="1" xfId="1" applyNumberFormat="1" applyFont="1" applyFill="1" applyBorder="1" applyAlignment="1">
      <alignment horizontal="center" vertical="top" wrapText="1"/>
    </xf>
    <xf numFmtId="0" fontId="103" fillId="0" borderId="0" xfId="2054" applyFont="1" applyAlignment="1">
      <alignment vertical="top" wrapText="1"/>
    </xf>
    <xf numFmtId="186" fontId="94" fillId="4" borderId="1" xfId="1" applyNumberFormat="1" applyFont="1" applyFill="1" applyBorder="1" applyAlignment="1">
      <alignment vertical="top"/>
    </xf>
    <xf numFmtId="0" fontId="108" fillId="0" borderId="0" xfId="2054" applyFont="1" applyAlignment="1">
      <alignment vertical="top" wrapText="1"/>
    </xf>
    <xf numFmtId="186" fontId="103" fillId="0" borderId="0" xfId="1" applyNumberFormat="1" applyFont="1" applyFill="1" applyAlignment="1">
      <alignment horizontal="center" vertical="top" wrapText="1"/>
    </xf>
    <xf numFmtId="186" fontId="103" fillId="0" borderId="12" xfId="1" applyNumberFormat="1" applyFont="1" applyFill="1" applyBorder="1" applyAlignment="1">
      <alignment horizontal="center" vertical="top" wrapText="1"/>
    </xf>
    <xf numFmtId="186" fontId="94" fillId="0" borderId="0" xfId="1" applyNumberFormat="1" applyFont="1" applyFill="1" applyBorder="1" applyAlignment="1">
      <alignment vertical="top"/>
    </xf>
    <xf numFmtId="186" fontId="94" fillId="0" borderId="0" xfId="1" applyNumberFormat="1" applyFont="1" applyFill="1" applyAlignment="1">
      <alignment horizontal="center" vertical="top" wrapText="1"/>
    </xf>
    <xf numFmtId="186" fontId="103" fillId="0" borderId="0" xfId="1" applyNumberFormat="1" applyFont="1" applyFill="1" applyAlignment="1">
      <alignment vertical="top" wrapText="1"/>
    </xf>
    <xf numFmtId="39" fontId="61" fillId="3" borderId="1" xfId="2152" quotePrefix="1" applyFill="1" applyBorder="1" applyAlignment="1">
      <alignment horizontal="center" vertical="center"/>
    </xf>
    <xf numFmtId="186" fontId="61" fillId="3" borderId="1" xfId="1" quotePrefix="1" applyNumberFormat="1" applyFont="1" applyFill="1" applyBorder="1"/>
    <xf numFmtId="37" fontId="61" fillId="3" borderId="1" xfId="2152" quotePrefix="1" applyNumberFormat="1" applyFill="1" applyBorder="1"/>
    <xf numFmtId="37" fontId="70" fillId="0" borderId="0" xfId="2222" quotePrefix="1" applyFont="1"/>
    <xf numFmtId="37" fontId="69" fillId="0" borderId="0" xfId="2222" quotePrefix="1" applyFont="1" applyAlignment="1">
      <alignment horizontal="left"/>
    </xf>
    <xf numFmtId="37" fontId="70" fillId="0" borderId="0" xfId="2222" quotePrefix="1" applyFont="1" applyAlignment="1">
      <alignment horizontal="left"/>
    </xf>
    <xf numFmtId="186" fontId="27" fillId="3" borderId="0" xfId="1" quotePrefix="1" applyNumberFormat="1" applyFont="1" applyFill="1" applyAlignment="1">
      <alignment horizontal="left"/>
    </xf>
    <xf numFmtId="186" fontId="66" fillId="3" borderId="0" xfId="2214" quotePrefix="1" applyNumberFormat="1" applyFont="1" applyFill="1"/>
    <xf numFmtId="186" fontId="33" fillId="0" borderId="0" xfId="1" quotePrefix="1" applyNumberFormat="1" applyFont="1"/>
    <xf numFmtId="186" fontId="66" fillId="0" borderId="0" xfId="1" quotePrefix="1" applyNumberFormat="1" applyFont="1"/>
    <xf numFmtId="186" fontId="33" fillId="0" borderId="0" xfId="1" quotePrefix="1" applyNumberFormat="1" applyFont="1" applyAlignment="1">
      <alignment horizontal="right"/>
    </xf>
    <xf numFmtId="0" fontId="51" fillId="0" borderId="0" xfId="2015" quotePrefix="1" applyFont="1"/>
    <xf numFmtId="37" fontId="38" fillId="0" borderId="0" xfId="2222" quotePrefix="1" applyFont="1" applyAlignment="1">
      <alignment horizontal="center"/>
    </xf>
    <xf numFmtId="37" fontId="37" fillId="0" borderId="0" xfId="2222" quotePrefix="1" applyFont="1" applyAlignment="1">
      <alignment horizontal="center"/>
    </xf>
    <xf numFmtId="49" fontId="42" fillId="3" borderId="5" xfId="2056" quotePrefix="1" applyNumberFormat="1" applyFont="1" applyFill="1" applyBorder="1" applyAlignment="1">
      <alignment horizontal="center" vertical="center" wrapText="1"/>
    </xf>
    <xf numFmtId="186" fontId="37" fillId="0" borderId="0" xfId="1535" quotePrefix="1" applyNumberFormat="1" applyFont="1" applyFill="1" applyAlignment="1"/>
    <xf numFmtId="186" fontId="37" fillId="0" borderId="0" xfId="1535" quotePrefix="1" applyNumberFormat="1" applyFont="1" applyAlignment="1"/>
    <xf numFmtId="0" fontId="14" fillId="0" borderId="0" xfId="2219" quotePrefix="1" applyFont="1" applyAlignment="1">
      <alignment horizontal="center"/>
    </xf>
    <xf numFmtId="186" fontId="223" fillId="3" borderId="0" xfId="1" applyNumberFormat="1" applyFont="1" applyFill="1"/>
    <xf numFmtId="186" fontId="107" fillId="0" borderId="1" xfId="1" applyNumberFormat="1" applyFont="1" applyFill="1" applyBorder="1" applyAlignment="1">
      <alignment horizontal="center" vertical="center"/>
    </xf>
    <xf numFmtId="0" fontId="108" fillId="0" borderId="0" xfId="2054" applyFont="1" applyAlignment="1">
      <alignment horizontal="left" vertical="top" wrapText="1"/>
    </xf>
    <xf numFmtId="0" fontId="103" fillId="0" borderId="0" xfId="2054" applyFont="1" applyAlignment="1">
      <alignment horizontal="left" vertical="top" wrapText="1"/>
    </xf>
    <xf numFmtId="186" fontId="45" fillId="0" borderId="1" xfId="1" applyNumberFormat="1" applyFont="1" applyFill="1" applyBorder="1" applyAlignment="1">
      <alignment horizontal="center" vertical="top" wrapText="1" readingOrder="1"/>
    </xf>
    <xf numFmtId="0" fontId="45" fillId="0" borderId="0" xfId="2054" applyFont="1" applyAlignment="1">
      <alignment horizontal="center" vertical="top" wrapText="1" readingOrder="1"/>
    </xf>
    <xf numFmtId="0" fontId="105" fillId="0" borderId="0" xfId="2054" applyFont="1" applyAlignment="1">
      <alignment horizontal="center" vertical="top" wrapText="1"/>
    </xf>
    <xf numFmtId="0" fontId="106" fillId="0" borderId="0" xfId="2054" applyFont="1" applyAlignment="1">
      <alignment horizontal="center" vertical="top" wrapText="1" readingOrder="1"/>
    </xf>
    <xf numFmtId="0" fontId="59" fillId="0" borderId="0" xfId="0" applyFont="1" applyAlignment="1">
      <alignment horizontal="center"/>
    </xf>
    <xf numFmtId="0" fontId="59" fillId="0" borderId="10" xfId="0" applyFont="1" applyBorder="1" applyAlignment="1">
      <alignment horizontal="center"/>
    </xf>
    <xf numFmtId="0" fontId="103" fillId="0" borderId="3" xfId="2054" applyFont="1" applyBorder="1" applyAlignment="1">
      <alignment horizontal="center" vertical="top"/>
    </xf>
    <xf numFmtId="0" fontId="103" fillId="0" borderId="9" xfId="2054" applyFont="1" applyBorder="1" applyAlignment="1">
      <alignment horizontal="center" vertical="top"/>
    </xf>
    <xf numFmtId="0" fontId="103" fillId="0" borderId="13" xfId="2054" applyFont="1" applyBorder="1" applyAlignment="1">
      <alignment horizontal="center" vertical="top"/>
    </xf>
    <xf numFmtId="0" fontId="94" fillId="0" borderId="2" xfId="2054" applyBorder="1" applyAlignment="1">
      <alignment horizontal="center" vertical="top"/>
    </xf>
    <xf numFmtId="0" fontId="94" fillId="0" borderId="6" xfId="2054" applyBorder="1" applyAlignment="1">
      <alignment horizontal="center" vertical="top"/>
    </xf>
    <xf numFmtId="0" fontId="94" fillId="0" borderId="1" xfId="2054" applyBorder="1" applyAlignment="1">
      <alignment horizontal="center" vertical="top"/>
    </xf>
    <xf numFmtId="37" fontId="102" fillId="0" borderId="0" xfId="2054" applyNumberFormat="1" applyFont="1" applyAlignment="1">
      <alignment horizontal="center" vertical="top"/>
    </xf>
    <xf numFmtId="0" fontId="102" fillId="0" borderId="0" xfId="2054" applyFont="1" applyAlignment="1">
      <alignment horizontal="center" vertical="top"/>
    </xf>
    <xf numFmtId="0" fontId="98" fillId="3" borderId="2" xfId="0" applyFont="1" applyFill="1" applyBorder="1" applyAlignment="1">
      <alignment horizontal="center" vertical="center"/>
    </xf>
    <xf numFmtId="0" fontId="98" fillId="3" borderId="5" xfId="0" applyFont="1" applyFill="1" applyBorder="1" applyAlignment="1">
      <alignment horizontal="center" vertical="center"/>
    </xf>
    <xf numFmtId="0" fontId="98" fillId="3" borderId="6" xfId="0" applyFont="1" applyFill="1" applyBorder="1" applyAlignment="1">
      <alignment horizontal="center" vertical="center"/>
    </xf>
    <xf numFmtId="0" fontId="98" fillId="3" borderId="1" xfId="0" applyFont="1" applyFill="1" applyBorder="1" applyAlignment="1">
      <alignment horizontal="center" vertical="center"/>
    </xf>
    <xf numFmtId="0" fontId="99" fillId="0" borderId="0" xfId="0" applyFont="1" applyAlignment="1">
      <alignment horizontal="center"/>
    </xf>
    <xf numFmtId="39" fontId="62" fillId="3" borderId="51" xfId="2152" applyFont="1" applyFill="1" applyBorder="1" applyAlignment="1">
      <alignment horizontal="center"/>
    </xf>
    <xf numFmtId="39" fontId="62" fillId="3" borderId="12" xfId="2152" applyFont="1" applyFill="1" applyBorder="1" applyAlignment="1">
      <alignment horizontal="center"/>
    </xf>
    <xf numFmtId="39" fontId="62" fillId="3" borderId="10" xfId="2152" applyFont="1" applyFill="1" applyBorder="1" applyAlignment="1">
      <alignment horizontal="left"/>
    </xf>
    <xf numFmtId="164" fontId="62" fillId="3" borderId="0" xfId="1592" applyFont="1" applyFill="1" applyAlignment="1">
      <alignment horizontal="center"/>
    </xf>
    <xf numFmtId="39" fontId="93" fillId="3" borderId="0" xfId="2152" applyFont="1" applyFill="1" applyAlignment="1">
      <alignment horizontal="center"/>
    </xf>
    <xf numFmtId="0" fontId="87" fillId="0" borderId="0" xfId="2129" applyFont="1" applyAlignment="1">
      <alignment horizontal="center" vertical="justify"/>
    </xf>
    <xf numFmtId="0" fontId="90" fillId="0" borderId="0" xfId="2129" applyFont="1" applyAlignment="1">
      <alignment horizontal="center" vertical="justify"/>
    </xf>
    <xf numFmtId="0" fontId="62" fillId="0" borderId="0" xfId="2129" applyFont="1" applyAlignment="1">
      <alignment horizontal="center"/>
    </xf>
    <xf numFmtId="0" fontId="89" fillId="0" borderId="0" xfId="2129" applyFont="1" applyAlignment="1">
      <alignment horizontal="center"/>
    </xf>
    <xf numFmtId="186" fontId="33" fillId="3" borderId="10" xfId="1" applyNumberFormat="1" applyFont="1" applyFill="1" applyBorder="1" applyAlignment="1">
      <alignment horizontal="center"/>
    </xf>
    <xf numFmtId="186" fontId="33" fillId="3" borderId="0" xfId="1" applyNumberFormat="1" applyFont="1" applyFill="1" applyBorder="1" applyAlignment="1">
      <alignment horizontal="center"/>
    </xf>
    <xf numFmtId="186" fontId="33" fillId="3" borderId="0" xfId="1" applyNumberFormat="1" applyFont="1" applyFill="1" applyBorder="1" applyAlignment="1" applyProtection="1">
      <alignment horizontal="right"/>
    </xf>
    <xf numFmtId="186" fontId="62" fillId="0" borderId="0" xfId="1" applyNumberFormat="1" applyFont="1" applyAlignment="1">
      <alignment horizontal="left" vertical="top"/>
    </xf>
    <xf numFmtId="37" fontId="33" fillId="3" borderId="0" xfId="2222" applyFont="1" applyFill="1" applyAlignment="1">
      <alignment horizontal="left" vertical="top" wrapText="1"/>
    </xf>
    <xf numFmtId="37" fontId="27" fillId="3" borderId="0" xfId="0" applyNumberFormat="1" applyFont="1" applyFill="1" applyAlignment="1">
      <alignment horizontal="justify" vertical="top" wrapText="1"/>
    </xf>
    <xf numFmtId="0" fontId="27" fillId="3" borderId="0" xfId="2222" applyNumberFormat="1" applyFont="1" applyFill="1" applyAlignment="1">
      <alignment horizontal="justify" vertical="top" wrapText="1"/>
    </xf>
    <xf numFmtId="186" fontId="27" fillId="3" borderId="0" xfId="2214" applyNumberFormat="1" applyFont="1" applyFill="1" applyAlignment="1">
      <alignment vertical="center"/>
    </xf>
    <xf numFmtId="0" fontId="27" fillId="3" borderId="0" xfId="2056" applyFont="1" applyFill="1" applyAlignment="1">
      <alignment horizontal="justify" vertical="top" wrapText="1"/>
    </xf>
    <xf numFmtId="0" fontId="27" fillId="3" borderId="0" xfId="0" applyFont="1" applyFill="1" applyAlignment="1">
      <alignment horizontal="justify" vertical="top" wrapText="1"/>
    </xf>
    <xf numFmtId="0" fontId="63" fillId="3" borderId="0" xfId="2214" applyFont="1" applyFill="1" applyAlignment="1">
      <alignment horizontal="justify" vertical="top" wrapText="1"/>
    </xf>
    <xf numFmtId="0" fontId="66" fillId="3" borderId="0" xfId="2214" applyFont="1" applyFill="1" applyAlignment="1">
      <alignment horizontal="left" vertical="top" wrapText="1"/>
    </xf>
    <xf numFmtId="0" fontId="63" fillId="3" borderId="0" xfId="0" applyFont="1" applyFill="1" applyAlignment="1">
      <alignment horizontal="left" vertical="top" wrapText="1"/>
    </xf>
    <xf numFmtId="37" fontId="33" fillId="3" borderId="0" xfId="0" applyNumberFormat="1" applyFont="1" applyFill="1" applyAlignment="1">
      <alignment horizontal="justify" vertical="top" wrapText="1"/>
    </xf>
    <xf numFmtId="186" fontId="27" fillId="3" borderId="0" xfId="2214" applyNumberFormat="1" applyFont="1" applyFill="1" applyAlignment="1">
      <alignment horizontal="justify" vertical="top" wrapText="1"/>
    </xf>
    <xf numFmtId="186" fontId="63" fillId="3" borderId="0" xfId="2214" applyNumberFormat="1" applyFont="1" applyFill="1" applyAlignment="1">
      <alignment horizontal="justify" vertical="center"/>
    </xf>
    <xf numFmtId="0" fontId="27" fillId="3" borderId="0" xfId="0" applyFont="1" applyFill="1" applyAlignment="1">
      <alignment horizontal="center" vertical="top" wrapText="1"/>
    </xf>
    <xf numFmtId="186" fontId="63" fillId="3" borderId="0" xfId="2214" applyNumberFormat="1" applyFont="1" applyFill="1" applyAlignment="1">
      <alignment horizontal="justify" vertical="top" wrapText="1"/>
    </xf>
    <xf numFmtId="0" fontId="76" fillId="0" borderId="0" xfId="0" applyFont="1" applyAlignment="1">
      <alignment horizontal="justify" vertical="center"/>
    </xf>
    <xf numFmtId="0" fontId="77" fillId="0" borderId="0" xfId="0" applyFont="1" applyAlignment="1">
      <alignment horizontal="justify" vertical="center"/>
    </xf>
    <xf numFmtId="0" fontId="27" fillId="3" borderId="0" xfId="2223" applyFont="1" applyFill="1" applyAlignment="1">
      <alignment horizontal="justify" vertical="top" wrapText="1"/>
    </xf>
    <xf numFmtId="37" fontId="27" fillId="3" borderId="0" xfId="2222" applyFont="1" applyFill="1"/>
    <xf numFmtId="37" fontId="66" fillId="4" borderId="0" xfId="0" applyNumberFormat="1" applyFont="1" applyFill="1" applyAlignment="1">
      <alignment horizontal="justify" vertical="top" wrapText="1"/>
    </xf>
    <xf numFmtId="186" fontId="27" fillId="3" borderId="0" xfId="1399" applyNumberFormat="1" applyFont="1" applyFill="1" applyAlignment="1">
      <alignment wrapText="1"/>
    </xf>
    <xf numFmtId="0" fontId="27" fillId="3" borderId="0" xfId="2056" applyFont="1" applyFill="1" applyAlignment="1">
      <alignment horizontal="justify" vertical="top"/>
    </xf>
    <xf numFmtId="0" fontId="30" fillId="3" borderId="0" xfId="2222" applyNumberFormat="1" applyFont="1" applyFill="1" applyAlignment="1">
      <alignment vertical="center" wrapText="1"/>
    </xf>
    <xf numFmtId="0" fontId="32" fillId="3" borderId="0" xfId="2222" applyNumberFormat="1" applyFont="1" applyFill="1" applyAlignment="1">
      <alignment horizontal="justify" vertical="top" wrapText="1"/>
    </xf>
    <xf numFmtId="37" fontId="62" fillId="3" borderId="0" xfId="2222" applyFont="1" applyFill="1" applyAlignment="1">
      <alignment horizontal="left"/>
    </xf>
    <xf numFmtId="37" fontId="33" fillId="3" borderId="0" xfId="2222" applyFont="1" applyFill="1" applyAlignment="1">
      <alignment horizontal="center"/>
    </xf>
    <xf numFmtId="37" fontId="33" fillId="3" borderId="0" xfId="2222" applyFont="1" applyFill="1" applyAlignment="1">
      <alignment horizontal="left"/>
    </xf>
    <xf numFmtId="0" fontId="63" fillId="3" borderId="0" xfId="0" applyFont="1" applyFill="1" applyAlignment="1">
      <alignment horizontal="justify" vertical="top" wrapText="1"/>
    </xf>
    <xf numFmtId="0" fontId="70" fillId="3" borderId="3" xfId="2056" applyFont="1" applyFill="1" applyBorder="1" applyAlignment="1">
      <alignment horizontal="center"/>
    </xf>
    <xf numFmtId="0" fontId="70" fillId="3" borderId="4" xfId="2056" applyFont="1" applyFill="1" applyBorder="1" applyAlignment="1">
      <alignment horizontal="center"/>
    </xf>
    <xf numFmtId="0" fontId="70" fillId="3" borderId="9" xfId="2056" applyFont="1" applyFill="1" applyBorder="1" applyAlignment="1">
      <alignment horizontal="center"/>
    </xf>
    <xf numFmtId="0" fontId="70" fillId="3" borderId="3" xfId="2056" quotePrefix="1" applyFont="1" applyFill="1" applyBorder="1" applyAlignment="1">
      <alignment horizontal="center" vertical="center"/>
    </xf>
    <xf numFmtId="0" fontId="70" fillId="3" borderId="4" xfId="2056" applyFont="1" applyFill="1" applyBorder="1" applyAlignment="1">
      <alignment horizontal="center" vertical="center"/>
    </xf>
    <xf numFmtId="0" fontId="70" fillId="3" borderId="9" xfId="2056" applyFont="1" applyFill="1" applyBorder="1" applyAlignment="1">
      <alignment horizontal="center" vertical="center"/>
    </xf>
    <xf numFmtId="0" fontId="70" fillId="3" borderId="0" xfId="2056" applyFont="1" applyFill="1" applyAlignment="1">
      <alignment horizontal="left" vertical="top" wrapText="1"/>
    </xf>
    <xf numFmtId="49" fontId="70" fillId="3" borderId="2" xfId="2056" applyNumberFormat="1" applyFont="1" applyFill="1" applyBorder="1" applyAlignment="1">
      <alignment horizontal="center" vertical="center" wrapText="1"/>
    </xf>
    <xf numFmtId="49" fontId="70" fillId="3" borderId="5" xfId="2056" applyNumberFormat="1" applyFont="1" applyFill="1" applyBorder="1" applyAlignment="1">
      <alignment horizontal="center" vertical="center" wrapText="1"/>
    </xf>
    <xf numFmtId="0" fontId="58" fillId="0" borderId="2" xfId="2142" applyFont="1" applyBorder="1" applyAlignment="1">
      <alignment horizontal="center" vertical="center" wrapText="1"/>
    </xf>
    <xf numFmtId="0" fontId="58" fillId="0" borderId="5" xfId="2142" applyFont="1" applyBorder="1" applyAlignment="1">
      <alignment horizontal="center" vertical="center" wrapText="1"/>
    </xf>
    <xf numFmtId="0" fontId="58" fillId="0" borderId="6" xfId="2142" applyFont="1" applyBorder="1" applyAlignment="1">
      <alignment horizontal="center" vertical="center" wrapText="1"/>
    </xf>
    <xf numFmtId="186" fontId="55" fillId="0" borderId="3" xfId="1540" applyNumberFormat="1" applyFont="1" applyFill="1" applyBorder="1" applyAlignment="1">
      <alignment horizontal="center" vertical="center" wrapText="1"/>
    </xf>
    <xf numFmtId="186" fontId="55" fillId="0" borderId="4" xfId="1540" applyNumberFormat="1" applyFont="1" applyFill="1" applyBorder="1" applyAlignment="1">
      <alignment horizontal="center" vertical="center" wrapText="1"/>
    </xf>
    <xf numFmtId="186" fontId="55" fillId="0" borderId="9" xfId="1540" applyNumberFormat="1" applyFont="1" applyFill="1" applyBorder="1" applyAlignment="1">
      <alignment horizontal="center" vertical="center" wrapText="1"/>
    </xf>
    <xf numFmtId="186" fontId="55" fillId="0" borderId="2" xfId="1540" applyNumberFormat="1" applyFont="1" applyFill="1" applyBorder="1" applyAlignment="1">
      <alignment horizontal="center" vertical="center" wrapText="1"/>
    </xf>
    <xf numFmtId="186" fontId="55" fillId="0" borderId="5" xfId="1540" applyNumberFormat="1" applyFont="1" applyFill="1" applyBorder="1" applyAlignment="1">
      <alignment horizontal="center" vertical="center" wrapText="1"/>
    </xf>
    <xf numFmtId="186" fontId="55" fillId="0" borderId="6" xfId="1540" applyNumberFormat="1" applyFont="1" applyFill="1" applyBorder="1" applyAlignment="1">
      <alignment horizontal="center" vertical="center" wrapText="1"/>
    </xf>
    <xf numFmtId="186" fontId="56" fillId="0" borderId="2" xfId="1540" applyNumberFormat="1" applyFont="1" applyFill="1" applyBorder="1" applyAlignment="1">
      <alignment horizontal="center" vertical="center" wrapText="1"/>
    </xf>
    <xf numFmtId="186" fontId="56" fillId="0" borderId="6" xfId="1540" applyNumberFormat="1" applyFont="1" applyFill="1" applyBorder="1" applyAlignment="1">
      <alignment horizontal="center" vertical="center" wrapText="1"/>
    </xf>
    <xf numFmtId="186" fontId="56" fillId="0" borderId="5" xfId="1540" applyNumberFormat="1" applyFont="1" applyFill="1" applyBorder="1" applyAlignment="1">
      <alignment horizontal="center" vertical="center" wrapText="1"/>
    </xf>
    <xf numFmtId="186" fontId="27" fillId="0" borderId="0" xfId="1" applyNumberFormat="1" applyFont="1" applyAlignment="1">
      <alignment horizontal="justify" wrapText="1"/>
    </xf>
    <xf numFmtId="186" fontId="27" fillId="0" borderId="0" xfId="1" applyNumberFormat="1" applyFont="1" applyAlignment="1">
      <alignment horizontal="justify" vertical="top" wrapText="1"/>
    </xf>
    <xf numFmtId="186" fontId="63" fillId="4" borderId="0" xfId="1" applyNumberFormat="1" applyFont="1" applyFill="1" applyAlignment="1">
      <alignment horizontal="justify" vertical="top" wrapText="1"/>
    </xf>
    <xf numFmtId="186" fontId="66" fillId="3" borderId="0" xfId="1" applyNumberFormat="1" applyFont="1" applyFill="1" applyAlignment="1">
      <alignment horizontal="left" vertical="top" wrapText="1"/>
    </xf>
    <xf numFmtId="186" fontId="27" fillId="0" borderId="0" xfId="1" applyNumberFormat="1" applyFont="1" applyAlignment="1">
      <alignment horizontal="left" vertical="top" wrapText="1"/>
    </xf>
    <xf numFmtId="186" fontId="63" fillId="0" borderId="0" xfId="1" applyNumberFormat="1" applyFont="1" applyAlignment="1">
      <alignment horizontal="justify" vertical="top" wrapText="1"/>
    </xf>
    <xf numFmtId="186" fontId="27" fillId="3" borderId="0" xfId="1" applyNumberFormat="1" applyFont="1" applyFill="1" applyAlignment="1">
      <alignment horizontal="left" vertical="justify"/>
    </xf>
    <xf numFmtId="186" fontId="32" fillId="0" borderId="0" xfId="1" applyNumberFormat="1" applyFont="1" applyAlignment="1">
      <alignment horizontal="left" vertical="top" wrapText="1"/>
    </xf>
    <xf numFmtId="186" fontId="32" fillId="0" borderId="0" xfId="1" applyNumberFormat="1" applyFont="1" applyAlignment="1">
      <alignment vertical="top" wrapText="1"/>
    </xf>
    <xf numFmtId="186" fontId="27" fillId="35" borderId="3" xfId="1" applyNumberFormat="1" applyFont="1" applyFill="1" applyBorder="1" applyAlignment="1">
      <alignment horizontal="center"/>
    </xf>
    <xf numFmtId="186" fontId="27" fillId="35" borderId="4" xfId="1" applyNumberFormat="1" applyFont="1" applyFill="1" applyBorder="1" applyAlignment="1">
      <alignment horizontal="center"/>
    </xf>
    <xf numFmtId="186" fontId="27" fillId="35" borderId="9" xfId="1" applyNumberFormat="1" applyFont="1" applyFill="1" applyBorder="1" applyAlignment="1">
      <alignment horizontal="center"/>
    </xf>
    <xf numFmtId="186" fontId="32" fillId="35" borderId="3" xfId="1" applyNumberFormat="1" applyFont="1" applyFill="1" applyBorder="1" applyAlignment="1">
      <alignment horizontal="center"/>
    </xf>
    <xf numFmtId="186" fontId="32" fillId="35" borderId="9" xfId="1" applyNumberFormat="1" applyFont="1" applyFill="1" applyBorder="1" applyAlignment="1">
      <alignment horizontal="center"/>
    </xf>
    <xf numFmtId="186" fontId="27" fillId="0" borderId="3" xfId="1" applyNumberFormat="1" applyFont="1" applyBorder="1" applyAlignment="1">
      <alignment horizontal="center" vertical="center"/>
    </xf>
    <xf numFmtId="186" fontId="27" fillId="0" borderId="4" xfId="1" applyNumberFormat="1" applyFont="1" applyBorder="1" applyAlignment="1">
      <alignment horizontal="center" vertical="center"/>
    </xf>
    <xf numFmtId="186" fontId="27" fillId="0" borderId="9" xfId="1" applyNumberFormat="1" applyFont="1" applyBorder="1" applyAlignment="1">
      <alignment horizontal="center" vertical="center"/>
    </xf>
    <xf numFmtId="9" fontId="27" fillId="0" borderId="3" xfId="1" applyNumberFormat="1" applyFont="1" applyBorder="1" applyAlignment="1">
      <alignment horizontal="center" vertical="center"/>
    </xf>
    <xf numFmtId="9" fontId="27" fillId="0" borderId="9" xfId="1" applyNumberFormat="1" applyFont="1" applyBorder="1" applyAlignment="1">
      <alignment horizontal="center" vertical="center"/>
    </xf>
    <xf numFmtId="186" fontId="33" fillId="0" borderId="3" xfId="1" applyNumberFormat="1" applyFont="1" applyBorder="1" applyAlignment="1">
      <alignment horizontal="center" vertical="center"/>
    </xf>
    <xf numFmtId="186" fontId="33" fillId="0" borderId="9" xfId="1" applyNumberFormat="1" applyFont="1" applyBorder="1" applyAlignment="1">
      <alignment horizontal="center" vertical="center"/>
    </xf>
    <xf numFmtId="186" fontId="27" fillId="4" borderId="0" xfId="1" applyNumberFormat="1" applyFont="1" applyFill="1" applyAlignment="1">
      <alignment horizontal="justify" vertical="top" wrapText="1"/>
    </xf>
    <xf numFmtId="186" fontId="27" fillId="0" borderId="0" xfId="1" applyNumberFormat="1" applyFont="1" applyAlignment="1">
      <alignment horizontal="justify" vertical="top"/>
    </xf>
    <xf numFmtId="186" fontId="33" fillId="0" borderId="0" xfId="1" applyNumberFormat="1" applyFont="1" applyAlignment="1">
      <alignment horizontal="justify" vertical="justify" wrapText="1"/>
    </xf>
    <xf numFmtId="186" fontId="33" fillId="0" borderId="0" xfId="1" applyNumberFormat="1" applyFont="1" applyAlignment="1">
      <alignment horizontal="left" vertical="top" wrapText="1"/>
    </xf>
    <xf numFmtId="186" fontId="27" fillId="0" borderId="0" xfId="1" applyNumberFormat="1" applyFont="1" applyAlignment="1">
      <alignment horizontal="justify" vertical="justify" wrapText="1"/>
    </xf>
    <xf numFmtId="186" fontId="67" fillId="4" borderId="0" xfId="1" applyNumberFormat="1" applyFont="1" applyFill="1" applyAlignment="1">
      <alignment horizontal="center" vertical="center"/>
    </xf>
    <xf numFmtId="186" fontId="63" fillId="4" borderId="0" xfId="1" applyNumberFormat="1" applyFont="1" applyFill="1" applyAlignment="1">
      <alignment horizontal="justify" vertical="center"/>
    </xf>
    <xf numFmtId="186" fontId="33" fillId="4" borderId="0" xfId="1" applyNumberFormat="1" applyFont="1" applyFill="1" applyAlignment="1">
      <alignment horizontal="justify" vertical="top" wrapText="1"/>
    </xf>
    <xf numFmtId="186" fontId="27" fillId="0" borderId="0" xfId="1" applyNumberFormat="1" applyFont="1" applyAlignment="1">
      <alignment horizontal="center" vertical="top" wrapText="1"/>
    </xf>
    <xf numFmtId="186" fontId="33" fillId="4" borderId="0" xfId="1" applyNumberFormat="1" applyFont="1" applyFill="1" applyAlignment="1">
      <alignment horizontal="left" vertical="center" wrapText="1"/>
    </xf>
    <xf numFmtId="186" fontId="27" fillId="4" borderId="0" xfId="1" applyNumberFormat="1" applyFont="1" applyFill="1" applyAlignment="1">
      <alignment horizontal="left" vertical="top" wrapText="1"/>
    </xf>
    <xf numFmtId="186" fontId="66" fillId="0" borderId="0" xfId="1" applyNumberFormat="1" applyFont="1" applyAlignment="1">
      <alignment horizontal="justify" vertical="top" wrapText="1"/>
    </xf>
    <xf numFmtId="186" fontId="32" fillId="0" borderId="0" xfId="1" applyNumberFormat="1" applyFont="1" applyAlignment="1">
      <alignment horizontal="justify" vertical="top" wrapText="1"/>
    </xf>
    <xf numFmtId="186" fontId="27" fillId="0" borderId="0" xfId="1" applyNumberFormat="1" applyFont="1" applyFill="1" applyAlignment="1">
      <alignment wrapText="1"/>
    </xf>
    <xf numFmtId="186" fontId="62" fillId="0" borderId="0" xfId="1" applyNumberFormat="1" applyFont="1" applyAlignment="1">
      <alignment horizontal="left"/>
    </xf>
    <xf numFmtId="186" fontId="62" fillId="0" borderId="19" xfId="1" applyNumberFormat="1" applyFont="1" applyBorder="1" applyAlignment="1">
      <alignment horizontal="left"/>
    </xf>
    <xf numFmtId="0" fontId="60" fillId="0" borderId="8" xfId="0" applyFont="1" applyBorder="1" applyAlignment="1">
      <alignment horizontal="center"/>
    </xf>
    <xf numFmtId="0" fontId="60" fillId="0" borderId="0" xfId="0" applyFont="1" applyAlignment="1">
      <alignment horizontal="center"/>
    </xf>
    <xf numFmtId="186" fontId="56" fillId="0" borderId="2" xfId="1540" applyNumberFormat="1" applyFont="1" applyFill="1" applyBorder="1" applyAlignment="1">
      <alignment horizontal="center" vertical="center"/>
    </xf>
    <xf numFmtId="186" fontId="56" fillId="0" borderId="6" xfId="1540" applyNumberFormat="1" applyFont="1" applyFill="1" applyBorder="1" applyAlignment="1">
      <alignment horizontal="center" vertical="center"/>
    </xf>
    <xf numFmtId="0" fontId="51" fillId="0" borderId="0" xfId="2015" applyFont="1" applyAlignment="1">
      <alignment horizontal="center"/>
    </xf>
    <xf numFmtId="0" fontId="51" fillId="0" borderId="20" xfId="2015" applyFont="1" applyBorder="1" applyAlignment="1">
      <alignment horizontal="center"/>
    </xf>
    <xf numFmtId="0" fontId="51" fillId="0" borderId="25" xfId="2015" applyFont="1" applyBorder="1" applyAlignment="1">
      <alignment horizontal="center"/>
    </xf>
    <xf numFmtId="0" fontId="51" fillId="0" borderId="26" xfId="2015" applyFont="1" applyBorder="1" applyAlignment="1">
      <alignment horizontal="center"/>
    </xf>
    <xf numFmtId="0" fontId="51" fillId="0" borderId="0" xfId="2015" applyFont="1" applyAlignment="1">
      <alignment horizontal="right"/>
    </xf>
    <xf numFmtId="0" fontId="51" fillId="0" borderId="15" xfId="2015" applyFont="1" applyBorder="1" applyAlignment="1">
      <alignment horizontal="center" vertical="center"/>
    </xf>
    <xf numFmtId="0" fontId="51" fillId="0" borderId="21" xfId="2015" applyFont="1" applyBorder="1" applyAlignment="1">
      <alignment horizontal="center" vertical="center"/>
    </xf>
    <xf numFmtId="0" fontId="51" fillId="0" borderId="23" xfId="2015" applyFont="1" applyBorder="1" applyAlignment="1">
      <alignment horizontal="center" vertical="center"/>
    </xf>
    <xf numFmtId="0" fontId="51" fillId="0" borderId="0" xfId="2015" applyFont="1" applyAlignment="1">
      <alignment horizontal="center" vertical="top" wrapText="1"/>
    </xf>
    <xf numFmtId="0" fontId="51" fillId="0" borderId="35" xfId="2015" applyFont="1" applyBorder="1" applyAlignment="1">
      <alignment horizontal="center" vertical="top" wrapText="1"/>
    </xf>
    <xf numFmtId="0" fontId="51" fillId="0" borderId="27" xfId="2015" applyFont="1" applyBorder="1" applyAlignment="1">
      <alignment horizontal="center" vertical="center" wrapText="1"/>
    </xf>
    <xf numFmtId="0" fontId="51" fillId="0" borderId="35" xfId="2015" applyFont="1" applyBorder="1" applyAlignment="1">
      <alignment horizontal="center" vertical="center" wrapText="1"/>
    </xf>
    <xf numFmtId="0" fontId="49" fillId="0" borderId="0" xfId="2221" applyFont="1" applyAlignment="1">
      <alignment horizontal="left" vertical="top" wrapText="1"/>
    </xf>
    <xf numFmtId="37" fontId="38" fillId="0" borderId="32" xfId="2222" applyFont="1" applyBorder="1" applyAlignment="1">
      <alignment horizontal="center" wrapText="1"/>
    </xf>
    <xf numFmtId="37" fontId="38" fillId="0" borderId="33" xfId="2222" applyFont="1" applyBorder="1" applyAlignment="1">
      <alignment horizontal="center" wrapText="1"/>
    </xf>
    <xf numFmtId="37" fontId="37" fillId="0" borderId="32" xfId="2222" applyFont="1" applyBorder="1" applyAlignment="1">
      <alignment horizontal="center" wrapText="1"/>
    </xf>
    <xf numFmtId="37" fontId="37" fillId="0" borderId="33" xfId="2222" applyFont="1" applyBorder="1" applyAlignment="1">
      <alignment horizontal="center" wrapText="1"/>
    </xf>
    <xf numFmtId="37" fontId="38" fillId="0" borderId="0" xfId="2222" applyFont="1" applyAlignment="1">
      <alignment horizontal="center"/>
    </xf>
    <xf numFmtId="37" fontId="37" fillId="0" borderId="0" xfId="2222" applyFont="1" applyAlignment="1">
      <alignment horizontal="center"/>
    </xf>
    <xf numFmtId="37" fontId="38" fillId="0" borderId="32" xfId="2222" applyFont="1" applyBorder="1" applyAlignment="1">
      <alignment horizontal="center" vertical="center"/>
    </xf>
    <xf numFmtId="37" fontId="38" fillId="0" borderId="33" xfId="2222" applyFont="1" applyBorder="1" applyAlignment="1">
      <alignment horizontal="center" vertical="center"/>
    </xf>
    <xf numFmtId="37" fontId="37" fillId="0" borderId="32" xfId="2222" applyFont="1" applyBorder="1" applyAlignment="1">
      <alignment horizontal="center" vertical="center"/>
    </xf>
    <xf numFmtId="37" fontId="37" fillId="0" borderId="33" xfId="2222" applyFont="1" applyBorder="1" applyAlignment="1">
      <alignment horizontal="center" vertical="center"/>
    </xf>
    <xf numFmtId="0" fontId="42" fillId="3" borderId="3" xfId="2056" applyFont="1" applyFill="1" applyBorder="1" applyAlignment="1">
      <alignment horizontal="center"/>
    </xf>
    <xf numFmtId="0" fontId="42" fillId="3" borderId="4" xfId="2056" applyFont="1" applyFill="1" applyBorder="1" applyAlignment="1">
      <alignment horizontal="center"/>
    </xf>
    <xf numFmtId="0" fontId="42" fillId="3" borderId="9" xfId="2056" applyFont="1" applyFill="1" applyBorder="1" applyAlignment="1">
      <alignment horizontal="center"/>
    </xf>
    <xf numFmtId="0" fontId="42" fillId="3" borderId="3" xfId="2056" quotePrefix="1" applyFont="1" applyFill="1" applyBorder="1" applyAlignment="1">
      <alignment horizontal="center" vertical="center"/>
    </xf>
    <xf numFmtId="0" fontId="42" fillId="3" borderId="4" xfId="2056" applyFont="1" applyFill="1" applyBorder="1" applyAlignment="1">
      <alignment horizontal="center" vertical="center"/>
    </xf>
    <xf numFmtId="0" fontId="42" fillId="3" borderId="9" xfId="2056" applyFont="1" applyFill="1" applyBorder="1" applyAlignment="1">
      <alignment horizontal="center" vertical="center"/>
    </xf>
    <xf numFmtId="0" fontId="42" fillId="3" borderId="0" xfId="2056" applyFont="1" applyFill="1" applyAlignment="1">
      <alignment horizontal="left" vertical="top" wrapText="1"/>
    </xf>
    <xf numFmtId="49" fontId="42" fillId="3" borderId="2" xfId="2056" applyNumberFormat="1" applyFont="1" applyFill="1" applyBorder="1" applyAlignment="1">
      <alignment horizontal="center" vertical="center" wrapText="1"/>
    </xf>
    <xf numFmtId="49" fontId="42" fillId="3" borderId="5" xfId="2056" applyNumberFormat="1" applyFont="1" applyFill="1" applyBorder="1" applyAlignment="1">
      <alignment horizontal="center" vertical="center" wrapText="1"/>
    </xf>
    <xf numFmtId="0" fontId="37" fillId="0" borderId="0" xfId="2056" applyFont="1" applyAlignment="1">
      <alignment horizontal="left" wrapText="1"/>
    </xf>
    <xf numFmtId="186" fontId="22" fillId="0" borderId="0" xfId="1535" applyNumberFormat="1" applyFont="1" applyAlignment="1">
      <alignment horizontal="center"/>
    </xf>
    <xf numFmtId="0" fontId="37" fillId="0" borderId="0" xfId="2056" applyFont="1" applyAlignment="1">
      <alignment horizontal="center"/>
    </xf>
    <xf numFmtId="0" fontId="22" fillId="0" borderId="0" xfId="2056" applyFont="1" applyAlignment="1">
      <alignment horizontal="left"/>
    </xf>
    <xf numFmtId="0" fontId="39" fillId="0" borderId="0" xfId="2056" applyFont="1" applyAlignment="1">
      <alignment horizontal="left"/>
    </xf>
    <xf numFmtId="0" fontId="40" fillId="0" borderId="0" xfId="2056" applyFont="1" applyAlignment="1">
      <alignment horizontal="left"/>
    </xf>
    <xf numFmtId="0" fontId="39" fillId="0" borderId="0" xfId="2056" applyFont="1" applyAlignment="1">
      <alignment horizontal="center"/>
    </xf>
    <xf numFmtId="0" fontId="37" fillId="0" borderId="0" xfId="2056" applyFont="1" applyAlignment="1">
      <alignment horizontal="center" vertical="center" wrapText="1"/>
    </xf>
    <xf numFmtId="186" fontId="37" fillId="0" borderId="0" xfId="1535" applyNumberFormat="1" applyFont="1" applyBorder="1" applyAlignment="1">
      <alignment horizontal="center" vertical="center" wrapText="1"/>
    </xf>
    <xf numFmtId="37" fontId="28" fillId="0" borderId="0" xfId="2056" applyNumberFormat="1" applyFont="1" applyAlignment="1">
      <alignment horizontal="center" vertical="top"/>
    </xf>
    <xf numFmtId="37" fontId="29" fillId="0" borderId="0" xfId="2056" applyNumberFormat="1" applyFont="1" applyAlignment="1">
      <alignment horizontal="center" vertical="top"/>
    </xf>
    <xf numFmtId="37" fontId="35" fillId="0" borderId="0" xfId="2056" applyNumberFormat="1" applyFont="1" applyAlignment="1">
      <alignment horizontal="center" vertical="top"/>
    </xf>
    <xf numFmtId="0" fontId="30" fillId="0" borderId="0" xfId="2056" applyFont="1" applyAlignment="1">
      <alignment horizontal="left" vertical="top"/>
    </xf>
    <xf numFmtId="0" fontId="24" fillId="0" borderId="0" xfId="2056" applyFont="1" applyAlignment="1">
      <alignment horizontal="left" vertical="center"/>
    </xf>
    <xf numFmtId="0" fontId="23" fillId="0" borderId="15" xfId="2056" applyFont="1" applyBorder="1" applyAlignment="1">
      <alignment horizontal="center" wrapText="1"/>
    </xf>
    <xf numFmtId="0" fontId="23" fillId="0" borderId="21" xfId="2056" applyFont="1" applyBorder="1" applyAlignment="1">
      <alignment horizontal="center" wrapText="1"/>
    </xf>
    <xf numFmtId="0" fontId="23" fillId="0" borderId="23" xfId="2056" applyFont="1" applyBorder="1" applyAlignment="1">
      <alignment horizontal="center" wrapText="1"/>
    </xf>
    <xf numFmtId="0" fontId="22" fillId="0" borderId="20" xfId="2056" applyFont="1" applyBorder="1" applyAlignment="1">
      <alignment horizontal="center"/>
    </xf>
    <xf numFmtId="0" fontId="22" fillId="0" borderId="25" xfId="2056" applyFont="1" applyBorder="1" applyAlignment="1">
      <alignment horizontal="center"/>
    </xf>
    <xf numFmtId="0" fontId="22" fillId="0" borderId="26" xfId="2056" applyFont="1" applyBorder="1" applyAlignment="1">
      <alignment horizontal="center"/>
    </xf>
    <xf numFmtId="0" fontId="23" fillId="0" borderId="25" xfId="2056" applyFont="1" applyBorder="1"/>
    <xf numFmtId="0" fontId="23" fillId="0" borderId="27" xfId="2056" applyFont="1" applyBorder="1"/>
    <xf numFmtId="0" fontId="23" fillId="0" borderId="26" xfId="2056" applyFont="1" applyBorder="1"/>
    <xf numFmtId="0" fontId="23" fillId="0" borderId="20" xfId="2056" applyFont="1" applyBorder="1" applyAlignment="1">
      <alignment horizontal="center"/>
    </xf>
    <xf numFmtId="0" fontId="23" fillId="0" borderId="26" xfId="2056" applyFont="1" applyBorder="1" applyAlignment="1">
      <alignment horizontal="center"/>
    </xf>
    <xf numFmtId="0" fontId="23" fillId="0" borderId="25" xfId="2056" applyFont="1" applyBorder="1" applyAlignment="1">
      <alignment horizontal="center"/>
    </xf>
    <xf numFmtId="186" fontId="24" fillId="0" borderId="0" xfId="2056" applyNumberFormat="1" applyFont="1" applyAlignment="1">
      <alignment horizontal="center"/>
    </xf>
    <xf numFmtId="0" fontId="24" fillId="0" borderId="0" xfId="2056" applyFont="1" applyAlignment="1">
      <alignment horizontal="center"/>
    </xf>
    <xf numFmtId="0" fontId="24" fillId="0" borderId="0" xfId="2056" applyFont="1" applyAlignment="1">
      <alignment horizontal="center" wrapText="1"/>
    </xf>
    <xf numFmtId="0" fontId="13" fillId="0" borderId="3" xfId="2219" applyFont="1" applyBorder="1" applyAlignment="1">
      <alignment horizontal="center"/>
    </xf>
    <xf numFmtId="0" fontId="13" fillId="0" borderId="4" xfId="2219" applyFont="1" applyBorder="1" applyAlignment="1">
      <alignment horizontal="center"/>
    </xf>
    <xf numFmtId="0" fontId="13" fillId="0" borderId="9" xfId="2219" applyFont="1" applyBorder="1" applyAlignment="1">
      <alignment horizontal="center"/>
    </xf>
    <xf numFmtId="0" fontId="13" fillId="0" borderId="13" xfId="2219" applyFont="1" applyBorder="1" applyAlignment="1">
      <alignment horizontal="center"/>
    </xf>
    <xf numFmtId="0" fontId="14" fillId="0" borderId="1" xfId="2219" applyFont="1" applyBorder="1" applyAlignment="1">
      <alignment horizontal="center"/>
    </xf>
    <xf numFmtId="186" fontId="9" fillId="0" borderId="10" xfId="1537" applyNumberFormat="1" applyFont="1" applyBorder="1" applyAlignment="1">
      <alignment horizontal="center"/>
    </xf>
    <xf numFmtId="186" fontId="9" fillId="0" borderId="0" xfId="1537" applyNumberFormat="1" applyFont="1" applyBorder="1" applyAlignment="1">
      <alignment horizontal="center"/>
    </xf>
    <xf numFmtId="0" fontId="11" fillId="2" borderId="3" xfId="2056" applyFont="1" applyFill="1" applyBorder="1" applyAlignment="1">
      <alignment horizontal="center"/>
    </xf>
    <xf numFmtId="0" fontId="11" fillId="2" borderId="4" xfId="2056" applyFont="1" applyFill="1" applyBorder="1" applyAlignment="1">
      <alignment horizontal="center"/>
    </xf>
    <xf numFmtId="0" fontId="11" fillId="2" borderId="9" xfId="2056" applyFont="1" applyFill="1" applyBorder="1" applyAlignment="1">
      <alignment horizontal="center"/>
    </xf>
    <xf numFmtId="186" fontId="11" fillId="2" borderId="3" xfId="1537" applyNumberFormat="1" applyFont="1" applyFill="1" applyBorder="1" applyAlignment="1">
      <alignment horizontal="center"/>
    </xf>
    <xf numFmtId="186" fontId="11" fillId="2" borderId="4" xfId="1537" applyNumberFormat="1" applyFont="1" applyFill="1" applyBorder="1" applyAlignment="1">
      <alignment horizontal="center"/>
    </xf>
    <xf numFmtId="0" fontId="9" fillId="0" borderId="2" xfId="2056" applyFont="1" applyBorder="1" applyAlignment="1">
      <alignment horizontal="center" vertical="center"/>
    </xf>
    <xf numFmtId="0" fontId="9" fillId="0" borderId="6" xfId="2056" applyFont="1" applyBorder="1" applyAlignment="1">
      <alignment horizontal="center" vertical="center"/>
    </xf>
    <xf numFmtId="17" fontId="9" fillId="0" borderId="2" xfId="2056" applyNumberFormat="1" applyFont="1" applyBorder="1" applyAlignment="1">
      <alignment horizontal="center" vertical="center" wrapText="1"/>
    </xf>
    <xf numFmtId="0" fontId="7" fillId="0" borderId="6" xfId="2056" applyFont="1" applyBorder="1" applyAlignment="1">
      <alignment horizontal="center" vertical="center" wrapText="1"/>
    </xf>
    <xf numFmtId="44" fontId="0" fillId="0" borderId="0" xfId="2691" applyFont="1"/>
    <xf numFmtId="3" fontId="224" fillId="0" borderId="0" xfId="0" applyNumberFormat="1" applyFont="1" applyBorder="1" applyAlignment="1">
      <alignment vertical="center" wrapText="1"/>
    </xf>
    <xf numFmtId="0" fontId="0" fillId="0" borderId="84" xfId="0" applyBorder="1"/>
    <xf numFmtId="3" fontId="224" fillId="0" borderId="84" xfId="0" applyNumberFormat="1" applyFont="1" applyBorder="1" applyAlignment="1">
      <alignment vertical="center" wrapText="1"/>
    </xf>
    <xf numFmtId="0" fontId="0" fillId="0" borderId="0" xfId="0" applyBorder="1"/>
    <xf numFmtId="3" fontId="225" fillId="0" borderId="0" xfId="0" applyNumberFormat="1" applyFont="1" applyBorder="1" applyAlignment="1">
      <alignment vertical="center" wrapText="1"/>
    </xf>
    <xf numFmtId="0" fontId="222" fillId="0" borderId="0" xfId="0" applyFont="1" applyBorder="1"/>
    <xf numFmtId="0" fontId="226" fillId="0" borderId="0" xfId="0" applyFont="1" applyBorder="1"/>
    <xf numFmtId="0" fontId="225" fillId="0" borderId="0" xfId="0" applyFont="1" applyBorder="1" applyAlignment="1">
      <alignment vertical="center" wrapText="1"/>
    </xf>
    <xf numFmtId="0" fontId="224" fillId="0" borderId="0" xfId="0" applyFont="1" applyBorder="1" applyAlignment="1">
      <alignment vertical="center" wrapText="1"/>
    </xf>
    <xf numFmtId="4" fontId="224" fillId="0" borderId="0" xfId="0" applyNumberFormat="1" applyFont="1" applyBorder="1" applyAlignment="1">
      <alignment vertical="center" wrapText="1"/>
    </xf>
    <xf numFmtId="186" fontId="222" fillId="0" borderId="0" xfId="1" applyNumberFormat="1" applyFont="1" applyBorder="1"/>
    <xf numFmtId="44" fontId="225" fillId="0" borderId="0" xfId="2691" applyFont="1" applyBorder="1" applyAlignment="1">
      <alignment vertical="center" wrapText="1"/>
    </xf>
    <xf numFmtId="44" fontId="0" fillId="0" borderId="0" xfId="2691" applyFont="1" applyBorder="1"/>
    <xf numFmtId="44" fontId="224" fillId="0" borderId="0" xfId="2691" applyFont="1" applyBorder="1" applyAlignment="1">
      <alignment vertical="center" wrapText="1"/>
    </xf>
    <xf numFmtId="3" fontId="225" fillId="0" borderId="84" xfId="0" applyNumberFormat="1" applyFont="1" applyBorder="1" applyAlignment="1">
      <alignment vertical="center" wrapText="1"/>
    </xf>
    <xf numFmtId="3" fontId="224" fillId="0" borderId="85" xfId="0" applyNumberFormat="1" applyFont="1" applyBorder="1" applyAlignment="1">
      <alignment vertical="center" wrapText="1"/>
    </xf>
  </cellXfs>
  <cellStyles count="2692">
    <cellStyle name="'" xfId="3" xr:uid="{00000000-0005-0000-0000-000031000000}"/>
    <cellStyle name="??" xfId="4" xr:uid="{00000000-0005-0000-0000-000032000000}"/>
    <cellStyle name="????" xfId="5" xr:uid="{00000000-0005-0000-0000-000033000000}"/>
    <cellStyle name="???? [0.00]_20th" xfId="6" xr:uid="{00000000-0005-0000-0000-000034000000}"/>
    <cellStyle name="????????????????? [0]_PERSONAL" xfId="7" xr:uid="{00000000-0005-0000-0000-000035000000}"/>
    <cellStyle name="??????????????????? [0]_PERSONAL" xfId="8" xr:uid="{00000000-0005-0000-0000-000036000000}"/>
    <cellStyle name="???????????????????_PERSONAL" xfId="9" xr:uid="{00000000-0005-0000-0000-000037000000}"/>
    <cellStyle name="?????????????????_PERSONAL" xfId="10" xr:uid="{00000000-0005-0000-0000-000038000000}"/>
    <cellStyle name="????_01-Aug" xfId="11" xr:uid="{00000000-0005-0000-0000-000039000000}"/>
    <cellStyle name="?…?a??e [0.00]_laroux" xfId="12" xr:uid="{00000000-0005-0000-0000-00003A000000}"/>
    <cellStyle name="?…?a??e_laroux" xfId="13" xr:uid="{00000000-0005-0000-0000-00003B000000}"/>
    <cellStyle name="?W?_laroux" xfId="14" xr:uid="{00000000-0005-0000-0000-00003C000000}"/>
    <cellStyle name="_01con" xfId="15" xr:uid="{00000000-0005-0000-0000-00003D000000}"/>
    <cellStyle name="_4. Sample Value" xfId="16" xr:uid="{00000000-0005-0000-0000-00003E000000}"/>
    <cellStyle name="_4. Sample Value 2" xfId="17" xr:uid="{00000000-0005-0000-0000-00003F000000}"/>
    <cellStyle name="_4. Sample Value_store-col" xfId="18" xr:uid="{00000000-0005-0000-0000-000040000000}"/>
    <cellStyle name="_a (2)" xfId="19" xr:uid="{00000000-0005-0000-0000-000041000000}"/>
    <cellStyle name="_Advances to BPPL" xfId="20" xr:uid="{00000000-0005-0000-0000-000042000000}"/>
    <cellStyle name="_Advances to contractors" xfId="21" xr:uid="{00000000-0005-0000-0000-000043000000}"/>
    <cellStyle name="_Berger - DPI TB Working" xfId="22" xr:uid="{00000000-0005-0000-0000-000044000000}"/>
    <cellStyle name="_Book1" xfId="23" xr:uid="{00000000-0005-0000-0000-000045000000}"/>
    <cellStyle name="_CON-DEC0" xfId="24" xr:uid="{00000000-0005-0000-0000-000046000000}"/>
    <cellStyle name="_Data" xfId="25" xr:uid="{00000000-0005-0000-0000-000047000000}"/>
    <cellStyle name="_Data_Accounts BHP -2009 " xfId="26" xr:uid="{00000000-0005-0000-0000-000048000000}"/>
    <cellStyle name="_Data_Accounts BHP -2009 _1" xfId="27" xr:uid="{00000000-0005-0000-0000-000049000000}"/>
    <cellStyle name="_Data_Accounts BHP -2009 _Accounts BHP -2009 " xfId="28" xr:uid="{00000000-0005-0000-0000-00004A000000}"/>
    <cellStyle name="_Data_Accounts BHP -2010 ." xfId="29" xr:uid="{00000000-0005-0000-0000-00004B000000}"/>
    <cellStyle name="_Data_Accounts BHP -2010 .(15-11-2010)2" xfId="30" xr:uid="{00000000-0005-0000-0000-00004C000000}"/>
    <cellStyle name="_Data_Accounts BHP -2010 .(16-10-2010)" xfId="31" xr:uid="{00000000-0005-0000-0000-00004D000000}"/>
    <cellStyle name="_Data_Accounts BHP -2010- 17-12-2010" xfId="32" xr:uid="{00000000-0005-0000-0000-00004E000000}"/>
    <cellStyle name="_DPI Final Accounts 06-11-2008" xfId="33" xr:uid="{00000000-0005-0000-0000-00004F000000}"/>
    <cellStyle name="_E-Filiing Annexure-B Losses Details" xfId="34" xr:uid="{00000000-0005-0000-0000-000050000000}"/>
    <cellStyle name="_Expenditure1 ABNI" xfId="35" xr:uid="{00000000-0005-0000-0000-000051000000}"/>
    <cellStyle name="_Header" xfId="36" xr:uid="{00000000-0005-0000-0000-000052000000}"/>
    <cellStyle name="_MMA DPI Trail Balance on 30 June 09" xfId="37" xr:uid="{00000000-0005-0000-0000-000053000000}"/>
    <cellStyle name="_PERSONAL" xfId="38" xr:uid="{00000000-0005-0000-0000-000054000000}"/>
    <cellStyle name="_PERSONAL_1" xfId="39" xr:uid="{00000000-0005-0000-0000-000055000000}"/>
    <cellStyle name="_Row1" xfId="40" xr:uid="{00000000-0005-0000-0000-000056000000}"/>
    <cellStyle name="_Row1_Accounts BHP -2009 " xfId="41" xr:uid="{00000000-0005-0000-0000-000057000000}"/>
    <cellStyle name="_Row1_Accounts BHP -2010 ." xfId="42" xr:uid="{00000000-0005-0000-0000-000058000000}"/>
    <cellStyle name="_Row1_Accounts BHP -2010 .(15-11-2010)2" xfId="43" xr:uid="{00000000-0005-0000-0000-000059000000}"/>
    <cellStyle name="_Row1_Accounts BHP -2010 .(16-10-2010)" xfId="44" xr:uid="{00000000-0005-0000-0000-00005A000000}"/>
    <cellStyle name="_Row1_Accounts BHP -2010- 17-12-2010" xfId="45" xr:uid="{00000000-0005-0000-0000-00005B000000}"/>
    <cellStyle name="_Row2" xfId="46" xr:uid="{00000000-0005-0000-0000-00005C000000}"/>
    <cellStyle name="_Row3" xfId="47" xr:uid="{00000000-0005-0000-0000-00005D000000}"/>
    <cellStyle name="_Row4" xfId="48" xr:uid="{00000000-0005-0000-0000-00005E000000}"/>
    <cellStyle name="_Row4_Accounts BHP -2009 " xfId="49" xr:uid="{00000000-0005-0000-0000-00005F000000}"/>
    <cellStyle name="_Row4_Accounts BHP -2010 ." xfId="50" xr:uid="{00000000-0005-0000-0000-000060000000}"/>
    <cellStyle name="_Row4_Accounts BHP -2010 .(15-11-2010)2" xfId="51" xr:uid="{00000000-0005-0000-0000-000061000000}"/>
    <cellStyle name="_Row4_Accounts BHP -2010 .(16-10-2010)" xfId="52" xr:uid="{00000000-0005-0000-0000-000062000000}"/>
    <cellStyle name="_Row4_Accounts BHP -2010- 17-12-2010" xfId="53" xr:uid="{00000000-0005-0000-0000-000063000000}"/>
    <cellStyle name="_Row5" xfId="54" xr:uid="{00000000-0005-0000-0000-000064000000}"/>
    <cellStyle name="_Row6" xfId="55" xr:uid="{00000000-0005-0000-0000-000065000000}"/>
    <cellStyle name="_Row7" xfId="56" xr:uid="{00000000-0005-0000-0000-000066000000}"/>
    <cellStyle name="_Row7_Accounts BHP -2009 " xfId="57" xr:uid="{00000000-0005-0000-0000-000067000000}"/>
    <cellStyle name="_Row7_Accounts BHP -2010 ." xfId="58" xr:uid="{00000000-0005-0000-0000-000068000000}"/>
    <cellStyle name="_Row7_Accounts BHP -2010 .(15-11-2010)2" xfId="59" xr:uid="{00000000-0005-0000-0000-000069000000}"/>
    <cellStyle name="_Row7_Accounts BHP -2010 .(16-10-2010)" xfId="60" xr:uid="{00000000-0005-0000-0000-00006A000000}"/>
    <cellStyle name="_Row7_Accounts BHP -2010- 17-12-2010" xfId="61" xr:uid="{00000000-0005-0000-0000-00006B000000}"/>
    <cellStyle name="_Sheet1" xfId="62" xr:uid="{00000000-0005-0000-0000-00006C000000}"/>
    <cellStyle name="_Sheet1 2" xfId="63" xr:uid="{00000000-0005-0000-0000-00006D000000}"/>
    <cellStyle name="_Sheet1_GLOBALHD" xfId="64" xr:uid="{00000000-0005-0000-0000-00006E000000}"/>
    <cellStyle name="_Sheet1_GLOBALHD (version 1)" xfId="65" xr:uid="{00000000-0005-0000-0000-00006F000000}"/>
    <cellStyle name="_Sheet1_store-col" xfId="66" xr:uid="{00000000-0005-0000-0000-000070000000}"/>
    <cellStyle name="_SW-Electricity &amp; Gas" xfId="67" xr:uid="{00000000-0005-0000-0000-000071000000}"/>
    <cellStyle name="_Tax comp TY 2008 - Transitional Year " xfId="68" xr:uid="{00000000-0005-0000-0000-000072000000}"/>
    <cellStyle name="_Top sheet" xfId="69" xr:uid="{00000000-0005-0000-0000-000073000000}"/>
    <cellStyle name="_xxxx" xfId="70" xr:uid="{00000000-0005-0000-0000-000074000000}"/>
    <cellStyle name="’E‰Y [0.00]_laroux" xfId="71" xr:uid="{00000000-0005-0000-0000-000075000000}"/>
    <cellStyle name="’E‰Y_laroux" xfId="72" xr:uid="{00000000-0005-0000-0000-000076000000}"/>
    <cellStyle name="£ BP" xfId="73" xr:uid="{00000000-0005-0000-0000-000077000000}"/>
    <cellStyle name="¥ JY" xfId="74" xr:uid="{00000000-0005-0000-0000-000078000000}"/>
    <cellStyle name="=C:\WINDOWS\SYSTEM32\COMMAND.COM" xfId="75" xr:uid="{00000000-0005-0000-0000-000079000000}"/>
    <cellStyle name="=C:\WINNT\SYSTEM32\COMMAND.COM" xfId="76" xr:uid="{00000000-0005-0000-0000-00007A000000}"/>
    <cellStyle name="=C:\WINNT\SYSTEM32\COMMAND.COM 2" xfId="77" xr:uid="{00000000-0005-0000-0000-00007B000000}"/>
    <cellStyle name="=C:\WINNT\SYSTEM32\COMMAND.COM 2 2" xfId="78" xr:uid="{00000000-0005-0000-0000-00007C000000}"/>
    <cellStyle name="=C:\WINNT\SYSTEM32\COMMAND.COM 2 3" xfId="79" xr:uid="{00000000-0005-0000-0000-00007D000000}"/>
    <cellStyle name="=C:\WINNT\SYSTEM32\COMMAND.COM 3" xfId="80" xr:uid="{00000000-0005-0000-0000-00007E000000}"/>
    <cellStyle name="=C:\WINNT\SYSTEM32\COMMAND.COM 4" xfId="81" xr:uid="{00000000-0005-0000-0000-00007F000000}"/>
    <cellStyle name="=C:\WINNT\SYSTEM32\COMMAND.COM 4 2" xfId="82" xr:uid="{00000000-0005-0000-0000-000080000000}"/>
    <cellStyle name="=C:\WINNT\SYSTEM32\COMMAND.COM 5" xfId="83" xr:uid="{00000000-0005-0000-0000-000081000000}"/>
    <cellStyle name="=C:\WINNT\SYSTEM32\COMMAND.COM_AEL Accounts 300909 draft" xfId="84" xr:uid="{00000000-0005-0000-0000-000082000000}"/>
    <cellStyle name="1" xfId="85" xr:uid="{00000000-0005-0000-0000-000083000000}"/>
    <cellStyle name="1_Nespak Accounts Final '08" xfId="86" xr:uid="{00000000-0005-0000-0000-000084000000}"/>
    <cellStyle name="10" xfId="87" xr:uid="{00000000-0005-0000-0000-000085000000}"/>
    <cellStyle name="2" xfId="88" xr:uid="{00000000-0005-0000-0000-000086000000}"/>
    <cellStyle name="2 2" xfId="89" xr:uid="{00000000-0005-0000-0000-000087000000}"/>
    <cellStyle name="2_0.03" xfId="90" xr:uid="{00000000-0005-0000-0000-000088000000}"/>
    <cellStyle name="2_0.03_Fab.QWK03-2005" xfId="91" xr:uid="{00000000-0005-0000-0000-000089000000}"/>
    <cellStyle name="2_0.03_Fab.QWK03-2005_A4-1503 (9733,35,36)" xfId="92" xr:uid="{00000000-0005-0000-0000-00008A000000}"/>
    <cellStyle name="2_0.03_Fab.QWK03-2005_Book5" xfId="93" xr:uid="{00000000-0005-0000-0000-00008B000000}"/>
    <cellStyle name="2_0.03_Fab.QWK03-2005_Grading Rjct Jan-07" xfId="94" xr:uid="{00000000-0005-0000-0000-00008C000000}"/>
    <cellStyle name="2_0.03_Fab.QWK03-2005_Grading Rjct Nov-06" xfId="95" xr:uid="{00000000-0005-0000-0000-00008D000000}"/>
    <cellStyle name="2_0.03_Fab.QWK03-2005_Grading Rjct Sep-06" xfId="96" xr:uid="{00000000-0005-0000-0000-00008E000000}"/>
    <cellStyle name="2_0.03_Fab.QWK03-2005_Grd Off Std Rpt (2006)" xfId="97" xr:uid="{00000000-0005-0000-0000-00008F000000}"/>
    <cellStyle name="2_0.03_Fab.QWK03-2005_Grd Off Std Rpt (2006)02" xfId="98" xr:uid="{00000000-0005-0000-0000-000090000000}"/>
    <cellStyle name="2_0.03_Fab.QWK03-2005_Grd Off Std Rpt (2007)  02" xfId="99" xr:uid="{00000000-0005-0000-0000-000091000000}"/>
    <cellStyle name="2_0.03_Fab.QWK03-2005_Monthly Grd Prod &amp; Rej Rpt 2006" xfId="100" xr:uid="{00000000-0005-0000-0000-000092000000}"/>
    <cellStyle name="2_0.03_Fab.QWK03-2005_NA Grd-01-09-06" xfId="101" xr:uid="{00000000-0005-0000-0000-000093000000}"/>
    <cellStyle name="2_0.03_Fab.QWK03-2005_Roll wise packing list inv" xfId="102" xr:uid="{00000000-0005-0000-0000-000094000000}"/>
    <cellStyle name="2_0.03_Fab.QWK03-2005_Set Wise Rej Rpt" xfId="103" xr:uid="{00000000-0005-0000-0000-000095000000}"/>
    <cellStyle name="2_0.03_Forwarding" xfId="104" xr:uid="{00000000-0005-0000-0000-000096000000}"/>
    <cellStyle name="2_4.1.04" xfId="105" xr:uid="{00000000-0005-0000-0000-000097000000}"/>
    <cellStyle name="2_4.1.04 2" xfId="106" xr:uid="{00000000-0005-0000-0000-000098000000}"/>
    <cellStyle name="2_4.1.04_AA" xfId="107" xr:uid="{00000000-0005-0000-0000-000099000000}"/>
    <cellStyle name="2_4.1.04_Accounts BHP -2009 " xfId="108" xr:uid="{00000000-0005-0000-0000-00009A000000}"/>
    <cellStyle name="2_4.1.04_Details of additions and deletions" xfId="109" xr:uid="{00000000-0005-0000-0000-00009B000000}"/>
    <cellStyle name="2_4.1.04_Fab.QWK03-2005" xfId="110" xr:uid="{00000000-0005-0000-0000-00009C000000}"/>
    <cellStyle name="2_4.1.04_Fab.QWK03-2005_A4-1503 (9733,35,36)" xfId="111" xr:uid="{00000000-0005-0000-0000-00009D000000}"/>
    <cellStyle name="2_4.1.04_Fab.QWK03-2005_Book5" xfId="112" xr:uid="{00000000-0005-0000-0000-00009E000000}"/>
    <cellStyle name="2_4.1.04_Fab.QWK03-2005_Grading Rjct Jan-07" xfId="113" xr:uid="{00000000-0005-0000-0000-00009F000000}"/>
    <cellStyle name="2_4.1.04_Fab.QWK03-2005_Grading Rjct Nov-06" xfId="114" xr:uid="{00000000-0005-0000-0000-0000A0000000}"/>
    <cellStyle name="2_4.1.04_Fab.QWK03-2005_Grading Rjct Sep-06" xfId="115" xr:uid="{00000000-0005-0000-0000-0000A1000000}"/>
    <cellStyle name="2_4.1.04_Fab.QWK03-2005_Grd Off Std Rpt (2006)" xfId="116" xr:uid="{00000000-0005-0000-0000-0000A2000000}"/>
    <cellStyle name="2_4.1.04_Fab.QWK03-2005_Grd Off Std Rpt (2006)02" xfId="117" xr:uid="{00000000-0005-0000-0000-0000A3000000}"/>
    <cellStyle name="2_4.1.04_Fab.QWK03-2005_Grd Off Std Rpt (2007)  02" xfId="118" xr:uid="{00000000-0005-0000-0000-0000A4000000}"/>
    <cellStyle name="2_4.1.04_Fab.QWK03-2005_Monthly Grd Prod &amp; Rej Rpt 2006" xfId="119" xr:uid="{00000000-0005-0000-0000-0000A5000000}"/>
    <cellStyle name="2_4.1.04_Fab.QWK03-2005_NA Grd-01-09-06" xfId="120" xr:uid="{00000000-0005-0000-0000-0000A6000000}"/>
    <cellStyle name="2_4.1.04_Fab.QWK03-2005_Roll wise packing list inv" xfId="121" xr:uid="{00000000-0005-0000-0000-0000A7000000}"/>
    <cellStyle name="2_4.1.04_Fab.QWK03-2005_Set Wise Rej Rpt" xfId="122" xr:uid="{00000000-0005-0000-0000-0000A8000000}"/>
    <cellStyle name="2_4.1.04_Forwarding" xfId="123" xr:uid="{00000000-0005-0000-0000-0000A9000000}"/>
    <cellStyle name="2_4.1.04_PD Sample Cost Oct04~Jun05 (2)" xfId="124" xr:uid="{00000000-0005-0000-0000-0000AA000000}"/>
    <cellStyle name="2_4.1.04_PD Sample Cost Oct04~Jun05 (2) 2" xfId="125" xr:uid="{00000000-0005-0000-0000-0000AB000000}"/>
    <cellStyle name="2_4.1.04_PD Sample Cost Oct04~Jun05 (2)_AA" xfId="126" xr:uid="{00000000-0005-0000-0000-0000AC000000}"/>
    <cellStyle name="2_4.1.04_PD Sample Cost Oct04~Jun05 (2)_Accounts BHP -2009 " xfId="127" xr:uid="{00000000-0005-0000-0000-0000AD000000}"/>
    <cellStyle name="2_4.1.04_PD Sample Cost Oct04~Jun05 (2)_Book1" xfId="128" xr:uid="{00000000-0005-0000-0000-0000AE000000}"/>
    <cellStyle name="2_4.1.04_PD Sample Cost Oct04~Jun05 (2)_Book1 2" xfId="129" xr:uid="{00000000-0005-0000-0000-0000AF000000}"/>
    <cellStyle name="2_4.1.04_PD Sample Cost Oct04~Jun05 (2)_Book1_AA" xfId="130" xr:uid="{00000000-0005-0000-0000-0000B0000000}"/>
    <cellStyle name="2_4.1.04_PD Sample Cost Oct04~Jun05 (2)_Book1_Accounts BHP -2009 " xfId="131" xr:uid="{00000000-0005-0000-0000-0000B1000000}"/>
    <cellStyle name="2_4.1.04_PD Sample Cost Oct04~Jun05 (2)_Book1_Details of additions and deletions" xfId="132" xr:uid="{00000000-0005-0000-0000-0000B2000000}"/>
    <cellStyle name="2_4.1.04_PD Sample Cost Oct04~Jun05 (2)_Book1_prepaid Insurance-08 consolidated working" xfId="133" xr:uid="{00000000-0005-0000-0000-0000B3000000}"/>
    <cellStyle name="2_4.1.04_PD Sample Cost Oct04~Jun05 (2)_Book1_prepaid Insurance-08 consolidated working 2" xfId="134" xr:uid="{00000000-0005-0000-0000-0000B4000000}"/>
    <cellStyle name="2_4.1.04_PD Sample Cost Oct04~Jun05 (2)_Book1_vouching" xfId="135" xr:uid="{00000000-0005-0000-0000-0000B5000000}"/>
    <cellStyle name="2_4.1.04_PD Sample Cost Oct04~Jun05 (2)_Book1_vouching_BB 07-GNA" xfId="136" xr:uid="{00000000-0005-0000-0000-0000B6000000}"/>
    <cellStyle name="2_4.1.04_PD Sample Cost Oct04~Jun05 (2)_Book1_vouching_BB 07-GNA -2" xfId="137" xr:uid="{00000000-0005-0000-0000-0000B7000000}"/>
    <cellStyle name="2_4.1.04_PD Sample Cost Oct04~Jun05 (2)_Details of additions and deletions" xfId="138" xr:uid="{00000000-0005-0000-0000-0000B8000000}"/>
    <cellStyle name="2_4.1.04_PD Sample Cost Oct04~Jun05 (2)_prepaid Insurance-08 consolidated working" xfId="139" xr:uid="{00000000-0005-0000-0000-0000B9000000}"/>
    <cellStyle name="2_4.1.04_PD Sample Cost Oct04~Jun05 (2)_prepaid Insurance-08 consolidated working 2" xfId="140" xr:uid="{00000000-0005-0000-0000-0000BA000000}"/>
    <cellStyle name="2_4.1.04_PD Sample Cost Oct04~Jun05 (2)_R &amp; D Final-SI 31-Aug" xfId="141" xr:uid="{00000000-0005-0000-0000-0000BB000000}"/>
    <cellStyle name="2_4.1.04_PD Sample Cost Oct04~Jun05 (2)_R &amp; D Final-SI 31-Aug 2" xfId="142" xr:uid="{00000000-0005-0000-0000-0000BC000000}"/>
    <cellStyle name="2_4.1.04_PD Sample Cost Oct04~Jun05 (2)_R &amp; D Final-SI 31-Aug_AA" xfId="143" xr:uid="{00000000-0005-0000-0000-0000BD000000}"/>
    <cellStyle name="2_4.1.04_PD Sample Cost Oct04~Jun05 (2)_R &amp; D Final-SI 31-Aug_Accounts BHP -2009 " xfId="144" xr:uid="{00000000-0005-0000-0000-0000BE000000}"/>
    <cellStyle name="2_4.1.04_PD Sample Cost Oct04~Jun05 (2)_R &amp; D Final-SI 31-Aug_Details of additions and deletions" xfId="145" xr:uid="{00000000-0005-0000-0000-0000BF000000}"/>
    <cellStyle name="2_4.1.04_PD Sample Cost Oct04~Jun05 (2)_R &amp; D Final-SI 31-Aug_prepaid Insurance-08 consolidated working" xfId="146" xr:uid="{00000000-0005-0000-0000-0000C0000000}"/>
    <cellStyle name="2_4.1.04_PD Sample Cost Oct04~Jun05 (2)_R &amp; D Final-SI 31-Aug_prepaid Insurance-08 consolidated working 2" xfId="147" xr:uid="{00000000-0005-0000-0000-0000C1000000}"/>
    <cellStyle name="2_4.1.04_PD Sample Cost Oct04~Jun05 (2)_R &amp; D Final-SI 31-Aug_vouching" xfId="148" xr:uid="{00000000-0005-0000-0000-0000C2000000}"/>
    <cellStyle name="2_4.1.04_PD Sample Cost Oct04~Jun05 (2)_R &amp; D Final-SI 31-Aug_vouching_BB 07-GNA" xfId="149" xr:uid="{00000000-0005-0000-0000-0000C3000000}"/>
    <cellStyle name="2_4.1.04_PD Sample Cost Oct04~Jun05 (2)_R &amp; D Final-SI 31-Aug_vouching_BB 07-GNA -2" xfId="150" xr:uid="{00000000-0005-0000-0000-0000C4000000}"/>
    <cellStyle name="2_4.1.04_PD Sample Cost Oct04~Jun05 (2)_R &amp; D Final-SI28-8-6" xfId="151" xr:uid="{00000000-0005-0000-0000-0000C5000000}"/>
    <cellStyle name="2_4.1.04_PD Sample Cost Oct04~Jun05 (2)_R &amp; D Final-SI28-8-6 2" xfId="152" xr:uid="{00000000-0005-0000-0000-0000C6000000}"/>
    <cellStyle name="2_4.1.04_PD Sample Cost Oct04~Jun05 (2)_R &amp; D Final-SI28-8-6_AA" xfId="153" xr:uid="{00000000-0005-0000-0000-0000C7000000}"/>
    <cellStyle name="2_4.1.04_PD Sample Cost Oct04~Jun05 (2)_R &amp; D Final-SI28-8-6_Accounts BHP -2009 " xfId="154" xr:uid="{00000000-0005-0000-0000-0000C8000000}"/>
    <cellStyle name="2_4.1.04_PD Sample Cost Oct04~Jun05 (2)_R &amp; D Final-SI28-8-6_Details of additions and deletions" xfId="155" xr:uid="{00000000-0005-0000-0000-0000C9000000}"/>
    <cellStyle name="2_4.1.04_PD Sample Cost Oct04~Jun05 (2)_R &amp; D Final-SI28-8-6_prepaid Insurance-08 consolidated working" xfId="156" xr:uid="{00000000-0005-0000-0000-0000CA000000}"/>
    <cellStyle name="2_4.1.04_PD Sample Cost Oct04~Jun05 (2)_R &amp; D Final-SI28-8-6_prepaid Insurance-08 consolidated working 2" xfId="157" xr:uid="{00000000-0005-0000-0000-0000CB000000}"/>
    <cellStyle name="2_4.1.04_PD Sample Cost Oct04~Jun05 (2)_R &amp; D Final-SI28-8-6_vouching" xfId="158" xr:uid="{00000000-0005-0000-0000-0000CC000000}"/>
    <cellStyle name="2_4.1.04_PD Sample Cost Oct04~Jun05 (2)_R &amp; D Final-SI28-8-6_vouching_BB 07-GNA" xfId="159" xr:uid="{00000000-0005-0000-0000-0000CD000000}"/>
    <cellStyle name="2_4.1.04_PD Sample Cost Oct04~Jun05 (2)_R &amp; D Final-SI28-8-6_vouching_BB 07-GNA -2" xfId="160" xr:uid="{00000000-0005-0000-0000-0000CE000000}"/>
    <cellStyle name="2_4.1.04_PD Sample Cost Oct04~Jun05 (2)_vouching" xfId="161" xr:uid="{00000000-0005-0000-0000-0000CF000000}"/>
    <cellStyle name="2_4.1.04_PD Sample Cost Oct04~Jun05 (2)_vouching_BB 07-GNA" xfId="162" xr:uid="{00000000-0005-0000-0000-0000D0000000}"/>
    <cellStyle name="2_4.1.04_PD Sample Cost Oct04~Jun05 (2)_vouching_BB 07-GNA -2" xfId="163" xr:uid="{00000000-0005-0000-0000-0000D1000000}"/>
    <cellStyle name="2_4.1.04_prepaid Insurance-08 consolidated working" xfId="164" xr:uid="{00000000-0005-0000-0000-0000D2000000}"/>
    <cellStyle name="2_4.1.04_prepaid Insurance-08 consolidated working 2" xfId="165" xr:uid="{00000000-0005-0000-0000-0000D3000000}"/>
    <cellStyle name="2_4.1.04_vouching" xfId="166" xr:uid="{00000000-0005-0000-0000-0000D4000000}"/>
    <cellStyle name="2_4.1.04_vouching_BB 07-GNA" xfId="167" xr:uid="{00000000-0005-0000-0000-0000D5000000}"/>
    <cellStyle name="2_4.1.04_vouching_BB 07-GNA -2" xfId="168" xr:uid="{00000000-0005-0000-0000-0000D6000000}"/>
    <cellStyle name="2_4.1.05" xfId="169" xr:uid="{00000000-0005-0000-0000-0000D7000000}"/>
    <cellStyle name="2_4.1.05 2" xfId="170" xr:uid="{00000000-0005-0000-0000-0000D8000000}"/>
    <cellStyle name="2_4.1.05_AA" xfId="171" xr:uid="{00000000-0005-0000-0000-0000D9000000}"/>
    <cellStyle name="2_4.1.05_Accounts BHP -2009 " xfId="172" xr:uid="{00000000-0005-0000-0000-0000DA000000}"/>
    <cellStyle name="2_4.1.05_Details of additions and deletions" xfId="173" xr:uid="{00000000-0005-0000-0000-0000DB000000}"/>
    <cellStyle name="2_4.1.05_Fab.QWK03-2005" xfId="174" xr:uid="{00000000-0005-0000-0000-0000DC000000}"/>
    <cellStyle name="2_4.1.05_Fab.QWK03-2005_A4-1503 (9733,35,36)" xfId="175" xr:uid="{00000000-0005-0000-0000-0000DD000000}"/>
    <cellStyle name="2_4.1.05_Fab.QWK03-2005_Book5" xfId="176" xr:uid="{00000000-0005-0000-0000-0000DE000000}"/>
    <cellStyle name="2_4.1.05_Fab.QWK03-2005_Grading Rjct Jan-07" xfId="177" xr:uid="{00000000-0005-0000-0000-0000DF000000}"/>
    <cellStyle name="2_4.1.05_Fab.QWK03-2005_Grading Rjct Nov-06" xfId="178" xr:uid="{00000000-0005-0000-0000-0000E0000000}"/>
    <cellStyle name="2_4.1.05_Fab.QWK03-2005_Grading Rjct Sep-06" xfId="179" xr:uid="{00000000-0005-0000-0000-0000E1000000}"/>
    <cellStyle name="2_4.1.05_Fab.QWK03-2005_Grd Off Std Rpt (2006)" xfId="180" xr:uid="{00000000-0005-0000-0000-0000E2000000}"/>
    <cellStyle name="2_4.1.05_Fab.QWK03-2005_Grd Off Std Rpt (2006)02" xfId="181" xr:uid="{00000000-0005-0000-0000-0000E3000000}"/>
    <cellStyle name="2_4.1.05_Fab.QWK03-2005_Grd Off Std Rpt (2007)  02" xfId="182" xr:uid="{00000000-0005-0000-0000-0000E4000000}"/>
    <cellStyle name="2_4.1.05_Fab.QWK03-2005_Monthly Grd Prod &amp; Rej Rpt 2006" xfId="183" xr:uid="{00000000-0005-0000-0000-0000E5000000}"/>
    <cellStyle name="2_4.1.05_Fab.QWK03-2005_NA Grd-01-09-06" xfId="184" xr:uid="{00000000-0005-0000-0000-0000E6000000}"/>
    <cellStyle name="2_4.1.05_Fab.QWK03-2005_Roll wise packing list inv" xfId="185" xr:uid="{00000000-0005-0000-0000-0000E7000000}"/>
    <cellStyle name="2_4.1.05_Fab.QWK03-2005_Set Wise Rej Rpt" xfId="186" xr:uid="{00000000-0005-0000-0000-0000E8000000}"/>
    <cellStyle name="2_4.1.05_Forwarding" xfId="187" xr:uid="{00000000-0005-0000-0000-0000E9000000}"/>
    <cellStyle name="2_4.1.05_PD Sample Cost Oct04~Jun05 (2)" xfId="188" xr:uid="{00000000-0005-0000-0000-0000EA000000}"/>
    <cellStyle name="2_4.1.05_PD Sample Cost Oct04~Jun05 (2) 2" xfId="189" xr:uid="{00000000-0005-0000-0000-0000EB000000}"/>
    <cellStyle name="2_4.1.05_PD Sample Cost Oct04~Jun05 (2)_AA" xfId="190" xr:uid="{00000000-0005-0000-0000-0000EC000000}"/>
    <cellStyle name="2_4.1.05_PD Sample Cost Oct04~Jun05 (2)_Accounts BHP -2009 " xfId="191" xr:uid="{00000000-0005-0000-0000-0000ED000000}"/>
    <cellStyle name="2_4.1.05_PD Sample Cost Oct04~Jun05 (2)_Book1" xfId="192" xr:uid="{00000000-0005-0000-0000-0000EE000000}"/>
    <cellStyle name="2_4.1.05_PD Sample Cost Oct04~Jun05 (2)_Book1 2" xfId="193" xr:uid="{00000000-0005-0000-0000-0000EF000000}"/>
    <cellStyle name="2_4.1.05_PD Sample Cost Oct04~Jun05 (2)_Book1_AA" xfId="194" xr:uid="{00000000-0005-0000-0000-0000F0000000}"/>
    <cellStyle name="2_4.1.05_PD Sample Cost Oct04~Jun05 (2)_Book1_Accounts BHP -2009 " xfId="195" xr:uid="{00000000-0005-0000-0000-0000F1000000}"/>
    <cellStyle name="2_4.1.05_PD Sample Cost Oct04~Jun05 (2)_Book1_Details of additions and deletions" xfId="196" xr:uid="{00000000-0005-0000-0000-0000F2000000}"/>
    <cellStyle name="2_4.1.05_PD Sample Cost Oct04~Jun05 (2)_Book1_prepaid Insurance-08 consolidated working" xfId="197" xr:uid="{00000000-0005-0000-0000-0000F3000000}"/>
    <cellStyle name="2_4.1.05_PD Sample Cost Oct04~Jun05 (2)_Book1_prepaid Insurance-08 consolidated working 2" xfId="198" xr:uid="{00000000-0005-0000-0000-0000F4000000}"/>
    <cellStyle name="2_4.1.05_PD Sample Cost Oct04~Jun05 (2)_Book1_vouching" xfId="199" xr:uid="{00000000-0005-0000-0000-0000F5000000}"/>
    <cellStyle name="2_4.1.05_PD Sample Cost Oct04~Jun05 (2)_Book1_vouching_BB 07-GNA" xfId="200" xr:uid="{00000000-0005-0000-0000-0000F6000000}"/>
    <cellStyle name="2_4.1.05_PD Sample Cost Oct04~Jun05 (2)_Book1_vouching_BB 07-GNA -2" xfId="201" xr:uid="{00000000-0005-0000-0000-0000F7000000}"/>
    <cellStyle name="2_4.1.05_PD Sample Cost Oct04~Jun05 (2)_Details of additions and deletions" xfId="202" xr:uid="{00000000-0005-0000-0000-0000F8000000}"/>
    <cellStyle name="2_4.1.05_PD Sample Cost Oct04~Jun05 (2)_prepaid Insurance-08 consolidated working" xfId="203" xr:uid="{00000000-0005-0000-0000-0000F9000000}"/>
    <cellStyle name="2_4.1.05_PD Sample Cost Oct04~Jun05 (2)_prepaid Insurance-08 consolidated working 2" xfId="204" xr:uid="{00000000-0005-0000-0000-0000FA000000}"/>
    <cellStyle name="2_4.1.05_PD Sample Cost Oct04~Jun05 (2)_R &amp; D Final-SI 31-Aug" xfId="205" xr:uid="{00000000-0005-0000-0000-0000FB000000}"/>
    <cellStyle name="2_4.1.05_PD Sample Cost Oct04~Jun05 (2)_R &amp; D Final-SI 31-Aug 2" xfId="206" xr:uid="{00000000-0005-0000-0000-0000FC000000}"/>
    <cellStyle name="2_4.1.05_PD Sample Cost Oct04~Jun05 (2)_R &amp; D Final-SI 31-Aug_AA" xfId="207" xr:uid="{00000000-0005-0000-0000-0000FD000000}"/>
    <cellStyle name="2_4.1.05_PD Sample Cost Oct04~Jun05 (2)_R &amp; D Final-SI 31-Aug_Accounts BHP -2009 " xfId="208" xr:uid="{00000000-0005-0000-0000-0000FE000000}"/>
    <cellStyle name="2_4.1.05_PD Sample Cost Oct04~Jun05 (2)_R &amp; D Final-SI 31-Aug_Details of additions and deletions" xfId="209" xr:uid="{00000000-0005-0000-0000-0000FF000000}"/>
    <cellStyle name="2_4.1.05_PD Sample Cost Oct04~Jun05 (2)_R &amp; D Final-SI 31-Aug_prepaid Insurance-08 consolidated working" xfId="210" xr:uid="{00000000-0005-0000-0000-000000010000}"/>
    <cellStyle name="2_4.1.05_PD Sample Cost Oct04~Jun05 (2)_R &amp; D Final-SI 31-Aug_prepaid Insurance-08 consolidated working 2" xfId="211" xr:uid="{00000000-0005-0000-0000-000001010000}"/>
    <cellStyle name="2_4.1.05_PD Sample Cost Oct04~Jun05 (2)_R &amp; D Final-SI 31-Aug_vouching" xfId="212" xr:uid="{00000000-0005-0000-0000-000002010000}"/>
    <cellStyle name="2_4.1.05_PD Sample Cost Oct04~Jun05 (2)_R &amp; D Final-SI 31-Aug_vouching_BB 07-GNA" xfId="213" xr:uid="{00000000-0005-0000-0000-000003010000}"/>
    <cellStyle name="2_4.1.05_PD Sample Cost Oct04~Jun05 (2)_R &amp; D Final-SI 31-Aug_vouching_BB 07-GNA -2" xfId="214" xr:uid="{00000000-0005-0000-0000-000004010000}"/>
    <cellStyle name="2_4.1.05_PD Sample Cost Oct04~Jun05 (2)_R &amp; D Final-SI28-8-6" xfId="215" xr:uid="{00000000-0005-0000-0000-000005010000}"/>
    <cellStyle name="2_4.1.05_PD Sample Cost Oct04~Jun05 (2)_R &amp; D Final-SI28-8-6 2" xfId="216" xr:uid="{00000000-0005-0000-0000-000006010000}"/>
    <cellStyle name="2_4.1.05_PD Sample Cost Oct04~Jun05 (2)_R &amp; D Final-SI28-8-6_AA" xfId="217" xr:uid="{00000000-0005-0000-0000-000007010000}"/>
    <cellStyle name="2_4.1.05_PD Sample Cost Oct04~Jun05 (2)_R &amp; D Final-SI28-8-6_Accounts BHP -2009 " xfId="218" xr:uid="{00000000-0005-0000-0000-000008010000}"/>
    <cellStyle name="2_4.1.05_PD Sample Cost Oct04~Jun05 (2)_R &amp; D Final-SI28-8-6_Details of additions and deletions" xfId="219" xr:uid="{00000000-0005-0000-0000-000009010000}"/>
    <cellStyle name="2_4.1.05_PD Sample Cost Oct04~Jun05 (2)_R &amp; D Final-SI28-8-6_prepaid Insurance-08 consolidated working" xfId="220" xr:uid="{00000000-0005-0000-0000-00000A010000}"/>
    <cellStyle name="2_4.1.05_PD Sample Cost Oct04~Jun05 (2)_R &amp; D Final-SI28-8-6_prepaid Insurance-08 consolidated working 2" xfId="221" xr:uid="{00000000-0005-0000-0000-00000B010000}"/>
    <cellStyle name="2_4.1.05_PD Sample Cost Oct04~Jun05 (2)_R &amp; D Final-SI28-8-6_vouching" xfId="222" xr:uid="{00000000-0005-0000-0000-00000C010000}"/>
    <cellStyle name="2_4.1.05_PD Sample Cost Oct04~Jun05 (2)_R &amp; D Final-SI28-8-6_vouching_BB 07-GNA" xfId="223" xr:uid="{00000000-0005-0000-0000-00000D010000}"/>
    <cellStyle name="2_4.1.05_PD Sample Cost Oct04~Jun05 (2)_R &amp; D Final-SI28-8-6_vouching_BB 07-GNA -2" xfId="224" xr:uid="{00000000-0005-0000-0000-00000E010000}"/>
    <cellStyle name="2_4.1.05_PD Sample Cost Oct04~Jun05 (2)_vouching" xfId="225" xr:uid="{00000000-0005-0000-0000-00000F010000}"/>
    <cellStyle name="2_4.1.05_PD Sample Cost Oct04~Jun05 (2)_vouching_BB 07-GNA" xfId="226" xr:uid="{00000000-0005-0000-0000-000010010000}"/>
    <cellStyle name="2_4.1.05_PD Sample Cost Oct04~Jun05 (2)_vouching_BB 07-GNA -2" xfId="227" xr:uid="{00000000-0005-0000-0000-000011010000}"/>
    <cellStyle name="2_4.1.05_prepaid Insurance-08 consolidated working" xfId="228" xr:uid="{00000000-0005-0000-0000-000012010000}"/>
    <cellStyle name="2_4.1.05_prepaid Insurance-08 consolidated working 2" xfId="229" xr:uid="{00000000-0005-0000-0000-000013010000}"/>
    <cellStyle name="2_4.1.05_vouching" xfId="230" xr:uid="{00000000-0005-0000-0000-000014010000}"/>
    <cellStyle name="2_4.1.05_vouching_BB 07-GNA" xfId="231" xr:uid="{00000000-0005-0000-0000-000015010000}"/>
    <cellStyle name="2_4.1.05_vouching_BB 07-GNA -2" xfId="232" xr:uid="{00000000-0005-0000-0000-000016010000}"/>
    <cellStyle name="2_4.1.06" xfId="233" xr:uid="{00000000-0005-0000-0000-000017010000}"/>
    <cellStyle name="2_4.1.06 2" xfId="234" xr:uid="{00000000-0005-0000-0000-000018010000}"/>
    <cellStyle name="2_4.1.06_AA" xfId="235" xr:uid="{00000000-0005-0000-0000-000019010000}"/>
    <cellStyle name="2_4.1.06_Accounts BHP -2009 " xfId="236" xr:uid="{00000000-0005-0000-0000-00001A010000}"/>
    <cellStyle name="2_4.1.06_Details of additions and deletions" xfId="237" xr:uid="{00000000-0005-0000-0000-00001B010000}"/>
    <cellStyle name="2_4.1.06_Fab.QWK03-2005" xfId="238" xr:uid="{00000000-0005-0000-0000-00001C010000}"/>
    <cellStyle name="2_4.1.06_Fab.QWK03-2005_A4-1503 (9733,35,36)" xfId="239" xr:uid="{00000000-0005-0000-0000-00001D010000}"/>
    <cellStyle name="2_4.1.06_Fab.QWK03-2005_Book5" xfId="240" xr:uid="{00000000-0005-0000-0000-00001E010000}"/>
    <cellStyle name="2_4.1.06_Fab.QWK03-2005_Grading Rjct Jan-07" xfId="241" xr:uid="{00000000-0005-0000-0000-00001F010000}"/>
    <cellStyle name="2_4.1.06_Fab.QWK03-2005_Grading Rjct Nov-06" xfId="242" xr:uid="{00000000-0005-0000-0000-000020010000}"/>
    <cellStyle name="2_4.1.06_Fab.QWK03-2005_Grading Rjct Sep-06" xfId="243" xr:uid="{00000000-0005-0000-0000-000021010000}"/>
    <cellStyle name="2_4.1.06_Fab.QWK03-2005_Grd Off Std Rpt (2006)" xfId="244" xr:uid="{00000000-0005-0000-0000-000022010000}"/>
    <cellStyle name="2_4.1.06_Fab.QWK03-2005_Grd Off Std Rpt (2006)02" xfId="245" xr:uid="{00000000-0005-0000-0000-000023010000}"/>
    <cellStyle name="2_4.1.06_Fab.QWK03-2005_Grd Off Std Rpt (2007)  02" xfId="246" xr:uid="{00000000-0005-0000-0000-000024010000}"/>
    <cellStyle name="2_4.1.06_Fab.QWK03-2005_Monthly Grd Prod &amp; Rej Rpt 2006" xfId="247" xr:uid="{00000000-0005-0000-0000-000025010000}"/>
    <cellStyle name="2_4.1.06_Fab.QWK03-2005_NA Grd-01-09-06" xfId="248" xr:uid="{00000000-0005-0000-0000-000026010000}"/>
    <cellStyle name="2_4.1.06_Fab.QWK03-2005_Roll wise packing list inv" xfId="249" xr:uid="{00000000-0005-0000-0000-000027010000}"/>
    <cellStyle name="2_4.1.06_Fab.QWK03-2005_Set Wise Rej Rpt" xfId="250" xr:uid="{00000000-0005-0000-0000-000028010000}"/>
    <cellStyle name="2_4.1.06_Forwarding" xfId="251" xr:uid="{00000000-0005-0000-0000-000029010000}"/>
    <cellStyle name="2_4.1.06_PD Sample Cost Oct04~Jun05 (2)" xfId="252" xr:uid="{00000000-0005-0000-0000-00002A010000}"/>
    <cellStyle name="2_4.1.06_PD Sample Cost Oct04~Jun05 (2) 2" xfId="253" xr:uid="{00000000-0005-0000-0000-00002B010000}"/>
    <cellStyle name="2_4.1.06_PD Sample Cost Oct04~Jun05 (2)_AA" xfId="254" xr:uid="{00000000-0005-0000-0000-00002C010000}"/>
    <cellStyle name="2_4.1.06_PD Sample Cost Oct04~Jun05 (2)_Accounts BHP -2009 " xfId="255" xr:uid="{00000000-0005-0000-0000-00002D010000}"/>
    <cellStyle name="2_4.1.06_PD Sample Cost Oct04~Jun05 (2)_Book1" xfId="256" xr:uid="{00000000-0005-0000-0000-00002E010000}"/>
    <cellStyle name="2_4.1.06_PD Sample Cost Oct04~Jun05 (2)_Book1 2" xfId="257" xr:uid="{00000000-0005-0000-0000-00002F010000}"/>
    <cellStyle name="2_4.1.06_PD Sample Cost Oct04~Jun05 (2)_Book1_AA" xfId="258" xr:uid="{00000000-0005-0000-0000-000030010000}"/>
    <cellStyle name="2_4.1.06_PD Sample Cost Oct04~Jun05 (2)_Book1_Accounts BHP -2009 " xfId="259" xr:uid="{00000000-0005-0000-0000-000031010000}"/>
    <cellStyle name="2_4.1.06_PD Sample Cost Oct04~Jun05 (2)_Book1_Details of additions and deletions" xfId="260" xr:uid="{00000000-0005-0000-0000-000032010000}"/>
    <cellStyle name="2_4.1.06_PD Sample Cost Oct04~Jun05 (2)_Book1_prepaid Insurance-08 consolidated working" xfId="261" xr:uid="{00000000-0005-0000-0000-000033010000}"/>
    <cellStyle name="2_4.1.06_PD Sample Cost Oct04~Jun05 (2)_Book1_prepaid Insurance-08 consolidated working 2" xfId="262" xr:uid="{00000000-0005-0000-0000-000034010000}"/>
    <cellStyle name="2_4.1.06_PD Sample Cost Oct04~Jun05 (2)_Book1_vouching" xfId="263" xr:uid="{00000000-0005-0000-0000-000035010000}"/>
    <cellStyle name="2_4.1.06_PD Sample Cost Oct04~Jun05 (2)_Book1_vouching_BB 07-GNA" xfId="264" xr:uid="{00000000-0005-0000-0000-000036010000}"/>
    <cellStyle name="2_4.1.06_PD Sample Cost Oct04~Jun05 (2)_Book1_vouching_BB 07-GNA -2" xfId="265" xr:uid="{00000000-0005-0000-0000-000037010000}"/>
    <cellStyle name="2_4.1.06_PD Sample Cost Oct04~Jun05 (2)_Details of additions and deletions" xfId="266" xr:uid="{00000000-0005-0000-0000-000038010000}"/>
    <cellStyle name="2_4.1.06_PD Sample Cost Oct04~Jun05 (2)_prepaid Insurance-08 consolidated working" xfId="267" xr:uid="{00000000-0005-0000-0000-000039010000}"/>
    <cellStyle name="2_4.1.06_PD Sample Cost Oct04~Jun05 (2)_prepaid Insurance-08 consolidated working 2" xfId="268" xr:uid="{00000000-0005-0000-0000-00003A010000}"/>
    <cellStyle name="2_4.1.06_PD Sample Cost Oct04~Jun05 (2)_R &amp; D Final-SI 31-Aug" xfId="269" xr:uid="{00000000-0005-0000-0000-00003B010000}"/>
    <cellStyle name="2_4.1.06_PD Sample Cost Oct04~Jun05 (2)_R &amp; D Final-SI 31-Aug 2" xfId="270" xr:uid="{00000000-0005-0000-0000-00003C010000}"/>
    <cellStyle name="2_4.1.06_PD Sample Cost Oct04~Jun05 (2)_R &amp; D Final-SI 31-Aug_AA" xfId="271" xr:uid="{00000000-0005-0000-0000-00003D010000}"/>
    <cellStyle name="2_4.1.06_PD Sample Cost Oct04~Jun05 (2)_R &amp; D Final-SI 31-Aug_Accounts BHP -2009 " xfId="272" xr:uid="{00000000-0005-0000-0000-00003E010000}"/>
    <cellStyle name="2_4.1.06_PD Sample Cost Oct04~Jun05 (2)_R &amp; D Final-SI 31-Aug_Details of additions and deletions" xfId="273" xr:uid="{00000000-0005-0000-0000-00003F010000}"/>
    <cellStyle name="2_4.1.06_PD Sample Cost Oct04~Jun05 (2)_R &amp; D Final-SI 31-Aug_prepaid Insurance-08 consolidated working" xfId="274" xr:uid="{00000000-0005-0000-0000-000040010000}"/>
    <cellStyle name="2_4.1.06_PD Sample Cost Oct04~Jun05 (2)_R &amp; D Final-SI 31-Aug_prepaid Insurance-08 consolidated working 2" xfId="275" xr:uid="{00000000-0005-0000-0000-000041010000}"/>
    <cellStyle name="2_4.1.06_PD Sample Cost Oct04~Jun05 (2)_R &amp; D Final-SI 31-Aug_vouching" xfId="276" xr:uid="{00000000-0005-0000-0000-000042010000}"/>
    <cellStyle name="2_4.1.06_PD Sample Cost Oct04~Jun05 (2)_R &amp; D Final-SI 31-Aug_vouching_BB 07-GNA" xfId="277" xr:uid="{00000000-0005-0000-0000-000043010000}"/>
    <cellStyle name="2_4.1.06_PD Sample Cost Oct04~Jun05 (2)_R &amp; D Final-SI 31-Aug_vouching_BB 07-GNA -2" xfId="278" xr:uid="{00000000-0005-0000-0000-000044010000}"/>
    <cellStyle name="2_4.1.06_PD Sample Cost Oct04~Jun05 (2)_R &amp; D Final-SI28-8-6" xfId="279" xr:uid="{00000000-0005-0000-0000-000045010000}"/>
    <cellStyle name="2_4.1.06_PD Sample Cost Oct04~Jun05 (2)_R &amp; D Final-SI28-8-6 2" xfId="280" xr:uid="{00000000-0005-0000-0000-000046010000}"/>
    <cellStyle name="2_4.1.06_PD Sample Cost Oct04~Jun05 (2)_R &amp; D Final-SI28-8-6_AA" xfId="281" xr:uid="{00000000-0005-0000-0000-000047010000}"/>
    <cellStyle name="2_4.1.06_PD Sample Cost Oct04~Jun05 (2)_R &amp; D Final-SI28-8-6_Accounts BHP -2009 " xfId="282" xr:uid="{00000000-0005-0000-0000-000048010000}"/>
    <cellStyle name="2_4.1.06_PD Sample Cost Oct04~Jun05 (2)_R &amp; D Final-SI28-8-6_Details of additions and deletions" xfId="283" xr:uid="{00000000-0005-0000-0000-000049010000}"/>
    <cellStyle name="2_4.1.06_PD Sample Cost Oct04~Jun05 (2)_R &amp; D Final-SI28-8-6_prepaid Insurance-08 consolidated working" xfId="284" xr:uid="{00000000-0005-0000-0000-00004A010000}"/>
    <cellStyle name="2_4.1.06_PD Sample Cost Oct04~Jun05 (2)_R &amp; D Final-SI28-8-6_prepaid Insurance-08 consolidated working 2" xfId="285" xr:uid="{00000000-0005-0000-0000-00004B010000}"/>
    <cellStyle name="2_4.1.06_PD Sample Cost Oct04~Jun05 (2)_R &amp; D Final-SI28-8-6_vouching" xfId="286" xr:uid="{00000000-0005-0000-0000-00004C010000}"/>
    <cellStyle name="2_4.1.06_PD Sample Cost Oct04~Jun05 (2)_R &amp; D Final-SI28-8-6_vouching_BB 07-GNA" xfId="287" xr:uid="{00000000-0005-0000-0000-00004D010000}"/>
    <cellStyle name="2_4.1.06_PD Sample Cost Oct04~Jun05 (2)_R &amp; D Final-SI28-8-6_vouching_BB 07-GNA -2" xfId="288" xr:uid="{00000000-0005-0000-0000-00004E010000}"/>
    <cellStyle name="2_4.1.06_PD Sample Cost Oct04~Jun05 (2)_vouching" xfId="289" xr:uid="{00000000-0005-0000-0000-00004F010000}"/>
    <cellStyle name="2_4.1.06_PD Sample Cost Oct04~Jun05 (2)_vouching_BB 07-GNA" xfId="290" xr:uid="{00000000-0005-0000-0000-000050010000}"/>
    <cellStyle name="2_4.1.06_PD Sample Cost Oct04~Jun05 (2)_vouching_BB 07-GNA -2" xfId="291" xr:uid="{00000000-0005-0000-0000-000051010000}"/>
    <cellStyle name="2_4.1.06_prepaid Insurance-08 consolidated working" xfId="292" xr:uid="{00000000-0005-0000-0000-000052010000}"/>
    <cellStyle name="2_4.1.06_prepaid Insurance-08 consolidated working 2" xfId="293" xr:uid="{00000000-0005-0000-0000-000053010000}"/>
    <cellStyle name="2_4.1.06_vouching" xfId="294" xr:uid="{00000000-0005-0000-0000-000054010000}"/>
    <cellStyle name="2_4.1.06_vouching_BB 07-GNA" xfId="295" xr:uid="{00000000-0005-0000-0000-000055010000}"/>
    <cellStyle name="2_4.1.06_vouching_BB 07-GNA -2" xfId="296" xr:uid="{00000000-0005-0000-0000-000056010000}"/>
    <cellStyle name="2_4.16" xfId="297" xr:uid="{00000000-0005-0000-0000-000057010000}"/>
    <cellStyle name="2_4.16 (2)" xfId="298" xr:uid="{00000000-0005-0000-0000-000058010000}"/>
    <cellStyle name="2_4.16 (2)_AA" xfId="299" xr:uid="{00000000-0005-0000-0000-000059010000}"/>
    <cellStyle name="2_4.16 (2)_Details of additions and deletions" xfId="300" xr:uid="{00000000-0005-0000-0000-00005A010000}"/>
    <cellStyle name="2_4.16 (2)_Fab.QWK03-2005" xfId="301" xr:uid="{00000000-0005-0000-0000-00005B010000}"/>
    <cellStyle name="2_4.16 (2)_Fab.QWK03-2005_A4-1503 (9733,35,36)" xfId="302" xr:uid="{00000000-0005-0000-0000-00005C010000}"/>
    <cellStyle name="2_4.16 (2)_Fab.QWK03-2005_Book5" xfId="303" xr:uid="{00000000-0005-0000-0000-00005D010000}"/>
    <cellStyle name="2_4.16 (2)_Fab.QWK03-2005_Grading Rjct Jan-07" xfId="304" xr:uid="{00000000-0005-0000-0000-00005E010000}"/>
    <cellStyle name="2_4.16 (2)_Fab.QWK03-2005_Grading Rjct Nov-06" xfId="305" xr:uid="{00000000-0005-0000-0000-00005F010000}"/>
    <cellStyle name="2_4.16 (2)_Fab.QWK03-2005_Grading Rjct Sep-06" xfId="306" xr:uid="{00000000-0005-0000-0000-000060010000}"/>
    <cellStyle name="2_4.16 (2)_Fab.QWK03-2005_Grd Off Std Rpt (2006)" xfId="307" xr:uid="{00000000-0005-0000-0000-000061010000}"/>
    <cellStyle name="2_4.16 (2)_Fab.QWK03-2005_Grd Off Std Rpt (2006)02" xfId="308" xr:uid="{00000000-0005-0000-0000-000062010000}"/>
    <cellStyle name="2_4.16 (2)_Fab.QWK03-2005_Grd Off Std Rpt (2007)  02" xfId="309" xr:uid="{00000000-0005-0000-0000-000063010000}"/>
    <cellStyle name="2_4.16 (2)_Fab.QWK03-2005_Monthly Grd Prod &amp; Rej Rpt 2006" xfId="310" xr:uid="{00000000-0005-0000-0000-000064010000}"/>
    <cellStyle name="2_4.16 (2)_Fab.QWK03-2005_NA Grd-01-09-06" xfId="311" xr:uid="{00000000-0005-0000-0000-000065010000}"/>
    <cellStyle name="2_4.16 (2)_Fab.QWK03-2005_Roll wise packing list inv" xfId="312" xr:uid="{00000000-0005-0000-0000-000066010000}"/>
    <cellStyle name="2_4.16 (2)_Fab.QWK03-2005_Set Wise Rej Rpt" xfId="313" xr:uid="{00000000-0005-0000-0000-000067010000}"/>
    <cellStyle name="2_4.16 (2)_Forwarding" xfId="314" xr:uid="{00000000-0005-0000-0000-000068010000}"/>
    <cellStyle name="2_4.16 (2)_PD Sample Cost Oct04~Jun05 (2)" xfId="315" xr:uid="{00000000-0005-0000-0000-000069010000}"/>
    <cellStyle name="2_4.16 (2)_PD Sample Cost Oct04~Jun05 (2)_AA" xfId="316" xr:uid="{00000000-0005-0000-0000-00006A010000}"/>
    <cellStyle name="2_4.16 (2)_PD Sample Cost Oct04~Jun05 (2)_Book1" xfId="317" xr:uid="{00000000-0005-0000-0000-00006B010000}"/>
    <cellStyle name="2_4.16 (2)_PD Sample Cost Oct04~Jun05 (2)_Book1_AA" xfId="318" xr:uid="{00000000-0005-0000-0000-00006C010000}"/>
    <cellStyle name="2_4.16 (2)_PD Sample Cost Oct04~Jun05 (2)_Book1_Details of additions and deletions" xfId="319" xr:uid="{00000000-0005-0000-0000-00006D010000}"/>
    <cellStyle name="2_4.16 (2)_PD Sample Cost Oct04~Jun05 (2)_Book1_vouching" xfId="320" xr:uid="{00000000-0005-0000-0000-00006E010000}"/>
    <cellStyle name="2_4.16 (2)_PD Sample Cost Oct04~Jun05 (2)_Book1_vouching_BB 07-GNA" xfId="321" xr:uid="{00000000-0005-0000-0000-00006F010000}"/>
    <cellStyle name="2_4.16 (2)_PD Sample Cost Oct04~Jun05 (2)_Book1_vouching_BB 07-GNA -2" xfId="322" xr:uid="{00000000-0005-0000-0000-000070010000}"/>
    <cellStyle name="2_4.16 (2)_PD Sample Cost Oct04~Jun05 (2)_Details of additions and deletions" xfId="323" xr:uid="{00000000-0005-0000-0000-000071010000}"/>
    <cellStyle name="2_4.16 (2)_PD Sample Cost Oct04~Jun05 (2)_R &amp; D Final-SI 31-Aug" xfId="324" xr:uid="{00000000-0005-0000-0000-000072010000}"/>
    <cellStyle name="2_4.16 (2)_PD Sample Cost Oct04~Jun05 (2)_R &amp; D Final-SI 31-Aug_AA" xfId="325" xr:uid="{00000000-0005-0000-0000-000073010000}"/>
    <cellStyle name="2_4.16 (2)_PD Sample Cost Oct04~Jun05 (2)_R &amp; D Final-SI 31-Aug_Details of additions and deletions" xfId="326" xr:uid="{00000000-0005-0000-0000-000074010000}"/>
    <cellStyle name="2_4.16 (2)_PD Sample Cost Oct04~Jun05 (2)_R &amp; D Final-SI 31-Aug_vouching" xfId="327" xr:uid="{00000000-0005-0000-0000-000075010000}"/>
    <cellStyle name="2_4.16 (2)_PD Sample Cost Oct04~Jun05 (2)_R &amp; D Final-SI 31-Aug_vouching_BB 07-GNA" xfId="328" xr:uid="{00000000-0005-0000-0000-000076010000}"/>
    <cellStyle name="2_4.16 (2)_PD Sample Cost Oct04~Jun05 (2)_R &amp; D Final-SI 31-Aug_vouching_BB 07-GNA -2" xfId="329" xr:uid="{00000000-0005-0000-0000-000077010000}"/>
    <cellStyle name="2_4.16 (2)_PD Sample Cost Oct04~Jun05 (2)_R &amp; D Final-SI28-8-6" xfId="330" xr:uid="{00000000-0005-0000-0000-000078010000}"/>
    <cellStyle name="2_4.16 (2)_PD Sample Cost Oct04~Jun05 (2)_R &amp; D Final-SI28-8-6_AA" xfId="331" xr:uid="{00000000-0005-0000-0000-000079010000}"/>
    <cellStyle name="2_4.16 (2)_PD Sample Cost Oct04~Jun05 (2)_R &amp; D Final-SI28-8-6_Details of additions and deletions" xfId="332" xr:uid="{00000000-0005-0000-0000-00007A010000}"/>
    <cellStyle name="2_4.16 (2)_PD Sample Cost Oct04~Jun05 (2)_R &amp; D Final-SI28-8-6_vouching" xfId="333" xr:uid="{00000000-0005-0000-0000-00007B010000}"/>
    <cellStyle name="2_4.16 (2)_PD Sample Cost Oct04~Jun05 (2)_R &amp; D Final-SI28-8-6_vouching_BB 07-GNA" xfId="334" xr:uid="{00000000-0005-0000-0000-00007C010000}"/>
    <cellStyle name="2_4.16 (2)_PD Sample Cost Oct04~Jun05 (2)_R &amp; D Final-SI28-8-6_vouching_BB 07-GNA -2" xfId="335" xr:uid="{00000000-0005-0000-0000-00007D010000}"/>
    <cellStyle name="2_4.16 (2)_PD Sample Cost Oct04~Jun05 (2)_vouching" xfId="336" xr:uid="{00000000-0005-0000-0000-00007E010000}"/>
    <cellStyle name="2_4.16 (2)_PD Sample Cost Oct04~Jun05 (2)_vouching_BB 07-GNA" xfId="337" xr:uid="{00000000-0005-0000-0000-00007F010000}"/>
    <cellStyle name="2_4.16 (2)_PD Sample Cost Oct04~Jun05 (2)_vouching_BB 07-GNA -2" xfId="338" xr:uid="{00000000-0005-0000-0000-000080010000}"/>
    <cellStyle name="2_4.16 (2)_vouching" xfId="339" xr:uid="{00000000-0005-0000-0000-000081010000}"/>
    <cellStyle name="2_4.16 (2)_vouching_BB 07-GNA" xfId="340" xr:uid="{00000000-0005-0000-0000-000082010000}"/>
    <cellStyle name="2_4.16 (2)_vouching_BB 07-GNA -2" xfId="341" xr:uid="{00000000-0005-0000-0000-000083010000}"/>
    <cellStyle name="2_4.16_AA" xfId="342" xr:uid="{00000000-0005-0000-0000-000084010000}"/>
    <cellStyle name="2_4.16_Details of additions and deletions" xfId="343" xr:uid="{00000000-0005-0000-0000-000085010000}"/>
    <cellStyle name="2_4.16_Fab.QWK03-2005" xfId="344" xr:uid="{00000000-0005-0000-0000-000086010000}"/>
    <cellStyle name="2_4.16_Fab.QWK03-2005_A4-1503 (9733,35,36)" xfId="345" xr:uid="{00000000-0005-0000-0000-000087010000}"/>
    <cellStyle name="2_4.16_Fab.QWK03-2005_Book5" xfId="346" xr:uid="{00000000-0005-0000-0000-000088010000}"/>
    <cellStyle name="2_4.16_Fab.QWK03-2005_Grading Rjct Jan-07" xfId="347" xr:uid="{00000000-0005-0000-0000-000089010000}"/>
    <cellStyle name="2_4.16_Fab.QWK03-2005_Grading Rjct Nov-06" xfId="348" xr:uid="{00000000-0005-0000-0000-00008A010000}"/>
    <cellStyle name="2_4.16_Fab.QWK03-2005_Grading Rjct Sep-06" xfId="349" xr:uid="{00000000-0005-0000-0000-00008B010000}"/>
    <cellStyle name="2_4.16_Fab.QWK03-2005_Grd Off Std Rpt (2006)" xfId="350" xr:uid="{00000000-0005-0000-0000-00008C010000}"/>
    <cellStyle name="2_4.16_Fab.QWK03-2005_Grd Off Std Rpt (2006)02" xfId="351" xr:uid="{00000000-0005-0000-0000-00008D010000}"/>
    <cellStyle name="2_4.16_Fab.QWK03-2005_Grd Off Std Rpt (2007)  02" xfId="352" xr:uid="{00000000-0005-0000-0000-00008E010000}"/>
    <cellStyle name="2_4.16_Fab.QWK03-2005_Monthly Grd Prod &amp; Rej Rpt 2006" xfId="353" xr:uid="{00000000-0005-0000-0000-00008F010000}"/>
    <cellStyle name="2_4.16_Fab.QWK03-2005_NA Grd-01-09-06" xfId="354" xr:uid="{00000000-0005-0000-0000-000090010000}"/>
    <cellStyle name="2_4.16_Fab.QWK03-2005_Roll wise packing list inv" xfId="355" xr:uid="{00000000-0005-0000-0000-000091010000}"/>
    <cellStyle name="2_4.16_Fab.QWK03-2005_Set Wise Rej Rpt" xfId="356" xr:uid="{00000000-0005-0000-0000-000092010000}"/>
    <cellStyle name="2_4.16_Forwarding" xfId="357" xr:uid="{00000000-0005-0000-0000-000093010000}"/>
    <cellStyle name="2_4.16_PD Sample Cost Oct04~Jun05 (2)" xfId="358" xr:uid="{00000000-0005-0000-0000-000094010000}"/>
    <cellStyle name="2_4.16_PD Sample Cost Oct04~Jun05 (2)_AA" xfId="359" xr:uid="{00000000-0005-0000-0000-000095010000}"/>
    <cellStyle name="2_4.16_PD Sample Cost Oct04~Jun05 (2)_Book1" xfId="360" xr:uid="{00000000-0005-0000-0000-000096010000}"/>
    <cellStyle name="2_4.16_PD Sample Cost Oct04~Jun05 (2)_Book1_AA" xfId="361" xr:uid="{00000000-0005-0000-0000-000097010000}"/>
    <cellStyle name="2_4.16_PD Sample Cost Oct04~Jun05 (2)_Book1_Details of additions and deletions" xfId="362" xr:uid="{00000000-0005-0000-0000-000098010000}"/>
    <cellStyle name="2_4.16_PD Sample Cost Oct04~Jun05 (2)_Book1_vouching" xfId="363" xr:uid="{00000000-0005-0000-0000-000099010000}"/>
    <cellStyle name="2_4.16_PD Sample Cost Oct04~Jun05 (2)_Book1_vouching_BB 07-GNA" xfId="364" xr:uid="{00000000-0005-0000-0000-00009A010000}"/>
    <cellStyle name="2_4.16_PD Sample Cost Oct04~Jun05 (2)_Book1_vouching_BB 07-GNA -2" xfId="365" xr:uid="{00000000-0005-0000-0000-00009B010000}"/>
    <cellStyle name="2_4.16_PD Sample Cost Oct04~Jun05 (2)_Details of additions and deletions" xfId="366" xr:uid="{00000000-0005-0000-0000-00009C010000}"/>
    <cellStyle name="2_4.16_PD Sample Cost Oct04~Jun05 (2)_R &amp; D Final-SI 31-Aug" xfId="367" xr:uid="{00000000-0005-0000-0000-00009D010000}"/>
    <cellStyle name="2_4.16_PD Sample Cost Oct04~Jun05 (2)_R &amp; D Final-SI 31-Aug_AA" xfId="368" xr:uid="{00000000-0005-0000-0000-00009E010000}"/>
    <cellStyle name="2_4.16_PD Sample Cost Oct04~Jun05 (2)_R &amp; D Final-SI 31-Aug_Details of additions and deletions" xfId="369" xr:uid="{00000000-0005-0000-0000-00009F010000}"/>
    <cellStyle name="2_4.16_PD Sample Cost Oct04~Jun05 (2)_R &amp; D Final-SI 31-Aug_vouching" xfId="370" xr:uid="{00000000-0005-0000-0000-0000A0010000}"/>
    <cellStyle name="2_4.16_PD Sample Cost Oct04~Jun05 (2)_R &amp; D Final-SI 31-Aug_vouching_BB 07-GNA" xfId="371" xr:uid="{00000000-0005-0000-0000-0000A1010000}"/>
    <cellStyle name="2_4.16_PD Sample Cost Oct04~Jun05 (2)_R &amp; D Final-SI 31-Aug_vouching_BB 07-GNA -2" xfId="372" xr:uid="{00000000-0005-0000-0000-0000A2010000}"/>
    <cellStyle name="2_4.16_PD Sample Cost Oct04~Jun05 (2)_R &amp; D Final-SI28-8-6" xfId="373" xr:uid="{00000000-0005-0000-0000-0000A3010000}"/>
    <cellStyle name="2_4.16_PD Sample Cost Oct04~Jun05 (2)_R &amp; D Final-SI28-8-6_AA" xfId="374" xr:uid="{00000000-0005-0000-0000-0000A4010000}"/>
    <cellStyle name="2_4.16_PD Sample Cost Oct04~Jun05 (2)_R &amp; D Final-SI28-8-6_Details of additions and deletions" xfId="375" xr:uid="{00000000-0005-0000-0000-0000A5010000}"/>
    <cellStyle name="2_4.16_PD Sample Cost Oct04~Jun05 (2)_R &amp; D Final-SI28-8-6_vouching" xfId="376" xr:uid="{00000000-0005-0000-0000-0000A6010000}"/>
    <cellStyle name="2_4.16_PD Sample Cost Oct04~Jun05 (2)_R &amp; D Final-SI28-8-6_vouching_BB 07-GNA" xfId="377" xr:uid="{00000000-0005-0000-0000-0000A7010000}"/>
    <cellStyle name="2_4.16_PD Sample Cost Oct04~Jun05 (2)_R &amp; D Final-SI28-8-6_vouching_BB 07-GNA -2" xfId="378" xr:uid="{00000000-0005-0000-0000-0000A8010000}"/>
    <cellStyle name="2_4.16_PD Sample Cost Oct04~Jun05 (2)_vouching" xfId="379" xr:uid="{00000000-0005-0000-0000-0000A9010000}"/>
    <cellStyle name="2_4.16_PD Sample Cost Oct04~Jun05 (2)_vouching_BB 07-GNA" xfId="380" xr:uid="{00000000-0005-0000-0000-0000AA010000}"/>
    <cellStyle name="2_4.16_PD Sample Cost Oct04~Jun05 (2)_vouching_BB 07-GNA -2" xfId="381" xr:uid="{00000000-0005-0000-0000-0000AB010000}"/>
    <cellStyle name="2_4.16_vouching" xfId="382" xr:uid="{00000000-0005-0000-0000-0000AC010000}"/>
    <cellStyle name="2_4.16_vouching_BB 07-GNA" xfId="383" xr:uid="{00000000-0005-0000-0000-0000AD010000}"/>
    <cellStyle name="2_4.16_vouching_BB 07-GNA -2" xfId="384" xr:uid="{00000000-0005-0000-0000-0000AE010000}"/>
    <cellStyle name="2_4.17" xfId="385" xr:uid="{00000000-0005-0000-0000-0000AF010000}"/>
    <cellStyle name="2_4.17 (2)" xfId="386" xr:uid="{00000000-0005-0000-0000-0000B0010000}"/>
    <cellStyle name="2_4.17 (2)_Fab.QWK03-2005" xfId="387" xr:uid="{00000000-0005-0000-0000-0000B1010000}"/>
    <cellStyle name="2_4.17 (2)_Fab.QWK03-2005_A4-1503 (9733,35,36)" xfId="388" xr:uid="{00000000-0005-0000-0000-0000B2010000}"/>
    <cellStyle name="2_4.17 (2)_Fab.QWK03-2005_Book5" xfId="389" xr:uid="{00000000-0005-0000-0000-0000B3010000}"/>
    <cellStyle name="2_4.17 (2)_Fab.QWK03-2005_Grading Rjct Jan-07" xfId="390" xr:uid="{00000000-0005-0000-0000-0000B4010000}"/>
    <cellStyle name="2_4.17 (2)_Fab.QWK03-2005_Grading Rjct Nov-06" xfId="391" xr:uid="{00000000-0005-0000-0000-0000B5010000}"/>
    <cellStyle name="2_4.17 (2)_Fab.QWK03-2005_Grading Rjct Sep-06" xfId="392" xr:uid="{00000000-0005-0000-0000-0000B6010000}"/>
    <cellStyle name="2_4.17 (2)_Fab.QWK03-2005_Grd Off Std Rpt (2006)" xfId="393" xr:uid="{00000000-0005-0000-0000-0000B7010000}"/>
    <cellStyle name="2_4.17 (2)_Fab.QWK03-2005_Grd Off Std Rpt (2006)02" xfId="394" xr:uid="{00000000-0005-0000-0000-0000B8010000}"/>
    <cellStyle name="2_4.17 (2)_Fab.QWK03-2005_Grd Off Std Rpt (2007)  02" xfId="395" xr:uid="{00000000-0005-0000-0000-0000B9010000}"/>
    <cellStyle name="2_4.17 (2)_Fab.QWK03-2005_Monthly Grd Prod &amp; Rej Rpt 2006" xfId="396" xr:uid="{00000000-0005-0000-0000-0000BA010000}"/>
    <cellStyle name="2_4.17 (2)_Fab.QWK03-2005_NA Grd-01-09-06" xfId="397" xr:uid="{00000000-0005-0000-0000-0000BB010000}"/>
    <cellStyle name="2_4.17 (2)_Fab.QWK03-2005_Roll wise packing list inv" xfId="398" xr:uid="{00000000-0005-0000-0000-0000BC010000}"/>
    <cellStyle name="2_4.17 (2)_Fab.QWK03-2005_Set Wise Rej Rpt" xfId="399" xr:uid="{00000000-0005-0000-0000-0000BD010000}"/>
    <cellStyle name="2_4.17 (2)_Forwarding" xfId="400" xr:uid="{00000000-0005-0000-0000-0000BE010000}"/>
    <cellStyle name="2_4.17_Fab.QWK03-2005" xfId="401" xr:uid="{00000000-0005-0000-0000-0000BF010000}"/>
    <cellStyle name="2_4.17_Fab.QWK03-2005_A4-1503 (9733,35,36)" xfId="402" xr:uid="{00000000-0005-0000-0000-0000C0010000}"/>
    <cellStyle name="2_4.17_Fab.QWK03-2005_Book5" xfId="403" xr:uid="{00000000-0005-0000-0000-0000C1010000}"/>
    <cellStyle name="2_4.17_Fab.QWK03-2005_Grading Rjct Jan-07" xfId="404" xr:uid="{00000000-0005-0000-0000-0000C2010000}"/>
    <cellStyle name="2_4.17_Fab.QWK03-2005_Grading Rjct Nov-06" xfId="405" xr:uid="{00000000-0005-0000-0000-0000C3010000}"/>
    <cellStyle name="2_4.17_Fab.QWK03-2005_Grading Rjct Sep-06" xfId="406" xr:uid="{00000000-0005-0000-0000-0000C4010000}"/>
    <cellStyle name="2_4.17_Fab.QWK03-2005_Grd Off Std Rpt (2006)" xfId="407" xr:uid="{00000000-0005-0000-0000-0000C5010000}"/>
    <cellStyle name="2_4.17_Fab.QWK03-2005_Grd Off Std Rpt (2006)02" xfId="408" xr:uid="{00000000-0005-0000-0000-0000C6010000}"/>
    <cellStyle name="2_4.17_Fab.QWK03-2005_Grd Off Std Rpt (2007)  02" xfId="409" xr:uid="{00000000-0005-0000-0000-0000C7010000}"/>
    <cellStyle name="2_4.17_Fab.QWK03-2005_Monthly Grd Prod &amp; Rej Rpt 2006" xfId="410" xr:uid="{00000000-0005-0000-0000-0000C8010000}"/>
    <cellStyle name="2_4.17_Fab.QWK03-2005_NA Grd-01-09-06" xfId="411" xr:uid="{00000000-0005-0000-0000-0000C9010000}"/>
    <cellStyle name="2_4.17_Fab.QWK03-2005_Roll wise packing list inv" xfId="412" xr:uid="{00000000-0005-0000-0000-0000CA010000}"/>
    <cellStyle name="2_4.17_Fab.QWK03-2005_Set Wise Rej Rpt" xfId="413" xr:uid="{00000000-0005-0000-0000-0000CB010000}"/>
    <cellStyle name="2_4.17_Forwarding" xfId="414" xr:uid="{00000000-0005-0000-0000-0000CC010000}"/>
    <cellStyle name="2_4.18.01" xfId="415" xr:uid="{00000000-0005-0000-0000-0000CD010000}"/>
    <cellStyle name="2_4.18.01_Fab.QWK03-2005" xfId="416" xr:uid="{00000000-0005-0000-0000-0000CE010000}"/>
    <cellStyle name="2_4.18.01_Fab.QWK03-2005_A4-1503 (9733,35,36)" xfId="417" xr:uid="{00000000-0005-0000-0000-0000CF010000}"/>
    <cellStyle name="2_4.18.01_Fab.QWK03-2005_Book5" xfId="418" xr:uid="{00000000-0005-0000-0000-0000D0010000}"/>
    <cellStyle name="2_4.18.01_Fab.QWK03-2005_Grading Rjct Jan-07" xfId="419" xr:uid="{00000000-0005-0000-0000-0000D1010000}"/>
    <cellStyle name="2_4.18.01_Fab.QWK03-2005_Grading Rjct Nov-06" xfId="420" xr:uid="{00000000-0005-0000-0000-0000D2010000}"/>
    <cellStyle name="2_4.18.01_Fab.QWK03-2005_Grading Rjct Sep-06" xfId="421" xr:uid="{00000000-0005-0000-0000-0000D3010000}"/>
    <cellStyle name="2_4.18.01_Fab.QWK03-2005_Grd Off Std Rpt (2006)" xfId="422" xr:uid="{00000000-0005-0000-0000-0000D4010000}"/>
    <cellStyle name="2_4.18.01_Fab.QWK03-2005_Grd Off Std Rpt (2006)02" xfId="423" xr:uid="{00000000-0005-0000-0000-0000D5010000}"/>
    <cellStyle name="2_4.18.01_Fab.QWK03-2005_Grd Off Std Rpt (2007)  02" xfId="424" xr:uid="{00000000-0005-0000-0000-0000D6010000}"/>
    <cellStyle name="2_4.18.01_Fab.QWK03-2005_Monthly Grd Prod &amp; Rej Rpt 2006" xfId="425" xr:uid="{00000000-0005-0000-0000-0000D7010000}"/>
    <cellStyle name="2_4.18.01_Fab.QWK03-2005_NA Grd-01-09-06" xfId="426" xr:uid="{00000000-0005-0000-0000-0000D8010000}"/>
    <cellStyle name="2_4.18.01_Fab.QWK03-2005_Roll wise packing list inv" xfId="427" xr:uid="{00000000-0005-0000-0000-0000D9010000}"/>
    <cellStyle name="2_4.18.01_Fab.QWK03-2005_Set Wise Rej Rpt" xfId="428" xr:uid="{00000000-0005-0000-0000-0000DA010000}"/>
    <cellStyle name="2_4.18.01_Forwarding" xfId="429" xr:uid="{00000000-0005-0000-0000-0000DB010000}"/>
    <cellStyle name="2_4.2.39" xfId="430" xr:uid="{00000000-0005-0000-0000-0000DC010000}"/>
    <cellStyle name="2_4.2.39_AA" xfId="431" xr:uid="{00000000-0005-0000-0000-0000DD010000}"/>
    <cellStyle name="2_4.2.39_Details of additions and deletions" xfId="432" xr:uid="{00000000-0005-0000-0000-0000DE010000}"/>
    <cellStyle name="2_4.2.39_vouching" xfId="433" xr:uid="{00000000-0005-0000-0000-0000DF010000}"/>
    <cellStyle name="2_4.2.39_vouching_BB 07-GNA" xfId="434" xr:uid="{00000000-0005-0000-0000-0000E0010000}"/>
    <cellStyle name="2_4.2.39_vouching_BB 07-GNA -2" xfId="435" xr:uid="{00000000-0005-0000-0000-0000E1010000}"/>
    <cellStyle name="2_4.2.50" xfId="436" xr:uid="{00000000-0005-0000-0000-0000E2010000}"/>
    <cellStyle name="2_4.2.50_AA" xfId="437" xr:uid="{00000000-0005-0000-0000-0000E3010000}"/>
    <cellStyle name="2_4.2.50_Details of additions and deletions" xfId="438" xr:uid="{00000000-0005-0000-0000-0000E4010000}"/>
    <cellStyle name="2_4.2.50_vouching" xfId="439" xr:uid="{00000000-0005-0000-0000-0000E5010000}"/>
    <cellStyle name="2_4.2.50_vouching_BB 07-GNA" xfId="440" xr:uid="{00000000-0005-0000-0000-0000E6010000}"/>
    <cellStyle name="2_4.2.50_vouching_BB 07-GNA -2" xfId="441" xr:uid="{00000000-0005-0000-0000-0000E7010000}"/>
    <cellStyle name="2_4.2.51" xfId="442" xr:uid="{00000000-0005-0000-0000-0000E8010000}"/>
    <cellStyle name="2_4.2.51_AA" xfId="443" xr:uid="{00000000-0005-0000-0000-0000E9010000}"/>
    <cellStyle name="2_4.2.51_Details of additions and deletions" xfId="444" xr:uid="{00000000-0005-0000-0000-0000EA010000}"/>
    <cellStyle name="2_4.2.51_vouching" xfId="445" xr:uid="{00000000-0005-0000-0000-0000EB010000}"/>
    <cellStyle name="2_4.2.51_vouching_BB 07-GNA" xfId="446" xr:uid="{00000000-0005-0000-0000-0000EC010000}"/>
    <cellStyle name="2_4.2.51_vouching_BB 07-GNA -2" xfId="447" xr:uid="{00000000-0005-0000-0000-0000ED010000}"/>
    <cellStyle name="2_4.2.52" xfId="448" xr:uid="{00000000-0005-0000-0000-0000EE010000}"/>
    <cellStyle name="2_4.2.52 2" xfId="449" xr:uid="{00000000-0005-0000-0000-0000EF010000}"/>
    <cellStyle name="2_4.2.52_AA" xfId="450" xr:uid="{00000000-0005-0000-0000-0000F0010000}"/>
    <cellStyle name="2_4.2.52_Accounts BHP -2009 " xfId="451" xr:uid="{00000000-0005-0000-0000-0000F1010000}"/>
    <cellStyle name="2_4.2.52_Details of additions and deletions" xfId="452" xr:uid="{00000000-0005-0000-0000-0000F2010000}"/>
    <cellStyle name="2_4.2.52_Fab.QWK03-2005" xfId="453" xr:uid="{00000000-0005-0000-0000-0000F3010000}"/>
    <cellStyle name="2_4.2.52_Fab.QWK03-2005_A4-1503 (9733,35,36)" xfId="454" xr:uid="{00000000-0005-0000-0000-0000F4010000}"/>
    <cellStyle name="2_4.2.52_Fab.QWK03-2005_Book5" xfId="455" xr:uid="{00000000-0005-0000-0000-0000F5010000}"/>
    <cellStyle name="2_4.2.52_Fab.QWK03-2005_Grading Rjct Jan-07" xfId="456" xr:uid="{00000000-0005-0000-0000-0000F6010000}"/>
    <cellStyle name="2_4.2.52_Fab.QWK03-2005_Grading Rjct Nov-06" xfId="457" xr:uid="{00000000-0005-0000-0000-0000F7010000}"/>
    <cellStyle name="2_4.2.52_Fab.QWK03-2005_Grading Rjct Sep-06" xfId="458" xr:uid="{00000000-0005-0000-0000-0000F8010000}"/>
    <cellStyle name="2_4.2.52_Fab.QWK03-2005_Grd Off Std Rpt (2006)" xfId="459" xr:uid="{00000000-0005-0000-0000-0000F9010000}"/>
    <cellStyle name="2_4.2.52_Fab.QWK03-2005_Grd Off Std Rpt (2006)02" xfId="460" xr:uid="{00000000-0005-0000-0000-0000FA010000}"/>
    <cellStyle name="2_4.2.52_Fab.QWK03-2005_Grd Off Std Rpt (2007)  02" xfId="461" xr:uid="{00000000-0005-0000-0000-0000FB010000}"/>
    <cellStyle name="2_4.2.52_Fab.QWK03-2005_Monthly Grd Prod &amp; Rej Rpt 2006" xfId="462" xr:uid="{00000000-0005-0000-0000-0000FC010000}"/>
    <cellStyle name="2_4.2.52_Fab.QWK03-2005_NA Grd-01-09-06" xfId="463" xr:uid="{00000000-0005-0000-0000-0000FD010000}"/>
    <cellStyle name="2_4.2.52_Fab.QWK03-2005_Roll wise packing list inv" xfId="464" xr:uid="{00000000-0005-0000-0000-0000FE010000}"/>
    <cellStyle name="2_4.2.52_Fab.QWK03-2005_Set Wise Rej Rpt" xfId="465" xr:uid="{00000000-0005-0000-0000-0000FF010000}"/>
    <cellStyle name="2_4.2.52_Forwarding" xfId="466" xr:uid="{00000000-0005-0000-0000-000000020000}"/>
    <cellStyle name="2_4.2.52_PD Sample Cost Oct04~Jun05 (2)" xfId="467" xr:uid="{00000000-0005-0000-0000-000001020000}"/>
    <cellStyle name="2_4.2.52_PD Sample Cost Oct04~Jun05 (2) 2" xfId="468" xr:uid="{00000000-0005-0000-0000-000002020000}"/>
    <cellStyle name="2_4.2.52_PD Sample Cost Oct04~Jun05 (2)_AA" xfId="469" xr:uid="{00000000-0005-0000-0000-000003020000}"/>
    <cellStyle name="2_4.2.52_PD Sample Cost Oct04~Jun05 (2)_Accounts BHP -2009 " xfId="470" xr:uid="{00000000-0005-0000-0000-000004020000}"/>
    <cellStyle name="2_4.2.52_PD Sample Cost Oct04~Jun05 (2)_Book1" xfId="471" xr:uid="{00000000-0005-0000-0000-000005020000}"/>
    <cellStyle name="2_4.2.52_PD Sample Cost Oct04~Jun05 (2)_Book1 2" xfId="472" xr:uid="{00000000-0005-0000-0000-000006020000}"/>
    <cellStyle name="2_4.2.52_PD Sample Cost Oct04~Jun05 (2)_Book1_AA" xfId="473" xr:uid="{00000000-0005-0000-0000-000007020000}"/>
    <cellStyle name="2_4.2.52_PD Sample Cost Oct04~Jun05 (2)_Book1_Accounts BHP -2009 " xfId="474" xr:uid="{00000000-0005-0000-0000-000008020000}"/>
    <cellStyle name="2_4.2.52_PD Sample Cost Oct04~Jun05 (2)_Book1_Details of additions and deletions" xfId="475" xr:uid="{00000000-0005-0000-0000-000009020000}"/>
    <cellStyle name="2_4.2.52_PD Sample Cost Oct04~Jun05 (2)_Book1_prepaid Insurance-08 consolidated working" xfId="476" xr:uid="{00000000-0005-0000-0000-00000A020000}"/>
    <cellStyle name="2_4.2.52_PD Sample Cost Oct04~Jun05 (2)_Book1_prepaid Insurance-08 consolidated working 2" xfId="477" xr:uid="{00000000-0005-0000-0000-00000B020000}"/>
    <cellStyle name="2_4.2.52_PD Sample Cost Oct04~Jun05 (2)_Book1_vouching" xfId="478" xr:uid="{00000000-0005-0000-0000-00000C020000}"/>
    <cellStyle name="2_4.2.52_PD Sample Cost Oct04~Jun05 (2)_Book1_vouching_BB 07-GNA" xfId="479" xr:uid="{00000000-0005-0000-0000-00000D020000}"/>
    <cellStyle name="2_4.2.52_PD Sample Cost Oct04~Jun05 (2)_Book1_vouching_BB 07-GNA -2" xfId="480" xr:uid="{00000000-0005-0000-0000-00000E020000}"/>
    <cellStyle name="2_4.2.52_PD Sample Cost Oct04~Jun05 (2)_Details of additions and deletions" xfId="481" xr:uid="{00000000-0005-0000-0000-00000F020000}"/>
    <cellStyle name="2_4.2.52_PD Sample Cost Oct04~Jun05 (2)_prepaid Insurance-08 consolidated working" xfId="482" xr:uid="{00000000-0005-0000-0000-000010020000}"/>
    <cellStyle name="2_4.2.52_PD Sample Cost Oct04~Jun05 (2)_prepaid Insurance-08 consolidated working 2" xfId="483" xr:uid="{00000000-0005-0000-0000-000011020000}"/>
    <cellStyle name="2_4.2.52_PD Sample Cost Oct04~Jun05 (2)_R &amp; D Final-SI 31-Aug" xfId="484" xr:uid="{00000000-0005-0000-0000-000012020000}"/>
    <cellStyle name="2_4.2.52_PD Sample Cost Oct04~Jun05 (2)_R &amp; D Final-SI 31-Aug 2" xfId="485" xr:uid="{00000000-0005-0000-0000-000013020000}"/>
    <cellStyle name="2_4.2.52_PD Sample Cost Oct04~Jun05 (2)_R &amp; D Final-SI 31-Aug_AA" xfId="486" xr:uid="{00000000-0005-0000-0000-000014020000}"/>
    <cellStyle name="2_4.2.52_PD Sample Cost Oct04~Jun05 (2)_R &amp; D Final-SI 31-Aug_Accounts BHP -2009 " xfId="487" xr:uid="{00000000-0005-0000-0000-000015020000}"/>
    <cellStyle name="2_4.2.52_PD Sample Cost Oct04~Jun05 (2)_R &amp; D Final-SI 31-Aug_Details of additions and deletions" xfId="488" xr:uid="{00000000-0005-0000-0000-000016020000}"/>
    <cellStyle name="2_4.2.52_PD Sample Cost Oct04~Jun05 (2)_R &amp; D Final-SI 31-Aug_prepaid Insurance-08 consolidated working" xfId="489" xr:uid="{00000000-0005-0000-0000-000017020000}"/>
    <cellStyle name="2_4.2.52_PD Sample Cost Oct04~Jun05 (2)_R &amp; D Final-SI 31-Aug_prepaid Insurance-08 consolidated working 2" xfId="490" xr:uid="{00000000-0005-0000-0000-000018020000}"/>
    <cellStyle name="2_4.2.52_PD Sample Cost Oct04~Jun05 (2)_R &amp; D Final-SI 31-Aug_vouching" xfId="491" xr:uid="{00000000-0005-0000-0000-000019020000}"/>
    <cellStyle name="2_4.2.52_PD Sample Cost Oct04~Jun05 (2)_R &amp; D Final-SI 31-Aug_vouching_BB 07-GNA" xfId="492" xr:uid="{00000000-0005-0000-0000-00001A020000}"/>
    <cellStyle name="2_4.2.52_PD Sample Cost Oct04~Jun05 (2)_R &amp; D Final-SI 31-Aug_vouching_BB 07-GNA -2" xfId="493" xr:uid="{00000000-0005-0000-0000-00001B020000}"/>
    <cellStyle name="2_4.2.52_PD Sample Cost Oct04~Jun05 (2)_R &amp; D Final-SI28-8-6" xfId="494" xr:uid="{00000000-0005-0000-0000-00001C020000}"/>
    <cellStyle name="2_4.2.52_PD Sample Cost Oct04~Jun05 (2)_R &amp; D Final-SI28-8-6 2" xfId="495" xr:uid="{00000000-0005-0000-0000-00001D020000}"/>
    <cellStyle name="2_4.2.52_PD Sample Cost Oct04~Jun05 (2)_R &amp; D Final-SI28-8-6_AA" xfId="496" xr:uid="{00000000-0005-0000-0000-00001E020000}"/>
    <cellStyle name="2_4.2.52_PD Sample Cost Oct04~Jun05 (2)_R &amp; D Final-SI28-8-6_Accounts BHP -2009 " xfId="497" xr:uid="{00000000-0005-0000-0000-00001F020000}"/>
    <cellStyle name="2_4.2.52_PD Sample Cost Oct04~Jun05 (2)_R &amp; D Final-SI28-8-6_Details of additions and deletions" xfId="498" xr:uid="{00000000-0005-0000-0000-000020020000}"/>
    <cellStyle name="2_4.2.52_PD Sample Cost Oct04~Jun05 (2)_R &amp; D Final-SI28-8-6_prepaid Insurance-08 consolidated working" xfId="499" xr:uid="{00000000-0005-0000-0000-000021020000}"/>
    <cellStyle name="2_4.2.52_PD Sample Cost Oct04~Jun05 (2)_R &amp; D Final-SI28-8-6_prepaid Insurance-08 consolidated working 2" xfId="500" xr:uid="{00000000-0005-0000-0000-000022020000}"/>
    <cellStyle name="2_4.2.52_PD Sample Cost Oct04~Jun05 (2)_R &amp; D Final-SI28-8-6_vouching" xfId="501" xr:uid="{00000000-0005-0000-0000-000023020000}"/>
    <cellStyle name="2_4.2.52_PD Sample Cost Oct04~Jun05 (2)_R &amp; D Final-SI28-8-6_vouching_BB 07-GNA" xfId="502" xr:uid="{00000000-0005-0000-0000-000024020000}"/>
    <cellStyle name="2_4.2.52_PD Sample Cost Oct04~Jun05 (2)_R &amp; D Final-SI28-8-6_vouching_BB 07-GNA -2" xfId="503" xr:uid="{00000000-0005-0000-0000-000025020000}"/>
    <cellStyle name="2_4.2.52_PD Sample Cost Oct04~Jun05 (2)_vouching" xfId="504" xr:uid="{00000000-0005-0000-0000-000026020000}"/>
    <cellStyle name="2_4.2.52_PD Sample Cost Oct04~Jun05 (2)_vouching_BB 07-GNA" xfId="505" xr:uid="{00000000-0005-0000-0000-000027020000}"/>
    <cellStyle name="2_4.2.52_PD Sample Cost Oct04~Jun05 (2)_vouching_BB 07-GNA -2" xfId="506" xr:uid="{00000000-0005-0000-0000-000028020000}"/>
    <cellStyle name="2_4.2.52_prepaid Insurance-08 consolidated working" xfId="507" xr:uid="{00000000-0005-0000-0000-000029020000}"/>
    <cellStyle name="2_4.2.52_prepaid Insurance-08 consolidated working 2" xfId="508" xr:uid="{00000000-0005-0000-0000-00002A020000}"/>
    <cellStyle name="2_4.2.52_vouching" xfId="509" xr:uid="{00000000-0005-0000-0000-00002B020000}"/>
    <cellStyle name="2_4.2.52_vouching_BB 07-GNA" xfId="510" xr:uid="{00000000-0005-0000-0000-00002C020000}"/>
    <cellStyle name="2_4.2.52_vouching_BB 07-GNA -2" xfId="511" xr:uid="{00000000-0005-0000-0000-00002D020000}"/>
    <cellStyle name="2_4.20 (2)" xfId="512" xr:uid="{00000000-0005-0000-0000-00002E020000}"/>
    <cellStyle name="2_4.20 (2)_Fab.QWK03-2005" xfId="513" xr:uid="{00000000-0005-0000-0000-00002F020000}"/>
    <cellStyle name="2_4.20 (2)_Fab.QWK03-2005_A4-1503 (9733,35,36)" xfId="514" xr:uid="{00000000-0005-0000-0000-000030020000}"/>
    <cellStyle name="2_4.20 (2)_Fab.QWK03-2005_Book5" xfId="515" xr:uid="{00000000-0005-0000-0000-000031020000}"/>
    <cellStyle name="2_4.20 (2)_Fab.QWK03-2005_Grading Rjct Jan-07" xfId="516" xr:uid="{00000000-0005-0000-0000-000032020000}"/>
    <cellStyle name="2_4.20 (2)_Fab.QWK03-2005_Grading Rjct Nov-06" xfId="517" xr:uid="{00000000-0005-0000-0000-000033020000}"/>
    <cellStyle name="2_4.20 (2)_Fab.QWK03-2005_Grading Rjct Sep-06" xfId="518" xr:uid="{00000000-0005-0000-0000-000034020000}"/>
    <cellStyle name="2_4.20 (2)_Fab.QWK03-2005_Grd Off Std Rpt (2006)" xfId="519" xr:uid="{00000000-0005-0000-0000-000035020000}"/>
    <cellStyle name="2_4.20 (2)_Fab.QWK03-2005_Grd Off Std Rpt (2006)02" xfId="520" xr:uid="{00000000-0005-0000-0000-000036020000}"/>
    <cellStyle name="2_4.20 (2)_Fab.QWK03-2005_Grd Off Std Rpt (2007)  02" xfId="521" xr:uid="{00000000-0005-0000-0000-000037020000}"/>
    <cellStyle name="2_4.20 (2)_Fab.QWK03-2005_Monthly Grd Prod &amp; Rej Rpt 2006" xfId="522" xr:uid="{00000000-0005-0000-0000-000038020000}"/>
    <cellStyle name="2_4.20 (2)_Fab.QWK03-2005_NA Grd-01-09-06" xfId="523" xr:uid="{00000000-0005-0000-0000-000039020000}"/>
    <cellStyle name="2_4.20 (2)_Fab.QWK03-2005_Roll wise packing list inv" xfId="524" xr:uid="{00000000-0005-0000-0000-00003A020000}"/>
    <cellStyle name="2_4.20 (2)_Fab.QWK03-2005_Set Wise Rej Rpt" xfId="525" xr:uid="{00000000-0005-0000-0000-00003B020000}"/>
    <cellStyle name="2_4.20 (2)_Forwarding" xfId="526" xr:uid="{00000000-0005-0000-0000-00003C020000}"/>
    <cellStyle name="2_4.5.02" xfId="527" xr:uid="{00000000-0005-0000-0000-00003D020000}"/>
    <cellStyle name="2_4.5.02 2" xfId="528" xr:uid="{00000000-0005-0000-0000-00003E020000}"/>
    <cellStyle name="2_4.5.02_AA" xfId="529" xr:uid="{00000000-0005-0000-0000-00003F020000}"/>
    <cellStyle name="2_4.5.02_Accounts BHP -2009 " xfId="530" xr:uid="{00000000-0005-0000-0000-000040020000}"/>
    <cellStyle name="2_4.5.02_Details of additions and deletions" xfId="531" xr:uid="{00000000-0005-0000-0000-000041020000}"/>
    <cellStyle name="2_4.5.02_Fab.QWK03-2005" xfId="532" xr:uid="{00000000-0005-0000-0000-000042020000}"/>
    <cellStyle name="2_4.5.02_Fab.QWK03-2005_A4-1503 (9733,35,36)" xfId="533" xr:uid="{00000000-0005-0000-0000-000043020000}"/>
    <cellStyle name="2_4.5.02_Fab.QWK03-2005_Book5" xfId="534" xr:uid="{00000000-0005-0000-0000-000044020000}"/>
    <cellStyle name="2_4.5.02_Fab.QWK03-2005_Grading Rjct Jan-07" xfId="535" xr:uid="{00000000-0005-0000-0000-000045020000}"/>
    <cellStyle name="2_4.5.02_Fab.QWK03-2005_Grading Rjct Nov-06" xfId="536" xr:uid="{00000000-0005-0000-0000-000046020000}"/>
    <cellStyle name="2_4.5.02_Fab.QWK03-2005_Grading Rjct Sep-06" xfId="537" xr:uid="{00000000-0005-0000-0000-000047020000}"/>
    <cellStyle name="2_4.5.02_Fab.QWK03-2005_Grd Off Std Rpt (2006)" xfId="538" xr:uid="{00000000-0005-0000-0000-000048020000}"/>
    <cellStyle name="2_4.5.02_Fab.QWK03-2005_Grd Off Std Rpt (2006)02" xfId="539" xr:uid="{00000000-0005-0000-0000-000049020000}"/>
    <cellStyle name="2_4.5.02_Fab.QWK03-2005_Grd Off Std Rpt (2007)  02" xfId="540" xr:uid="{00000000-0005-0000-0000-00004A020000}"/>
    <cellStyle name="2_4.5.02_Fab.QWK03-2005_Monthly Grd Prod &amp; Rej Rpt 2006" xfId="541" xr:uid="{00000000-0005-0000-0000-00004B020000}"/>
    <cellStyle name="2_4.5.02_Fab.QWK03-2005_NA Grd-01-09-06" xfId="542" xr:uid="{00000000-0005-0000-0000-00004C020000}"/>
    <cellStyle name="2_4.5.02_Fab.QWK03-2005_Roll wise packing list inv" xfId="543" xr:uid="{00000000-0005-0000-0000-00004D020000}"/>
    <cellStyle name="2_4.5.02_Fab.QWK03-2005_Set Wise Rej Rpt" xfId="544" xr:uid="{00000000-0005-0000-0000-00004E020000}"/>
    <cellStyle name="2_4.5.02_Forwarding" xfId="545" xr:uid="{00000000-0005-0000-0000-00004F020000}"/>
    <cellStyle name="2_4.5.02_PD Sample Cost Oct04~Jun05 (2)" xfId="546" xr:uid="{00000000-0005-0000-0000-000050020000}"/>
    <cellStyle name="2_4.5.02_PD Sample Cost Oct04~Jun05 (2) 2" xfId="547" xr:uid="{00000000-0005-0000-0000-000051020000}"/>
    <cellStyle name="2_4.5.02_PD Sample Cost Oct04~Jun05 (2)_AA" xfId="548" xr:uid="{00000000-0005-0000-0000-000052020000}"/>
    <cellStyle name="2_4.5.02_PD Sample Cost Oct04~Jun05 (2)_Accounts BHP -2009 " xfId="549" xr:uid="{00000000-0005-0000-0000-000053020000}"/>
    <cellStyle name="2_4.5.02_PD Sample Cost Oct04~Jun05 (2)_Book1" xfId="550" xr:uid="{00000000-0005-0000-0000-000054020000}"/>
    <cellStyle name="2_4.5.02_PD Sample Cost Oct04~Jun05 (2)_Book1 2" xfId="551" xr:uid="{00000000-0005-0000-0000-000055020000}"/>
    <cellStyle name="2_4.5.02_PD Sample Cost Oct04~Jun05 (2)_Book1_AA" xfId="552" xr:uid="{00000000-0005-0000-0000-000056020000}"/>
    <cellStyle name="2_4.5.02_PD Sample Cost Oct04~Jun05 (2)_Book1_Accounts BHP -2009 " xfId="553" xr:uid="{00000000-0005-0000-0000-000057020000}"/>
    <cellStyle name="2_4.5.02_PD Sample Cost Oct04~Jun05 (2)_Book1_Details of additions and deletions" xfId="554" xr:uid="{00000000-0005-0000-0000-000058020000}"/>
    <cellStyle name="2_4.5.02_PD Sample Cost Oct04~Jun05 (2)_Book1_prepaid Insurance-08 consolidated working" xfId="555" xr:uid="{00000000-0005-0000-0000-000059020000}"/>
    <cellStyle name="2_4.5.02_PD Sample Cost Oct04~Jun05 (2)_Book1_prepaid Insurance-08 consolidated working 2" xfId="556" xr:uid="{00000000-0005-0000-0000-00005A020000}"/>
    <cellStyle name="2_4.5.02_PD Sample Cost Oct04~Jun05 (2)_Book1_vouching" xfId="557" xr:uid="{00000000-0005-0000-0000-00005B020000}"/>
    <cellStyle name="2_4.5.02_PD Sample Cost Oct04~Jun05 (2)_Book1_vouching_BB 07-GNA" xfId="558" xr:uid="{00000000-0005-0000-0000-00005C020000}"/>
    <cellStyle name="2_4.5.02_PD Sample Cost Oct04~Jun05 (2)_Book1_vouching_BB 07-GNA -2" xfId="559" xr:uid="{00000000-0005-0000-0000-00005D020000}"/>
    <cellStyle name="2_4.5.02_PD Sample Cost Oct04~Jun05 (2)_Details of additions and deletions" xfId="560" xr:uid="{00000000-0005-0000-0000-00005E020000}"/>
    <cellStyle name="2_4.5.02_PD Sample Cost Oct04~Jun05 (2)_prepaid Insurance-08 consolidated working" xfId="561" xr:uid="{00000000-0005-0000-0000-00005F020000}"/>
    <cellStyle name="2_4.5.02_PD Sample Cost Oct04~Jun05 (2)_prepaid Insurance-08 consolidated working 2" xfId="562" xr:uid="{00000000-0005-0000-0000-000060020000}"/>
    <cellStyle name="2_4.5.02_PD Sample Cost Oct04~Jun05 (2)_R &amp; D Final-SI 31-Aug" xfId="563" xr:uid="{00000000-0005-0000-0000-000061020000}"/>
    <cellStyle name="2_4.5.02_PD Sample Cost Oct04~Jun05 (2)_R &amp; D Final-SI 31-Aug 2" xfId="564" xr:uid="{00000000-0005-0000-0000-000062020000}"/>
    <cellStyle name="2_4.5.02_PD Sample Cost Oct04~Jun05 (2)_R &amp; D Final-SI 31-Aug_AA" xfId="565" xr:uid="{00000000-0005-0000-0000-000063020000}"/>
    <cellStyle name="2_4.5.02_PD Sample Cost Oct04~Jun05 (2)_R &amp; D Final-SI 31-Aug_Accounts BHP -2009 " xfId="566" xr:uid="{00000000-0005-0000-0000-000064020000}"/>
    <cellStyle name="2_4.5.02_PD Sample Cost Oct04~Jun05 (2)_R &amp; D Final-SI 31-Aug_Details of additions and deletions" xfId="567" xr:uid="{00000000-0005-0000-0000-000065020000}"/>
    <cellStyle name="2_4.5.02_PD Sample Cost Oct04~Jun05 (2)_R &amp; D Final-SI 31-Aug_prepaid Insurance-08 consolidated working" xfId="568" xr:uid="{00000000-0005-0000-0000-000066020000}"/>
    <cellStyle name="2_4.5.02_PD Sample Cost Oct04~Jun05 (2)_R &amp; D Final-SI 31-Aug_prepaid Insurance-08 consolidated working 2" xfId="569" xr:uid="{00000000-0005-0000-0000-000067020000}"/>
    <cellStyle name="2_4.5.02_PD Sample Cost Oct04~Jun05 (2)_R &amp; D Final-SI 31-Aug_vouching" xfId="570" xr:uid="{00000000-0005-0000-0000-000068020000}"/>
    <cellStyle name="2_4.5.02_PD Sample Cost Oct04~Jun05 (2)_R &amp; D Final-SI 31-Aug_vouching_BB 07-GNA" xfId="571" xr:uid="{00000000-0005-0000-0000-000069020000}"/>
    <cellStyle name="2_4.5.02_PD Sample Cost Oct04~Jun05 (2)_R &amp; D Final-SI 31-Aug_vouching_BB 07-GNA -2" xfId="572" xr:uid="{00000000-0005-0000-0000-00006A020000}"/>
    <cellStyle name="2_4.5.02_PD Sample Cost Oct04~Jun05 (2)_R &amp; D Final-SI28-8-6" xfId="573" xr:uid="{00000000-0005-0000-0000-00006B020000}"/>
    <cellStyle name="2_4.5.02_PD Sample Cost Oct04~Jun05 (2)_R &amp; D Final-SI28-8-6 2" xfId="574" xr:uid="{00000000-0005-0000-0000-00006C020000}"/>
    <cellStyle name="2_4.5.02_PD Sample Cost Oct04~Jun05 (2)_R &amp; D Final-SI28-8-6_AA" xfId="575" xr:uid="{00000000-0005-0000-0000-00006D020000}"/>
    <cellStyle name="2_4.5.02_PD Sample Cost Oct04~Jun05 (2)_R &amp; D Final-SI28-8-6_Accounts BHP -2009 " xfId="576" xr:uid="{00000000-0005-0000-0000-00006E020000}"/>
    <cellStyle name="2_4.5.02_PD Sample Cost Oct04~Jun05 (2)_R &amp; D Final-SI28-8-6_Details of additions and deletions" xfId="577" xr:uid="{00000000-0005-0000-0000-00006F020000}"/>
    <cellStyle name="2_4.5.02_PD Sample Cost Oct04~Jun05 (2)_R &amp; D Final-SI28-8-6_prepaid Insurance-08 consolidated working" xfId="578" xr:uid="{00000000-0005-0000-0000-000070020000}"/>
    <cellStyle name="2_4.5.02_PD Sample Cost Oct04~Jun05 (2)_R &amp; D Final-SI28-8-6_prepaid Insurance-08 consolidated working 2" xfId="579" xr:uid="{00000000-0005-0000-0000-000071020000}"/>
    <cellStyle name="2_4.5.02_PD Sample Cost Oct04~Jun05 (2)_R &amp; D Final-SI28-8-6_vouching" xfId="580" xr:uid="{00000000-0005-0000-0000-000072020000}"/>
    <cellStyle name="2_4.5.02_PD Sample Cost Oct04~Jun05 (2)_R &amp; D Final-SI28-8-6_vouching_BB 07-GNA" xfId="581" xr:uid="{00000000-0005-0000-0000-000073020000}"/>
    <cellStyle name="2_4.5.02_PD Sample Cost Oct04~Jun05 (2)_R &amp; D Final-SI28-8-6_vouching_BB 07-GNA -2" xfId="582" xr:uid="{00000000-0005-0000-0000-000074020000}"/>
    <cellStyle name="2_4.5.02_PD Sample Cost Oct04~Jun05 (2)_vouching" xfId="583" xr:uid="{00000000-0005-0000-0000-000075020000}"/>
    <cellStyle name="2_4.5.02_PD Sample Cost Oct04~Jun05 (2)_vouching_BB 07-GNA" xfId="584" xr:uid="{00000000-0005-0000-0000-000076020000}"/>
    <cellStyle name="2_4.5.02_PD Sample Cost Oct04~Jun05 (2)_vouching_BB 07-GNA -2" xfId="585" xr:uid="{00000000-0005-0000-0000-000077020000}"/>
    <cellStyle name="2_4.5.02_prepaid Insurance-08 consolidated working" xfId="586" xr:uid="{00000000-0005-0000-0000-000078020000}"/>
    <cellStyle name="2_4.5.02_prepaid Insurance-08 consolidated working 2" xfId="587" xr:uid="{00000000-0005-0000-0000-000079020000}"/>
    <cellStyle name="2_4.5.02_vouching" xfId="588" xr:uid="{00000000-0005-0000-0000-00007A020000}"/>
    <cellStyle name="2_4.5.02_vouching_BB 07-GNA" xfId="589" xr:uid="{00000000-0005-0000-0000-00007B020000}"/>
    <cellStyle name="2_4.5.02_vouching_BB 07-GNA -2" xfId="590" xr:uid="{00000000-0005-0000-0000-00007C020000}"/>
    <cellStyle name="2_A" xfId="591" xr:uid="{00000000-0005-0000-0000-00007D020000}"/>
    <cellStyle name="2_A 2" xfId="592" xr:uid="{00000000-0005-0000-0000-00007E020000}"/>
    <cellStyle name="2_A_AA" xfId="593" xr:uid="{00000000-0005-0000-0000-00007F020000}"/>
    <cellStyle name="2_A_Accounts BHP -2009 " xfId="594" xr:uid="{00000000-0005-0000-0000-000080020000}"/>
    <cellStyle name="2_A_Details of additions and deletions" xfId="595" xr:uid="{00000000-0005-0000-0000-000081020000}"/>
    <cellStyle name="2_A_Fab.QWK03-2005" xfId="596" xr:uid="{00000000-0005-0000-0000-000082020000}"/>
    <cellStyle name="2_A_Fab.QWK03-2005_A4-1503 (9733,35,36)" xfId="597" xr:uid="{00000000-0005-0000-0000-000083020000}"/>
    <cellStyle name="2_A_Fab.QWK03-2005_Book5" xfId="598" xr:uid="{00000000-0005-0000-0000-000084020000}"/>
    <cellStyle name="2_A_Fab.QWK03-2005_Grading Rjct Jan-07" xfId="599" xr:uid="{00000000-0005-0000-0000-000085020000}"/>
    <cellStyle name="2_A_Fab.QWK03-2005_Grading Rjct Nov-06" xfId="600" xr:uid="{00000000-0005-0000-0000-000086020000}"/>
    <cellStyle name="2_A_Fab.QWK03-2005_Grading Rjct Sep-06" xfId="601" xr:uid="{00000000-0005-0000-0000-000087020000}"/>
    <cellStyle name="2_A_Fab.QWK03-2005_Grd Off Std Rpt (2006)" xfId="602" xr:uid="{00000000-0005-0000-0000-000088020000}"/>
    <cellStyle name="2_A_Fab.QWK03-2005_Grd Off Std Rpt (2006)02" xfId="603" xr:uid="{00000000-0005-0000-0000-000089020000}"/>
    <cellStyle name="2_A_Fab.QWK03-2005_Grd Off Std Rpt (2007)  02" xfId="604" xr:uid="{00000000-0005-0000-0000-00008A020000}"/>
    <cellStyle name="2_A_Fab.QWK03-2005_Monthly Grd Prod &amp; Rej Rpt 2006" xfId="605" xr:uid="{00000000-0005-0000-0000-00008B020000}"/>
    <cellStyle name="2_A_Fab.QWK03-2005_NA Grd-01-09-06" xfId="606" xr:uid="{00000000-0005-0000-0000-00008C020000}"/>
    <cellStyle name="2_A_Fab.QWK03-2005_Roll wise packing list inv" xfId="607" xr:uid="{00000000-0005-0000-0000-00008D020000}"/>
    <cellStyle name="2_A_Fab.QWK03-2005_Set Wise Rej Rpt" xfId="608" xr:uid="{00000000-0005-0000-0000-00008E020000}"/>
    <cellStyle name="2_A_Forwarding" xfId="609" xr:uid="{00000000-0005-0000-0000-00008F020000}"/>
    <cellStyle name="2_A_PD Sample Cost Oct04~Jun05 (2)" xfId="610" xr:uid="{00000000-0005-0000-0000-000090020000}"/>
    <cellStyle name="2_A_PD Sample Cost Oct04~Jun05 (2) 2" xfId="611" xr:uid="{00000000-0005-0000-0000-000091020000}"/>
    <cellStyle name="2_A_PD Sample Cost Oct04~Jun05 (2)_AA" xfId="612" xr:uid="{00000000-0005-0000-0000-000092020000}"/>
    <cellStyle name="2_A_PD Sample Cost Oct04~Jun05 (2)_Accounts BHP -2009 " xfId="613" xr:uid="{00000000-0005-0000-0000-000093020000}"/>
    <cellStyle name="2_A_PD Sample Cost Oct04~Jun05 (2)_Book1" xfId="614" xr:uid="{00000000-0005-0000-0000-000094020000}"/>
    <cellStyle name="2_A_PD Sample Cost Oct04~Jun05 (2)_Book1 2" xfId="615" xr:uid="{00000000-0005-0000-0000-000095020000}"/>
    <cellStyle name="2_A_PD Sample Cost Oct04~Jun05 (2)_Book1_AA" xfId="616" xr:uid="{00000000-0005-0000-0000-000096020000}"/>
    <cellStyle name="2_A_PD Sample Cost Oct04~Jun05 (2)_Book1_Accounts BHP -2009 " xfId="617" xr:uid="{00000000-0005-0000-0000-000097020000}"/>
    <cellStyle name="2_A_PD Sample Cost Oct04~Jun05 (2)_Book1_Details of additions and deletions" xfId="618" xr:uid="{00000000-0005-0000-0000-000098020000}"/>
    <cellStyle name="2_A_PD Sample Cost Oct04~Jun05 (2)_Book1_prepaid Insurance-08 consolidated working" xfId="619" xr:uid="{00000000-0005-0000-0000-000099020000}"/>
    <cellStyle name="2_A_PD Sample Cost Oct04~Jun05 (2)_Book1_prepaid Insurance-08 consolidated working 2" xfId="620" xr:uid="{00000000-0005-0000-0000-00009A020000}"/>
    <cellStyle name="2_A_PD Sample Cost Oct04~Jun05 (2)_Book1_vouching" xfId="621" xr:uid="{00000000-0005-0000-0000-00009B020000}"/>
    <cellStyle name="2_A_PD Sample Cost Oct04~Jun05 (2)_Book1_vouching_BB 07-GNA" xfId="622" xr:uid="{00000000-0005-0000-0000-00009C020000}"/>
    <cellStyle name="2_A_PD Sample Cost Oct04~Jun05 (2)_Book1_vouching_BB 07-GNA -2" xfId="623" xr:uid="{00000000-0005-0000-0000-00009D020000}"/>
    <cellStyle name="2_A_PD Sample Cost Oct04~Jun05 (2)_Details of additions and deletions" xfId="624" xr:uid="{00000000-0005-0000-0000-00009E020000}"/>
    <cellStyle name="2_A_PD Sample Cost Oct04~Jun05 (2)_prepaid Insurance-08 consolidated working" xfId="625" xr:uid="{00000000-0005-0000-0000-00009F020000}"/>
    <cellStyle name="2_A_PD Sample Cost Oct04~Jun05 (2)_prepaid Insurance-08 consolidated working 2" xfId="626" xr:uid="{00000000-0005-0000-0000-0000A0020000}"/>
    <cellStyle name="2_A_PD Sample Cost Oct04~Jun05 (2)_R &amp; D Final-SI 31-Aug" xfId="627" xr:uid="{00000000-0005-0000-0000-0000A1020000}"/>
    <cellStyle name="2_A_PD Sample Cost Oct04~Jun05 (2)_R &amp; D Final-SI 31-Aug 2" xfId="628" xr:uid="{00000000-0005-0000-0000-0000A2020000}"/>
    <cellStyle name="2_A_PD Sample Cost Oct04~Jun05 (2)_R &amp; D Final-SI 31-Aug_AA" xfId="629" xr:uid="{00000000-0005-0000-0000-0000A3020000}"/>
    <cellStyle name="2_A_PD Sample Cost Oct04~Jun05 (2)_R &amp; D Final-SI 31-Aug_Accounts BHP -2009 " xfId="630" xr:uid="{00000000-0005-0000-0000-0000A4020000}"/>
    <cellStyle name="2_A_PD Sample Cost Oct04~Jun05 (2)_R &amp; D Final-SI 31-Aug_Details of additions and deletions" xfId="631" xr:uid="{00000000-0005-0000-0000-0000A5020000}"/>
    <cellStyle name="2_A_PD Sample Cost Oct04~Jun05 (2)_R &amp; D Final-SI 31-Aug_prepaid Insurance-08 consolidated working" xfId="632" xr:uid="{00000000-0005-0000-0000-0000A6020000}"/>
    <cellStyle name="2_A_PD Sample Cost Oct04~Jun05 (2)_R &amp; D Final-SI 31-Aug_prepaid Insurance-08 consolidated working 2" xfId="633" xr:uid="{00000000-0005-0000-0000-0000A7020000}"/>
    <cellStyle name="2_A_PD Sample Cost Oct04~Jun05 (2)_R &amp; D Final-SI 31-Aug_vouching" xfId="634" xr:uid="{00000000-0005-0000-0000-0000A8020000}"/>
    <cellStyle name="2_A_PD Sample Cost Oct04~Jun05 (2)_R &amp; D Final-SI 31-Aug_vouching_BB 07-GNA" xfId="635" xr:uid="{00000000-0005-0000-0000-0000A9020000}"/>
    <cellStyle name="2_A_PD Sample Cost Oct04~Jun05 (2)_R &amp; D Final-SI 31-Aug_vouching_BB 07-GNA -2" xfId="636" xr:uid="{00000000-0005-0000-0000-0000AA020000}"/>
    <cellStyle name="2_A_PD Sample Cost Oct04~Jun05 (2)_R &amp; D Final-SI28-8-6" xfId="637" xr:uid="{00000000-0005-0000-0000-0000AB020000}"/>
    <cellStyle name="2_A_PD Sample Cost Oct04~Jun05 (2)_R &amp; D Final-SI28-8-6 2" xfId="638" xr:uid="{00000000-0005-0000-0000-0000AC020000}"/>
    <cellStyle name="2_A_PD Sample Cost Oct04~Jun05 (2)_R &amp; D Final-SI28-8-6_AA" xfId="639" xr:uid="{00000000-0005-0000-0000-0000AD020000}"/>
    <cellStyle name="2_A_PD Sample Cost Oct04~Jun05 (2)_R &amp; D Final-SI28-8-6_Accounts BHP -2009 " xfId="640" xr:uid="{00000000-0005-0000-0000-0000AE020000}"/>
    <cellStyle name="2_A_PD Sample Cost Oct04~Jun05 (2)_R &amp; D Final-SI28-8-6_Details of additions and deletions" xfId="641" xr:uid="{00000000-0005-0000-0000-0000AF020000}"/>
    <cellStyle name="2_A_PD Sample Cost Oct04~Jun05 (2)_R &amp; D Final-SI28-8-6_prepaid Insurance-08 consolidated working" xfId="642" xr:uid="{00000000-0005-0000-0000-0000B0020000}"/>
    <cellStyle name="2_A_PD Sample Cost Oct04~Jun05 (2)_R &amp; D Final-SI28-8-6_prepaid Insurance-08 consolidated working 2" xfId="643" xr:uid="{00000000-0005-0000-0000-0000B1020000}"/>
    <cellStyle name="2_A_PD Sample Cost Oct04~Jun05 (2)_R &amp; D Final-SI28-8-6_vouching" xfId="644" xr:uid="{00000000-0005-0000-0000-0000B2020000}"/>
    <cellStyle name="2_A_PD Sample Cost Oct04~Jun05 (2)_R &amp; D Final-SI28-8-6_vouching_BB 07-GNA" xfId="645" xr:uid="{00000000-0005-0000-0000-0000B3020000}"/>
    <cellStyle name="2_A_PD Sample Cost Oct04~Jun05 (2)_R &amp; D Final-SI28-8-6_vouching_BB 07-GNA -2" xfId="646" xr:uid="{00000000-0005-0000-0000-0000B4020000}"/>
    <cellStyle name="2_A_PD Sample Cost Oct04~Jun05 (2)_vouching" xfId="647" xr:uid="{00000000-0005-0000-0000-0000B5020000}"/>
    <cellStyle name="2_A_PD Sample Cost Oct04~Jun05 (2)_vouching_BB 07-GNA" xfId="648" xr:uid="{00000000-0005-0000-0000-0000B6020000}"/>
    <cellStyle name="2_A_PD Sample Cost Oct04~Jun05 (2)_vouching_BB 07-GNA -2" xfId="649" xr:uid="{00000000-0005-0000-0000-0000B7020000}"/>
    <cellStyle name="2_A_prepaid Insurance-08 consolidated working" xfId="650" xr:uid="{00000000-0005-0000-0000-0000B8020000}"/>
    <cellStyle name="2_A_prepaid Insurance-08 consolidated working 2" xfId="651" xr:uid="{00000000-0005-0000-0000-0000B9020000}"/>
    <cellStyle name="2_A_vouching" xfId="652" xr:uid="{00000000-0005-0000-0000-0000BA020000}"/>
    <cellStyle name="2_A_vouching_BB 07-GNA" xfId="653" xr:uid="{00000000-0005-0000-0000-0000BB020000}"/>
    <cellStyle name="2_A_vouching_BB 07-GNA -2" xfId="654" xr:uid="{00000000-0005-0000-0000-0000BC020000}"/>
    <cellStyle name="2_AA" xfId="655" xr:uid="{00000000-0005-0000-0000-0000BD020000}"/>
    <cellStyle name="2_Accounts BHP -2009 " xfId="656" xr:uid="{00000000-0005-0000-0000-0000BE020000}"/>
    <cellStyle name="2_Adt Pln H.O. 97" xfId="657" xr:uid="{00000000-0005-0000-0000-0000BF020000}"/>
    <cellStyle name="2_Adt Pln H.O. 97 2" xfId="658" xr:uid="{00000000-0005-0000-0000-0000C0020000}"/>
    <cellStyle name="2_Adt Pln H.O. 97_AA" xfId="659" xr:uid="{00000000-0005-0000-0000-0000C1020000}"/>
    <cellStyle name="2_Adt Pln H.O. 97_Accounts BHP -2009 " xfId="660" xr:uid="{00000000-0005-0000-0000-0000C2020000}"/>
    <cellStyle name="2_Adt Pln H.O. 97_Details of additions and deletions" xfId="661" xr:uid="{00000000-0005-0000-0000-0000C3020000}"/>
    <cellStyle name="2_Adt Pln H.O. 97_Fab.QWK03-2005" xfId="662" xr:uid="{00000000-0005-0000-0000-0000C4020000}"/>
    <cellStyle name="2_Adt Pln H.O. 97_Fab.QWK03-2005_A4-1503 (9733,35,36)" xfId="663" xr:uid="{00000000-0005-0000-0000-0000C5020000}"/>
    <cellStyle name="2_Adt Pln H.O. 97_Fab.QWK03-2005_Book5" xfId="664" xr:uid="{00000000-0005-0000-0000-0000C6020000}"/>
    <cellStyle name="2_Adt Pln H.O. 97_Fab.QWK03-2005_Grading Rjct Jan-07" xfId="665" xr:uid="{00000000-0005-0000-0000-0000C7020000}"/>
    <cellStyle name="2_Adt Pln H.O. 97_Fab.QWK03-2005_Grading Rjct Nov-06" xfId="666" xr:uid="{00000000-0005-0000-0000-0000C8020000}"/>
    <cellStyle name="2_Adt Pln H.O. 97_Fab.QWK03-2005_Grading Rjct Sep-06" xfId="667" xr:uid="{00000000-0005-0000-0000-0000C9020000}"/>
    <cellStyle name="2_Adt Pln H.O. 97_Fab.QWK03-2005_Grd Off Std Rpt (2006)" xfId="668" xr:uid="{00000000-0005-0000-0000-0000CA020000}"/>
    <cellStyle name="2_Adt Pln H.O. 97_Fab.QWK03-2005_Grd Off Std Rpt (2006)02" xfId="669" xr:uid="{00000000-0005-0000-0000-0000CB020000}"/>
    <cellStyle name="2_Adt Pln H.O. 97_Fab.QWK03-2005_Grd Off Std Rpt (2007)  02" xfId="670" xr:uid="{00000000-0005-0000-0000-0000CC020000}"/>
    <cellStyle name="2_Adt Pln H.O. 97_Fab.QWK03-2005_Monthly Grd Prod &amp; Rej Rpt 2006" xfId="671" xr:uid="{00000000-0005-0000-0000-0000CD020000}"/>
    <cellStyle name="2_Adt Pln H.O. 97_Fab.QWK03-2005_NA Grd-01-09-06" xfId="672" xr:uid="{00000000-0005-0000-0000-0000CE020000}"/>
    <cellStyle name="2_Adt Pln H.O. 97_Fab.QWK03-2005_Roll wise packing list inv" xfId="673" xr:uid="{00000000-0005-0000-0000-0000CF020000}"/>
    <cellStyle name="2_Adt Pln H.O. 97_Fab.QWK03-2005_Set Wise Rej Rpt" xfId="674" xr:uid="{00000000-0005-0000-0000-0000D0020000}"/>
    <cellStyle name="2_Adt Pln H.O. 97_Forwarding" xfId="675" xr:uid="{00000000-0005-0000-0000-0000D1020000}"/>
    <cellStyle name="2_Adt Pln H.O. 97_PD Sample Cost Oct04~Jun05 (2)" xfId="676" xr:uid="{00000000-0005-0000-0000-0000D2020000}"/>
    <cellStyle name="2_Adt Pln H.O. 97_PD Sample Cost Oct04~Jun05 (2) 2" xfId="677" xr:uid="{00000000-0005-0000-0000-0000D3020000}"/>
    <cellStyle name="2_Adt Pln H.O. 97_PD Sample Cost Oct04~Jun05 (2)_AA" xfId="678" xr:uid="{00000000-0005-0000-0000-0000D4020000}"/>
    <cellStyle name="2_Adt Pln H.O. 97_PD Sample Cost Oct04~Jun05 (2)_Accounts BHP -2009 " xfId="679" xr:uid="{00000000-0005-0000-0000-0000D5020000}"/>
    <cellStyle name="2_Adt Pln H.O. 97_PD Sample Cost Oct04~Jun05 (2)_Book1" xfId="680" xr:uid="{00000000-0005-0000-0000-0000D6020000}"/>
    <cellStyle name="2_Adt Pln H.O. 97_PD Sample Cost Oct04~Jun05 (2)_Book1 2" xfId="681" xr:uid="{00000000-0005-0000-0000-0000D7020000}"/>
    <cellStyle name="2_Adt Pln H.O. 97_PD Sample Cost Oct04~Jun05 (2)_Book1_AA" xfId="682" xr:uid="{00000000-0005-0000-0000-0000D8020000}"/>
    <cellStyle name="2_Adt Pln H.O. 97_PD Sample Cost Oct04~Jun05 (2)_Book1_Accounts BHP -2009 " xfId="683" xr:uid="{00000000-0005-0000-0000-0000D9020000}"/>
    <cellStyle name="2_Adt Pln H.O. 97_PD Sample Cost Oct04~Jun05 (2)_Book1_Details of additions and deletions" xfId="684" xr:uid="{00000000-0005-0000-0000-0000DA020000}"/>
    <cellStyle name="2_Adt Pln H.O. 97_PD Sample Cost Oct04~Jun05 (2)_Book1_prepaid Insurance-08 consolidated working" xfId="685" xr:uid="{00000000-0005-0000-0000-0000DB020000}"/>
    <cellStyle name="2_Adt Pln H.O. 97_PD Sample Cost Oct04~Jun05 (2)_Book1_prepaid Insurance-08 consolidated working 2" xfId="686" xr:uid="{00000000-0005-0000-0000-0000DC020000}"/>
    <cellStyle name="2_Adt Pln H.O. 97_PD Sample Cost Oct04~Jun05 (2)_Book1_vouching" xfId="687" xr:uid="{00000000-0005-0000-0000-0000DD020000}"/>
    <cellStyle name="2_Adt Pln H.O. 97_PD Sample Cost Oct04~Jun05 (2)_Book1_vouching_BB 07-GNA" xfId="688" xr:uid="{00000000-0005-0000-0000-0000DE020000}"/>
    <cellStyle name="2_Adt Pln H.O. 97_PD Sample Cost Oct04~Jun05 (2)_Book1_vouching_BB 07-GNA -2" xfId="689" xr:uid="{00000000-0005-0000-0000-0000DF020000}"/>
    <cellStyle name="2_Adt Pln H.O. 97_PD Sample Cost Oct04~Jun05 (2)_Details of additions and deletions" xfId="690" xr:uid="{00000000-0005-0000-0000-0000E0020000}"/>
    <cellStyle name="2_Adt Pln H.O. 97_PD Sample Cost Oct04~Jun05 (2)_prepaid Insurance-08 consolidated working" xfId="691" xr:uid="{00000000-0005-0000-0000-0000E1020000}"/>
    <cellStyle name="2_Adt Pln H.O. 97_PD Sample Cost Oct04~Jun05 (2)_prepaid Insurance-08 consolidated working 2" xfId="692" xr:uid="{00000000-0005-0000-0000-0000E2020000}"/>
    <cellStyle name="2_Adt Pln H.O. 97_PD Sample Cost Oct04~Jun05 (2)_R &amp; D Final-SI 31-Aug" xfId="693" xr:uid="{00000000-0005-0000-0000-0000E3020000}"/>
    <cellStyle name="2_Adt Pln H.O. 97_PD Sample Cost Oct04~Jun05 (2)_R &amp; D Final-SI 31-Aug 2" xfId="694" xr:uid="{00000000-0005-0000-0000-0000E4020000}"/>
    <cellStyle name="2_Adt Pln H.O. 97_PD Sample Cost Oct04~Jun05 (2)_R &amp; D Final-SI 31-Aug_AA" xfId="695" xr:uid="{00000000-0005-0000-0000-0000E5020000}"/>
    <cellStyle name="2_Adt Pln H.O. 97_PD Sample Cost Oct04~Jun05 (2)_R &amp; D Final-SI 31-Aug_Accounts BHP -2009 " xfId="696" xr:uid="{00000000-0005-0000-0000-0000E6020000}"/>
    <cellStyle name="2_Adt Pln H.O. 97_PD Sample Cost Oct04~Jun05 (2)_R &amp; D Final-SI 31-Aug_Details of additions and deletions" xfId="697" xr:uid="{00000000-0005-0000-0000-0000E7020000}"/>
    <cellStyle name="2_Adt Pln H.O. 97_PD Sample Cost Oct04~Jun05 (2)_R &amp; D Final-SI 31-Aug_prepaid Insurance-08 consolidated working" xfId="698" xr:uid="{00000000-0005-0000-0000-0000E8020000}"/>
    <cellStyle name="2_Adt Pln H.O. 97_PD Sample Cost Oct04~Jun05 (2)_R &amp; D Final-SI 31-Aug_prepaid Insurance-08 consolidated working 2" xfId="699" xr:uid="{00000000-0005-0000-0000-0000E9020000}"/>
    <cellStyle name="2_Adt Pln H.O. 97_PD Sample Cost Oct04~Jun05 (2)_R &amp; D Final-SI 31-Aug_vouching" xfId="700" xr:uid="{00000000-0005-0000-0000-0000EA020000}"/>
    <cellStyle name="2_Adt Pln H.O. 97_PD Sample Cost Oct04~Jun05 (2)_R &amp; D Final-SI 31-Aug_vouching_BB 07-GNA" xfId="701" xr:uid="{00000000-0005-0000-0000-0000EB020000}"/>
    <cellStyle name="2_Adt Pln H.O. 97_PD Sample Cost Oct04~Jun05 (2)_R &amp; D Final-SI 31-Aug_vouching_BB 07-GNA -2" xfId="702" xr:uid="{00000000-0005-0000-0000-0000EC020000}"/>
    <cellStyle name="2_Adt Pln H.O. 97_PD Sample Cost Oct04~Jun05 (2)_R &amp; D Final-SI28-8-6" xfId="703" xr:uid="{00000000-0005-0000-0000-0000ED020000}"/>
    <cellStyle name="2_Adt Pln H.O. 97_PD Sample Cost Oct04~Jun05 (2)_R &amp; D Final-SI28-8-6 2" xfId="704" xr:uid="{00000000-0005-0000-0000-0000EE020000}"/>
    <cellStyle name="2_Adt Pln H.O. 97_PD Sample Cost Oct04~Jun05 (2)_R &amp; D Final-SI28-8-6_AA" xfId="705" xr:uid="{00000000-0005-0000-0000-0000EF020000}"/>
    <cellStyle name="2_Adt Pln H.O. 97_PD Sample Cost Oct04~Jun05 (2)_R &amp; D Final-SI28-8-6_Accounts BHP -2009 " xfId="706" xr:uid="{00000000-0005-0000-0000-0000F0020000}"/>
    <cellStyle name="2_Adt Pln H.O. 97_PD Sample Cost Oct04~Jun05 (2)_R &amp; D Final-SI28-8-6_Details of additions and deletions" xfId="707" xr:uid="{00000000-0005-0000-0000-0000F1020000}"/>
    <cellStyle name="2_Adt Pln H.O. 97_PD Sample Cost Oct04~Jun05 (2)_R &amp; D Final-SI28-8-6_prepaid Insurance-08 consolidated working" xfId="708" xr:uid="{00000000-0005-0000-0000-0000F2020000}"/>
    <cellStyle name="2_Adt Pln H.O. 97_PD Sample Cost Oct04~Jun05 (2)_R &amp; D Final-SI28-8-6_prepaid Insurance-08 consolidated working 2" xfId="709" xr:uid="{00000000-0005-0000-0000-0000F3020000}"/>
    <cellStyle name="2_Adt Pln H.O. 97_PD Sample Cost Oct04~Jun05 (2)_R &amp; D Final-SI28-8-6_vouching" xfId="710" xr:uid="{00000000-0005-0000-0000-0000F4020000}"/>
    <cellStyle name="2_Adt Pln H.O. 97_PD Sample Cost Oct04~Jun05 (2)_R &amp; D Final-SI28-8-6_vouching_BB 07-GNA" xfId="711" xr:uid="{00000000-0005-0000-0000-0000F5020000}"/>
    <cellStyle name="2_Adt Pln H.O. 97_PD Sample Cost Oct04~Jun05 (2)_R &amp; D Final-SI28-8-6_vouching_BB 07-GNA -2" xfId="712" xr:uid="{00000000-0005-0000-0000-0000F6020000}"/>
    <cellStyle name="2_Adt Pln H.O. 97_PD Sample Cost Oct04~Jun05 (2)_vouching" xfId="713" xr:uid="{00000000-0005-0000-0000-0000F7020000}"/>
    <cellStyle name="2_Adt Pln H.O. 97_PD Sample Cost Oct04~Jun05 (2)_vouching_BB 07-GNA" xfId="714" xr:uid="{00000000-0005-0000-0000-0000F8020000}"/>
    <cellStyle name="2_Adt Pln H.O. 97_PD Sample Cost Oct04~Jun05 (2)_vouching_BB 07-GNA -2" xfId="715" xr:uid="{00000000-0005-0000-0000-0000F9020000}"/>
    <cellStyle name="2_Adt Pln H.O. 97_prepaid Insurance-08 consolidated working" xfId="716" xr:uid="{00000000-0005-0000-0000-0000FA020000}"/>
    <cellStyle name="2_Adt Pln H.O. 97_prepaid Insurance-08 consolidated working 2" xfId="717" xr:uid="{00000000-0005-0000-0000-0000FB020000}"/>
    <cellStyle name="2_Adt Pln H.O. 97_vouching" xfId="718" xr:uid="{00000000-0005-0000-0000-0000FC020000}"/>
    <cellStyle name="2_Adt Pln H.O. 97_vouching_BB 07-GNA" xfId="719" xr:uid="{00000000-0005-0000-0000-0000FD020000}"/>
    <cellStyle name="2_Adt Pln H.O. 97_vouching_BB 07-GNA -2" xfId="720" xr:uid="{00000000-0005-0000-0000-0000FE020000}"/>
    <cellStyle name="2_Adt Pln H.O. 98" xfId="721" xr:uid="{00000000-0005-0000-0000-0000FF020000}"/>
    <cellStyle name="2_Adt Pln H.O. 98 2" xfId="722" xr:uid="{00000000-0005-0000-0000-000000030000}"/>
    <cellStyle name="2_Adt Pln H.O. 98_AA" xfId="723" xr:uid="{00000000-0005-0000-0000-000001030000}"/>
    <cellStyle name="2_Adt Pln H.O. 98_Accounts BHP -2009 " xfId="724" xr:uid="{00000000-0005-0000-0000-000002030000}"/>
    <cellStyle name="2_Adt Pln H.O. 98_Details of additions and deletions" xfId="725" xr:uid="{00000000-0005-0000-0000-000003030000}"/>
    <cellStyle name="2_Adt Pln H.O. 98_Fab.QWK03-2005" xfId="726" xr:uid="{00000000-0005-0000-0000-000004030000}"/>
    <cellStyle name="2_Adt Pln H.O. 98_Fab.QWK03-2005_A4-1503 (9733,35,36)" xfId="727" xr:uid="{00000000-0005-0000-0000-000005030000}"/>
    <cellStyle name="2_Adt Pln H.O. 98_Fab.QWK03-2005_Book5" xfId="728" xr:uid="{00000000-0005-0000-0000-000006030000}"/>
    <cellStyle name="2_Adt Pln H.O. 98_Fab.QWK03-2005_Grading Rjct Jan-07" xfId="729" xr:uid="{00000000-0005-0000-0000-000007030000}"/>
    <cellStyle name="2_Adt Pln H.O. 98_Fab.QWK03-2005_Grading Rjct Nov-06" xfId="730" xr:uid="{00000000-0005-0000-0000-000008030000}"/>
    <cellStyle name="2_Adt Pln H.O. 98_Fab.QWK03-2005_Grading Rjct Sep-06" xfId="731" xr:uid="{00000000-0005-0000-0000-000009030000}"/>
    <cellStyle name="2_Adt Pln H.O. 98_Fab.QWK03-2005_Grd Off Std Rpt (2006)" xfId="732" xr:uid="{00000000-0005-0000-0000-00000A030000}"/>
    <cellStyle name="2_Adt Pln H.O. 98_Fab.QWK03-2005_Grd Off Std Rpt (2006)02" xfId="733" xr:uid="{00000000-0005-0000-0000-00000B030000}"/>
    <cellStyle name="2_Adt Pln H.O. 98_Fab.QWK03-2005_Grd Off Std Rpt (2007)  02" xfId="734" xr:uid="{00000000-0005-0000-0000-00000C030000}"/>
    <cellStyle name="2_Adt Pln H.O. 98_Fab.QWK03-2005_Monthly Grd Prod &amp; Rej Rpt 2006" xfId="735" xr:uid="{00000000-0005-0000-0000-00000D030000}"/>
    <cellStyle name="2_Adt Pln H.O. 98_Fab.QWK03-2005_NA Grd-01-09-06" xfId="736" xr:uid="{00000000-0005-0000-0000-00000E030000}"/>
    <cellStyle name="2_Adt Pln H.O. 98_Fab.QWK03-2005_Roll wise packing list inv" xfId="737" xr:uid="{00000000-0005-0000-0000-00000F030000}"/>
    <cellStyle name="2_Adt Pln H.O. 98_Fab.QWK03-2005_Set Wise Rej Rpt" xfId="738" xr:uid="{00000000-0005-0000-0000-000010030000}"/>
    <cellStyle name="2_Adt Pln H.O. 98_Forwarding" xfId="739" xr:uid="{00000000-0005-0000-0000-000011030000}"/>
    <cellStyle name="2_Adt Pln H.O. 98_PD Sample Cost Oct04~Jun05 (2)" xfId="740" xr:uid="{00000000-0005-0000-0000-000012030000}"/>
    <cellStyle name="2_Adt Pln H.O. 98_PD Sample Cost Oct04~Jun05 (2) 2" xfId="741" xr:uid="{00000000-0005-0000-0000-000013030000}"/>
    <cellStyle name="2_Adt Pln H.O. 98_PD Sample Cost Oct04~Jun05 (2)_AA" xfId="742" xr:uid="{00000000-0005-0000-0000-000014030000}"/>
    <cellStyle name="2_Adt Pln H.O. 98_PD Sample Cost Oct04~Jun05 (2)_Accounts BHP -2009 " xfId="743" xr:uid="{00000000-0005-0000-0000-000015030000}"/>
    <cellStyle name="2_Adt Pln H.O. 98_PD Sample Cost Oct04~Jun05 (2)_Book1" xfId="744" xr:uid="{00000000-0005-0000-0000-000016030000}"/>
    <cellStyle name="2_Adt Pln H.O. 98_PD Sample Cost Oct04~Jun05 (2)_Book1 2" xfId="745" xr:uid="{00000000-0005-0000-0000-000017030000}"/>
    <cellStyle name="2_Adt Pln H.O. 98_PD Sample Cost Oct04~Jun05 (2)_Book1_AA" xfId="746" xr:uid="{00000000-0005-0000-0000-000018030000}"/>
    <cellStyle name="2_Adt Pln H.O. 98_PD Sample Cost Oct04~Jun05 (2)_Book1_Accounts BHP -2009 " xfId="747" xr:uid="{00000000-0005-0000-0000-000019030000}"/>
    <cellStyle name="2_Adt Pln H.O. 98_PD Sample Cost Oct04~Jun05 (2)_Book1_Details of additions and deletions" xfId="748" xr:uid="{00000000-0005-0000-0000-00001A030000}"/>
    <cellStyle name="2_Adt Pln H.O. 98_PD Sample Cost Oct04~Jun05 (2)_Book1_prepaid Insurance-08 consolidated working" xfId="749" xr:uid="{00000000-0005-0000-0000-00001B030000}"/>
    <cellStyle name="2_Adt Pln H.O. 98_PD Sample Cost Oct04~Jun05 (2)_Book1_prepaid Insurance-08 consolidated working 2" xfId="750" xr:uid="{00000000-0005-0000-0000-00001C030000}"/>
    <cellStyle name="2_Adt Pln H.O. 98_PD Sample Cost Oct04~Jun05 (2)_Book1_vouching" xfId="751" xr:uid="{00000000-0005-0000-0000-00001D030000}"/>
    <cellStyle name="2_Adt Pln H.O. 98_PD Sample Cost Oct04~Jun05 (2)_Book1_vouching_BB 07-GNA" xfId="752" xr:uid="{00000000-0005-0000-0000-00001E030000}"/>
    <cellStyle name="2_Adt Pln H.O. 98_PD Sample Cost Oct04~Jun05 (2)_Book1_vouching_BB 07-GNA -2" xfId="753" xr:uid="{00000000-0005-0000-0000-00001F030000}"/>
    <cellStyle name="2_Adt Pln H.O. 98_PD Sample Cost Oct04~Jun05 (2)_Details of additions and deletions" xfId="754" xr:uid="{00000000-0005-0000-0000-000020030000}"/>
    <cellStyle name="2_Adt Pln H.O. 98_PD Sample Cost Oct04~Jun05 (2)_prepaid Insurance-08 consolidated working" xfId="755" xr:uid="{00000000-0005-0000-0000-000021030000}"/>
    <cellStyle name="2_Adt Pln H.O. 98_PD Sample Cost Oct04~Jun05 (2)_prepaid Insurance-08 consolidated working 2" xfId="756" xr:uid="{00000000-0005-0000-0000-000022030000}"/>
    <cellStyle name="2_Adt Pln H.O. 98_PD Sample Cost Oct04~Jun05 (2)_R &amp; D Final-SI 31-Aug" xfId="757" xr:uid="{00000000-0005-0000-0000-000023030000}"/>
    <cellStyle name="2_Adt Pln H.O. 98_PD Sample Cost Oct04~Jun05 (2)_R &amp; D Final-SI 31-Aug 2" xfId="758" xr:uid="{00000000-0005-0000-0000-000024030000}"/>
    <cellStyle name="2_Adt Pln H.O. 98_PD Sample Cost Oct04~Jun05 (2)_R &amp; D Final-SI 31-Aug_AA" xfId="759" xr:uid="{00000000-0005-0000-0000-000025030000}"/>
    <cellStyle name="2_Adt Pln H.O. 98_PD Sample Cost Oct04~Jun05 (2)_R &amp; D Final-SI 31-Aug_Accounts BHP -2009 " xfId="760" xr:uid="{00000000-0005-0000-0000-000026030000}"/>
    <cellStyle name="2_Adt Pln H.O. 98_PD Sample Cost Oct04~Jun05 (2)_R &amp; D Final-SI 31-Aug_Details of additions and deletions" xfId="761" xr:uid="{00000000-0005-0000-0000-000027030000}"/>
    <cellStyle name="2_Adt Pln H.O. 98_PD Sample Cost Oct04~Jun05 (2)_R &amp; D Final-SI 31-Aug_prepaid Insurance-08 consolidated working" xfId="762" xr:uid="{00000000-0005-0000-0000-000028030000}"/>
    <cellStyle name="2_Adt Pln H.O. 98_PD Sample Cost Oct04~Jun05 (2)_R &amp; D Final-SI 31-Aug_prepaid Insurance-08 consolidated working 2" xfId="763" xr:uid="{00000000-0005-0000-0000-000029030000}"/>
    <cellStyle name="2_Adt Pln H.O. 98_PD Sample Cost Oct04~Jun05 (2)_R &amp; D Final-SI 31-Aug_vouching" xfId="764" xr:uid="{00000000-0005-0000-0000-00002A030000}"/>
    <cellStyle name="2_Adt Pln H.O. 98_PD Sample Cost Oct04~Jun05 (2)_R &amp; D Final-SI 31-Aug_vouching_BB 07-GNA" xfId="765" xr:uid="{00000000-0005-0000-0000-00002B030000}"/>
    <cellStyle name="2_Adt Pln H.O. 98_PD Sample Cost Oct04~Jun05 (2)_R &amp; D Final-SI 31-Aug_vouching_BB 07-GNA -2" xfId="766" xr:uid="{00000000-0005-0000-0000-00002C030000}"/>
    <cellStyle name="2_Adt Pln H.O. 98_PD Sample Cost Oct04~Jun05 (2)_R &amp; D Final-SI28-8-6" xfId="767" xr:uid="{00000000-0005-0000-0000-00002D030000}"/>
    <cellStyle name="2_Adt Pln H.O. 98_PD Sample Cost Oct04~Jun05 (2)_R &amp; D Final-SI28-8-6 2" xfId="768" xr:uid="{00000000-0005-0000-0000-00002E030000}"/>
    <cellStyle name="2_Adt Pln H.O. 98_PD Sample Cost Oct04~Jun05 (2)_R &amp; D Final-SI28-8-6_AA" xfId="769" xr:uid="{00000000-0005-0000-0000-00002F030000}"/>
    <cellStyle name="2_Adt Pln H.O. 98_PD Sample Cost Oct04~Jun05 (2)_R &amp; D Final-SI28-8-6_Accounts BHP -2009 " xfId="770" xr:uid="{00000000-0005-0000-0000-000030030000}"/>
    <cellStyle name="2_Adt Pln H.O. 98_PD Sample Cost Oct04~Jun05 (2)_R &amp; D Final-SI28-8-6_Details of additions and deletions" xfId="771" xr:uid="{00000000-0005-0000-0000-000031030000}"/>
    <cellStyle name="2_Adt Pln H.O. 98_PD Sample Cost Oct04~Jun05 (2)_R &amp; D Final-SI28-8-6_prepaid Insurance-08 consolidated working" xfId="772" xr:uid="{00000000-0005-0000-0000-000032030000}"/>
    <cellStyle name="2_Adt Pln H.O. 98_PD Sample Cost Oct04~Jun05 (2)_R &amp; D Final-SI28-8-6_prepaid Insurance-08 consolidated working 2" xfId="773" xr:uid="{00000000-0005-0000-0000-000033030000}"/>
    <cellStyle name="2_Adt Pln H.O. 98_PD Sample Cost Oct04~Jun05 (2)_R &amp; D Final-SI28-8-6_vouching" xfId="774" xr:uid="{00000000-0005-0000-0000-000034030000}"/>
    <cellStyle name="2_Adt Pln H.O. 98_PD Sample Cost Oct04~Jun05 (2)_R &amp; D Final-SI28-8-6_vouching_BB 07-GNA" xfId="775" xr:uid="{00000000-0005-0000-0000-000035030000}"/>
    <cellStyle name="2_Adt Pln H.O. 98_PD Sample Cost Oct04~Jun05 (2)_R &amp; D Final-SI28-8-6_vouching_BB 07-GNA -2" xfId="776" xr:uid="{00000000-0005-0000-0000-000036030000}"/>
    <cellStyle name="2_Adt Pln H.O. 98_PD Sample Cost Oct04~Jun05 (2)_vouching" xfId="777" xr:uid="{00000000-0005-0000-0000-000037030000}"/>
    <cellStyle name="2_Adt Pln H.O. 98_PD Sample Cost Oct04~Jun05 (2)_vouching_BB 07-GNA" xfId="778" xr:uid="{00000000-0005-0000-0000-000038030000}"/>
    <cellStyle name="2_Adt Pln H.O. 98_PD Sample Cost Oct04~Jun05 (2)_vouching_BB 07-GNA -2" xfId="779" xr:uid="{00000000-0005-0000-0000-000039030000}"/>
    <cellStyle name="2_Adt Pln H.O. 98_prepaid Insurance-08 consolidated working" xfId="780" xr:uid="{00000000-0005-0000-0000-00003A030000}"/>
    <cellStyle name="2_Adt Pln H.O. 98_prepaid Insurance-08 consolidated working 2" xfId="781" xr:uid="{00000000-0005-0000-0000-00003B030000}"/>
    <cellStyle name="2_Adt Pln H.O. 98_vouching" xfId="782" xr:uid="{00000000-0005-0000-0000-00003C030000}"/>
    <cellStyle name="2_Adt Pln H.O. 98_vouching_BB 07-GNA" xfId="783" xr:uid="{00000000-0005-0000-0000-00003D030000}"/>
    <cellStyle name="2_Adt Pln H.O. 98_vouching_BB 07-GNA -2" xfId="784" xr:uid="{00000000-0005-0000-0000-00003E030000}"/>
    <cellStyle name="2_Adt Pln Site 98" xfId="785" xr:uid="{00000000-0005-0000-0000-00003F030000}"/>
    <cellStyle name="2_Adt Pln Site 98 2" xfId="786" xr:uid="{00000000-0005-0000-0000-000040030000}"/>
    <cellStyle name="2_Adt Pln Site 98_AA" xfId="787" xr:uid="{00000000-0005-0000-0000-000041030000}"/>
    <cellStyle name="2_Adt Pln Site 98_Accounts BHP -2009 " xfId="788" xr:uid="{00000000-0005-0000-0000-000042030000}"/>
    <cellStyle name="2_Adt Pln Site 98_Details of additions and deletions" xfId="789" xr:uid="{00000000-0005-0000-0000-000043030000}"/>
    <cellStyle name="2_Adt Pln Site 98_Fab.QWK03-2005" xfId="790" xr:uid="{00000000-0005-0000-0000-000044030000}"/>
    <cellStyle name="2_Adt Pln Site 98_Fab.QWK03-2005_A4-1503 (9733,35,36)" xfId="791" xr:uid="{00000000-0005-0000-0000-000045030000}"/>
    <cellStyle name="2_Adt Pln Site 98_Fab.QWK03-2005_Book5" xfId="792" xr:uid="{00000000-0005-0000-0000-000046030000}"/>
    <cellStyle name="2_Adt Pln Site 98_Fab.QWK03-2005_Grading Rjct Jan-07" xfId="793" xr:uid="{00000000-0005-0000-0000-000047030000}"/>
    <cellStyle name="2_Adt Pln Site 98_Fab.QWK03-2005_Grading Rjct Nov-06" xfId="794" xr:uid="{00000000-0005-0000-0000-000048030000}"/>
    <cellStyle name="2_Adt Pln Site 98_Fab.QWK03-2005_Grading Rjct Sep-06" xfId="795" xr:uid="{00000000-0005-0000-0000-000049030000}"/>
    <cellStyle name="2_Adt Pln Site 98_Fab.QWK03-2005_Grd Off Std Rpt (2006)" xfId="796" xr:uid="{00000000-0005-0000-0000-00004A030000}"/>
    <cellStyle name="2_Adt Pln Site 98_Fab.QWK03-2005_Grd Off Std Rpt (2006)02" xfId="797" xr:uid="{00000000-0005-0000-0000-00004B030000}"/>
    <cellStyle name="2_Adt Pln Site 98_Fab.QWK03-2005_Grd Off Std Rpt (2007)  02" xfId="798" xr:uid="{00000000-0005-0000-0000-00004C030000}"/>
    <cellStyle name="2_Adt Pln Site 98_Fab.QWK03-2005_Monthly Grd Prod &amp; Rej Rpt 2006" xfId="799" xr:uid="{00000000-0005-0000-0000-00004D030000}"/>
    <cellStyle name="2_Adt Pln Site 98_Fab.QWK03-2005_NA Grd-01-09-06" xfId="800" xr:uid="{00000000-0005-0000-0000-00004E030000}"/>
    <cellStyle name="2_Adt Pln Site 98_Fab.QWK03-2005_Roll wise packing list inv" xfId="801" xr:uid="{00000000-0005-0000-0000-00004F030000}"/>
    <cellStyle name="2_Adt Pln Site 98_Fab.QWK03-2005_Set Wise Rej Rpt" xfId="802" xr:uid="{00000000-0005-0000-0000-000050030000}"/>
    <cellStyle name="2_Adt Pln Site 98_Forwarding" xfId="803" xr:uid="{00000000-0005-0000-0000-000051030000}"/>
    <cellStyle name="2_Adt Pln Site 98_PD Sample Cost Oct04~Jun05 (2)" xfId="804" xr:uid="{00000000-0005-0000-0000-000052030000}"/>
    <cellStyle name="2_Adt Pln Site 98_PD Sample Cost Oct04~Jun05 (2) 2" xfId="805" xr:uid="{00000000-0005-0000-0000-000053030000}"/>
    <cellStyle name="2_Adt Pln Site 98_PD Sample Cost Oct04~Jun05 (2)_AA" xfId="806" xr:uid="{00000000-0005-0000-0000-000054030000}"/>
    <cellStyle name="2_Adt Pln Site 98_PD Sample Cost Oct04~Jun05 (2)_Accounts BHP -2009 " xfId="807" xr:uid="{00000000-0005-0000-0000-000055030000}"/>
    <cellStyle name="2_Adt Pln Site 98_PD Sample Cost Oct04~Jun05 (2)_Book1" xfId="808" xr:uid="{00000000-0005-0000-0000-000056030000}"/>
    <cellStyle name="2_Adt Pln Site 98_PD Sample Cost Oct04~Jun05 (2)_Book1 2" xfId="809" xr:uid="{00000000-0005-0000-0000-000057030000}"/>
    <cellStyle name="2_Adt Pln Site 98_PD Sample Cost Oct04~Jun05 (2)_Book1_AA" xfId="810" xr:uid="{00000000-0005-0000-0000-000058030000}"/>
    <cellStyle name="2_Adt Pln Site 98_PD Sample Cost Oct04~Jun05 (2)_Book1_Accounts BHP -2009 " xfId="811" xr:uid="{00000000-0005-0000-0000-000059030000}"/>
    <cellStyle name="2_Adt Pln Site 98_PD Sample Cost Oct04~Jun05 (2)_Book1_Details of additions and deletions" xfId="812" xr:uid="{00000000-0005-0000-0000-00005A030000}"/>
    <cellStyle name="2_Adt Pln Site 98_PD Sample Cost Oct04~Jun05 (2)_Book1_prepaid Insurance-08 consolidated working" xfId="813" xr:uid="{00000000-0005-0000-0000-00005B030000}"/>
    <cellStyle name="2_Adt Pln Site 98_PD Sample Cost Oct04~Jun05 (2)_Book1_prepaid Insurance-08 consolidated working 2" xfId="814" xr:uid="{00000000-0005-0000-0000-00005C030000}"/>
    <cellStyle name="2_Adt Pln Site 98_PD Sample Cost Oct04~Jun05 (2)_Book1_vouching" xfId="815" xr:uid="{00000000-0005-0000-0000-00005D030000}"/>
    <cellStyle name="2_Adt Pln Site 98_PD Sample Cost Oct04~Jun05 (2)_Book1_vouching_BB 07-GNA" xfId="816" xr:uid="{00000000-0005-0000-0000-00005E030000}"/>
    <cellStyle name="2_Adt Pln Site 98_PD Sample Cost Oct04~Jun05 (2)_Book1_vouching_BB 07-GNA -2" xfId="817" xr:uid="{00000000-0005-0000-0000-00005F030000}"/>
    <cellStyle name="2_Adt Pln Site 98_PD Sample Cost Oct04~Jun05 (2)_Details of additions and deletions" xfId="818" xr:uid="{00000000-0005-0000-0000-000060030000}"/>
    <cellStyle name="2_Adt Pln Site 98_PD Sample Cost Oct04~Jun05 (2)_prepaid Insurance-08 consolidated working" xfId="819" xr:uid="{00000000-0005-0000-0000-000061030000}"/>
    <cellStyle name="2_Adt Pln Site 98_PD Sample Cost Oct04~Jun05 (2)_prepaid Insurance-08 consolidated working 2" xfId="820" xr:uid="{00000000-0005-0000-0000-000062030000}"/>
    <cellStyle name="2_Adt Pln Site 98_PD Sample Cost Oct04~Jun05 (2)_R &amp; D Final-SI 31-Aug" xfId="821" xr:uid="{00000000-0005-0000-0000-000063030000}"/>
    <cellStyle name="2_Adt Pln Site 98_PD Sample Cost Oct04~Jun05 (2)_R &amp; D Final-SI 31-Aug 2" xfId="822" xr:uid="{00000000-0005-0000-0000-000064030000}"/>
    <cellStyle name="2_Adt Pln Site 98_PD Sample Cost Oct04~Jun05 (2)_R &amp; D Final-SI 31-Aug_AA" xfId="823" xr:uid="{00000000-0005-0000-0000-000065030000}"/>
    <cellStyle name="2_Adt Pln Site 98_PD Sample Cost Oct04~Jun05 (2)_R &amp; D Final-SI 31-Aug_Accounts BHP -2009 " xfId="824" xr:uid="{00000000-0005-0000-0000-000066030000}"/>
    <cellStyle name="2_Adt Pln Site 98_PD Sample Cost Oct04~Jun05 (2)_R &amp; D Final-SI 31-Aug_Details of additions and deletions" xfId="825" xr:uid="{00000000-0005-0000-0000-000067030000}"/>
    <cellStyle name="2_Adt Pln Site 98_PD Sample Cost Oct04~Jun05 (2)_R &amp; D Final-SI 31-Aug_prepaid Insurance-08 consolidated working" xfId="826" xr:uid="{00000000-0005-0000-0000-000068030000}"/>
    <cellStyle name="2_Adt Pln Site 98_PD Sample Cost Oct04~Jun05 (2)_R &amp; D Final-SI 31-Aug_prepaid Insurance-08 consolidated working 2" xfId="827" xr:uid="{00000000-0005-0000-0000-000069030000}"/>
    <cellStyle name="2_Adt Pln Site 98_PD Sample Cost Oct04~Jun05 (2)_R &amp; D Final-SI 31-Aug_vouching" xfId="828" xr:uid="{00000000-0005-0000-0000-00006A030000}"/>
    <cellStyle name="2_Adt Pln Site 98_PD Sample Cost Oct04~Jun05 (2)_R &amp; D Final-SI 31-Aug_vouching_BB 07-GNA" xfId="829" xr:uid="{00000000-0005-0000-0000-00006B030000}"/>
    <cellStyle name="2_Adt Pln Site 98_PD Sample Cost Oct04~Jun05 (2)_R &amp; D Final-SI 31-Aug_vouching_BB 07-GNA -2" xfId="830" xr:uid="{00000000-0005-0000-0000-00006C030000}"/>
    <cellStyle name="2_Adt Pln Site 98_PD Sample Cost Oct04~Jun05 (2)_R &amp; D Final-SI28-8-6" xfId="831" xr:uid="{00000000-0005-0000-0000-00006D030000}"/>
    <cellStyle name="2_Adt Pln Site 98_PD Sample Cost Oct04~Jun05 (2)_R &amp; D Final-SI28-8-6 2" xfId="832" xr:uid="{00000000-0005-0000-0000-00006E030000}"/>
    <cellStyle name="2_Adt Pln Site 98_PD Sample Cost Oct04~Jun05 (2)_R &amp; D Final-SI28-8-6_AA" xfId="833" xr:uid="{00000000-0005-0000-0000-00006F030000}"/>
    <cellStyle name="2_Adt Pln Site 98_PD Sample Cost Oct04~Jun05 (2)_R &amp; D Final-SI28-8-6_Accounts BHP -2009 " xfId="834" xr:uid="{00000000-0005-0000-0000-000070030000}"/>
    <cellStyle name="2_Adt Pln Site 98_PD Sample Cost Oct04~Jun05 (2)_R &amp; D Final-SI28-8-6_Details of additions and deletions" xfId="835" xr:uid="{00000000-0005-0000-0000-000071030000}"/>
    <cellStyle name="2_Adt Pln Site 98_PD Sample Cost Oct04~Jun05 (2)_R &amp; D Final-SI28-8-6_prepaid Insurance-08 consolidated working" xfId="836" xr:uid="{00000000-0005-0000-0000-000072030000}"/>
    <cellStyle name="2_Adt Pln Site 98_PD Sample Cost Oct04~Jun05 (2)_R &amp; D Final-SI28-8-6_prepaid Insurance-08 consolidated working 2" xfId="837" xr:uid="{00000000-0005-0000-0000-000073030000}"/>
    <cellStyle name="2_Adt Pln Site 98_PD Sample Cost Oct04~Jun05 (2)_R &amp; D Final-SI28-8-6_vouching" xfId="838" xr:uid="{00000000-0005-0000-0000-000074030000}"/>
    <cellStyle name="2_Adt Pln Site 98_PD Sample Cost Oct04~Jun05 (2)_R &amp; D Final-SI28-8-6_vouching_BB 07-GNA" xfId="839" xr:uid="{00000000-0005-0000-0000-000075030000}"/>
    <cellStyle name="2_Adt Pln Site 98_PD Sample Cost Oct04~Jun05 (2)_R &amp; D Final-SI28-8-6_vouching_BB 07-GNA -2" xfId="840" xr:uid="{00000000-0005-0000-0000-000076030000}"/>
    <cellStyle name="2_Adt Pln Site 98_PD Sample Cost Oct04~Jun05 (2)_vouching" xfId="841" xr:uid="{00000000-0005-0000-0000-000077030000}"/>
    <cellStyle name="2_Adt Pln Site 98_PD Sample Cost Oct04~Jun05 (2)_vouching_BB 07-GNA" xfId="842" xr:uid="{00000000-0005-0000-0000-000078030000}"/>
    <cellStyle name="2_Adt Pln Site 98_PD Sample Cost Oct04~Jun05 (2)_vouching_BB 07-GNA -2" xfId="843" xr:uid="{00000000-0005-0000-0000-000079030000}"/>
    <cellStyle name="2_Adt Pln Site 98_prepaid Insurance-08 consolidated working" xfId="844" xr:uid="{00000000-0005-0000-0000-00007A030000}"/>
    <cellStyle name="2_Adt Pln Site 98_prepaid Insurance-08 consolidated working 2" xfId="845" xr:uid="{00000000-0005-0000-0000-00007B030000}"/>
    <cellStyle name="2_Adt Pln Site 98_vouching" xfId="846" xr:uid="{00000000-0005-0000-0000-00007C030000}"/>
    <cellStyle name="2_Adt Pln Site 98_vouching_BB 07-GNA" xfId="847" xr:uid="{00000000-0005-0000-0000-00007D030000}"/>
    <cellStyle name="2_Adt Pln Site 98_vouching_BB 07-GNA -2" xfId="848" xr:uid="{00000000-0005-0000-0000-00007E030000}"/>
    <cellStyle name="2_AVB (Anx 1) Dec-07" xfId="849" xr:uid="{00000000-0005-0000-0000-00007F030000}"/>
    <cellStyle name="2_AvB YTD" xfId="850" xr:uid="{00000000-0005-0000-0000-000080030000}"/>
    <cellStyle name="2_B" xfId="851" xr:uid="{00000000-0005-0000-0000-000081030000}"/>
    <cellStyle name="2_B 2" xfId="852" xr:uid="{00000000-0005-0000-0000-000082030000}"/>
    <cellStyle name="2_B_AA" xfId="853" xr:uid="{00000000-0005-0000-0000-000083030000}"/>
    <cellStyle name="2_B_Accounts BHP -2009 " xfId="854" xr:uid="{00000000-0005-0000-0000-000084030000}"/>
    <cellStyle name="2_B_Details of additions and deletions" xfId="855" xr:uid="{00000000-0005-0000-0000-000085030000}"/>
    <cellStyle name="2_B_Fab.QWK03-2005" xfId="856" xr:uid="{00000000-0005-0000-0000-000086030000}"/>
    <cellStyle name="2_B_Fab.QWK03-2005_A4-1503 (9733,35,36)" xfId="857" xr:uid="{00000000-0005-0000-0000-000087030000}"/>
    <cellStyle name="2_B_Fab.QWK03-2005_Book5" xfId="858" xr:uid="{00000000-0005-0000-0000-000088030000}"/>
    <cellStyle name="2_B_Fab.QWK03-2005_Grading Rjct Jan-07" xfId="859" xr:uid="{00000000-0005-0000-0000-000089030000}"/>
    <cellStyle name="2_B_Fab.QWK03-2005_Grading Rjct Nov-06" xfId="860" xr:uid="{00000000-0005-0000-0000-00008A030000}"/>
    <cellStyle name="2_B_Fab.QWK03-2005_Grading Rjct Sep-06" xfId="861" xr:uid="{00000000-0005-0000-0000-00008B030000}"/>
    <cellStyle name="2_B_Fab.QWK03-2005_Grd Off Std Rpt (2006)" xfId="862" xr:uid="{00000000-0005-0000-0000-00008C030000}"/>
    <cellStyle name="2_B_Fab.QWK03-2005_Grd Off Std Rpt (2006)02" xfId="863" xr:uid="{00000000-0005-0000-0000-00008D030000}"/>
    <cellStyle name="2_B_Fab.QWK03-2005_Grd Off Std Rpt (2007)  02" xfId="864" xr:uid="{00000000-0005-0000-0000-00008E030000}"/>
    <cellStyle name="2_B_Fab.QWK03-2005_Monthly Grd Prod &amp; Rej Rpt 2006" xfId="865" xr:uid="{00000000-0005-0000-0000-00008F030000}"/>
    <cellStyle name="2_B_Fab.QWK03-2005_NA Grd-01-09-06" xfId="866" xr:uid="{00000000-0005-0000-0000-000090030000}"/>
    <cellStyle name="2_B_Fab.QWK03-2005_Roll wise packing list inv" xfId="867" xr:uid="{00000000-0005-0000-0000-000091030000}"/>
    <cellStyle name="2_B_Fab.QWK03-2005_Set Wise Rej Rpt" xfId="868" xr:uid="{00000000-0005-0000-0000-000092030000}"/>
    <cellStyle name="2_B_Forwarding" xfId="869" xr:uid="{00000000-0005-0000-0000-000093030000}"/>
    <cellStyle name="2_B_PD Sample Cost Oct04~Jun05 (2)" xfId="870" xr:uid="{00000000-0005-0000-0000-000094030000}"/>
    <cellStyle name="2_B_PD Sample Cost Oct04~Jun05 (2) 2" xfId="871" xr:uid="{00000000-0005-0000-0000-000095030000}"/>
    <cellStyle name="2_B_PD Sample Cost Oct04~Jun05 (2)_AA" xfId="872" xr:uid="{00000000-0005-0000-0000-000096030000}"/>
    <cellStyle name="2_B_PD Sample Cost Oct04~Jun05 (2)_Accounts BHP -2009 " xfId="873" xr:uid="{00000000-0005-0000-0000-000097030000}"/>
    <cellStyle name="2_B_PD Sample Cost Oct04~Jun05 (2)_Book1" xfId="874" xr:uid="{00000000-0005-0000-0000-000098030000}"/>
    <cellStyle name="2_B_PD Sample Cost Oct04~Jun05 (2)_Book1 2" xfId="875" xr:uid="{00000000-0005-0000-0000-000099030000}"/>
    <cellStyle name="2_B_PD Sample Cost Oct04~Jun05 (2)_Book1_AA" xfId="876" xr:uid="{00000000-0005-0000-0000-00009A030000}"/>
    <cellStyle name="2_B_PD Sample Cost Oct04~Jun05 (2)_Book1_Accounts BHP -2009 " xfId="877" xr:uid="{00000000-0005-0000-0000-00009B030000}"/>
    <cellStyle name="2_B_PD Sample Cost Oct04~Jun05 (2)_Book1_Details of additions and deletions" xfId="878" xr:uid="{00000000-0005-0000-0000-00009C030000}"/>
    <cellStyle name="2_B_PD Sample Cost Oct04~Jun05 (2)_Book1_prepaid Insurance-08 consolidated working" xfId="879" xr:uid="{00000000-0005-0000-0000-00009D030000}"/>
    <cellStyle name="2_B_PD Sample Cost Oct04~Jun05 (2)_Book1_prepaid Insurance-08 consolidated working 2" xfId="880" xr:uid="{00000000-0005-0000-0000-00009E030000}"/>
    <cellStyle name="2_B_PD Sample Cost Oct04~Jun05 (2)_Book1_vouching" xfId="881" xr:uid="{00000000-0005-0000-0000-00009F030000}"/>
    <cellStyle name="2_B_PD Sample Cost Oct04~Jun05 (2)_Book1_vouching_BB 07-GNA" xfId="882" xr:uid="{00000000-0005-0000-0000-0000A0030000}"/>
    <cellStyle name="2_B_PD Sample Cost Oct04~Jun05 (2)_Book1_vouching_BB 07-GNA -2" xfId="883" xr:uid="{00000000-0005-0000-0000-0000A1030000}"/>
    <cellStyle name="2_B_PD Sample Cost Oct04~Jun05 (2)_Details of additions and deletions" xfId="884" xr:uid="{00000000-0005-0000-0000-0000A2030000}"/>
    <cellStyle name="2_B_PD Sample Cost Oct04~Jun05 (2)_prepaid Insurance-08 consolidated working" xfId="885" xr:uid="{00000000-0005-0000-0000-0000A3030000}"/>
    <cellStyle name="2_B_PD Sample Cost Oct04~Jun05 (2)_prepaid Insurance-08 consolidated working 2" xfId="886" xr:uid="{00000000-0005-0000-0000-0000A4030000}"/>
    <cellStyle name="2_B_PD Sample Cost Oct04~Jun05 (2)_R &amp; D Final-SI 31-Aug" xfId="887" xr:uid="{00000000-0005-0000-0000-0000A5030000}"/>
    <cellStyle name="2_B_PD Sample Cost Oct04~Jun05 (2)_R &amp; D Final-SI 31-Aug 2" xfId="888" xr:uid="{00000000-0005-0000-0000-0000A6030000}"/>
    <cellStyle name="2_B_PD Sample Cost Oct04~Jun05 (2)_R &amp; D Final-SI 31-Aug_AA" xfId="889" xr:uid="{00000000-0005-0000-0000-0000A7030000}"/>
    <cellStyle name="2_B_PD Sample Cost Oct04~Jun05 (2)_R &amp; D Final-SI 31-Aug_Accounts BHP -2009 " xfId="890" xr:uid="{00000000-0005-0000-0000-0000A8030000}"/>
    <cellStyle name="2_B_PD Sample Cost Oct04~Jun05 (2)_R &amp; D Final-SI 31-Aug_Details of additions and deletions" xfId="891" xr:uid="{00000000-0005-0000-0000-0000A9030000}"/>
    <cellStyle name="2_B_PD Sample Cost Oct04~Jun05 (2)_R &amp; D Final-SI 31-Aug_prepaid Insurance-08 consolidated working" xfId="892" xr:uid="{00000000-0005-0000-0000-0000AA030000}"/>
    <cellStyle name="2_B_PD Sample Cost Oct04~Jun05 (2)_R &amp; D Final-SI 31-Aug_prepaid Insurance-08 consolidated working 2" xfId="893" xr:uid="{00000000-0005-0000-0000-0000AB030000}"/>
    <cellStyle name="2_B_PD Sample Cost Oct04~Jun05 (2)_R &amp; D Final-SI 31-Aug_vouching" xfId="894" xr:uid="{00000000-0005-0000-0000-0000AC030000}"/>
    <cellStyle name="2_B_PD Sample Cost Oct04~Jun05 (2)_R &amp; D Final-SI 31-Aug_vouching_BB 07-GNA" xfId="895" xr:uid="{00000000-0005-0000-0000-0000AD030000}"/>
    <cellStyle name="2_B_PD Sample Cost Oct04~Jun05 (2)_R &amp; D Final-SI 31-Aug_vouching_BB 07-GNA -2" xfId="896" xr:uid="{00000000-0005-0000-0000-0000AE030000}"/>
    <cellStyle name="2_B_PD Sample Cost Oct04~Jun05 (2)_R &amp; D Final-SI28-8-6" xfId="897" xr:uid="{00000000-0005-0000-0000-0000AF030000}"/>
    <cellStyle name="2_B_PD Sample Cost Oct04~Jun05 (2)_R &amp; D Final-SI28-8-6 2" xfId="898" xr:uid="{00000000-0005-0000-0000-0000B0030000}"/>
    <cellStyle name="2_B_PD Sample Cost Oct04~Jun05 (2)_R &amp; D Final-SI28-8-6_AA" xfId="899" xr:uid="{00000000-0005-0000-0000-0000B1030000}"/>
    <cellStyle name="2_B_PD Sample Cost Oct04~Jun05 (2)_R &amp; D Final-SI28-8-6_Accounts BHP -2009 " xfId="900" xr:uid="{00000000-0005-0000-0000-0000B2030000}"/>
    <cellStyle name="2_B_PD Sample Cost Oct04~Jun05 (2)_R &amp; D Final-SI28-8-6_Details of additions and deletions" xfId="901" xr:uid="{00000000-0005-0000-0000-0000B3030000}"/>
    <cellStyle name="2_B_PD Sample Cost Oct04~Jun05 (2)_R &amp; D Final-SI28-8-6_prepaid Insurance-08 consolidated working" xfId="902" xr:uid="{00000000-0005-0000-0000-0000B4030000}"/>
    <cellStyle name="2_B_PD Sample Cost Oct04~Jun05 (2)_R &amp; D Final-SI28-8-6_prepaid Insurance-08 consolidated working 2" xfId="903" xr:uid="{00000000-0005-0000-0000-0000B5030000}"/>
    <cellStyle name="2_B_PD Sample Cost Oct04~Jun05 (2)_R &amp; D Final-SI28-8-6_vouching" xfId="904" xr:uid="{00000000-0005-0000-0000-0000B6030000}"/>
    <cellStyle name="2_B_PD Sample Cost Oct04~Jun05 (2)_R &amp; D Final-SI28-8-6_vouching_BB 07-GNA" xfId="905" xr:uid="{00000000-0005-0000-0000-0000B7030000}"/>
    <cellStyle name="2_B_PD Sample Cost Oct04~Jun05 (2)_R &amp; D Final-SI28-8-6_vouching_BB 07-GNA -2" xfId="906" xr:uid="{00000000-0005-0000-0000-0000B8030000}"/>
    <cellStyle name="2_B_PD Sample Cost Oct04~Jun05 (2)_vouching" xfId="907" xr:uid="{00000000-0005-0000-0000-0000B9030000}"/>
    <cellStyle name="2_B_PD Sample Cost Oct04~Jun05 (2)_vouching_BB 07-GNA" xfId="908" xr:uid="{00000000-0005-0000-0000-0000BA030000}"/>
    <cellStyle name="2_B_PD Sample Cost Oct04~Jun05 (2)_vouching_BB 07-GNA -2" xfId="909" xr:uid="{00000000-0005-0000-0000-0000BB030000}"/>
    <cellStyle name="2_B_prepaid Insurance-08 consolidated working" xfId="910" xr:uid="{00000000-0005-0000-0000-0000BC030000}"/>
    <cellStyle name="2_B_prepaid Insurance-08 consolidated working 2" xfId="911" xr:uid="{00000000-0005-0000-0000-0000BD030000}"/>
    <cellStyle name="2_B_vouching" xfId="912" xr:uid="{00000000-0005-0000-0000-0000BE030000}"/>
    <cellStyle name="2_B_vouching_BB 07-GNA" xfId="913" xr:uid="{00000000-0005-0000-0000-0000BF030000}"/>
    <cellStyle name="2_B_vouching_BB 07-GNA -2" xfId="914" xr:uid="{00000000-0005-0000-0000-0000C0030000}"/>
    <cellStyle name="2_Book1" xfId="915" xr:uid="{00000000-0005-0000-0000-0000C1030000}"/>
    <cellStyle name="2_Book1_AA" xfId="916" xr:uid="{00000000-0005-0000-0000-0000C2030000}"/>
    <cellStyle name="2_Book1_Details of additions and deletions" xfId="917" xr:uid="{00000000-0005-0000-0000-0000C3030000}"/>
    <cellStyle name="2_Book1_PD Sample Cost Oct04~Jun05 (2)" xfId="918" xr:uid="{00000000-0005-0000-0000-0000C4030000}"/>
    <cellStyle name="2_Book1_PD Sample Cost Oct04~Jun05 (2)_AA" xfId="919" xr:uid="{00000000-0005-0000-0000-0000C5030000}"/>
    <cellStyle name="2_Book1_PD Sample Cost Oct04~Jun05 (2)_Book1" xfId="920" xr:uid="{00000000-0005-0000-0000-0000C6030000}"/>
    <cellStyle name="2_Book1_PD Sample Cost Oct04~Jun05 (2)_Book1_AA" xfId="921" xr:uid="{00000000-0005-0000-0000-0000C7030000}"/>
    <cellStyle name="2_Book1_PD Sample Cost Oct04~Jun05 (2)_Book1_Details of additions and deletions" xfId="922" xr:uid="{00000000-0005-0000-0000-0000C8030000}"/>
    <cellStyle name="2_Book1_PD Sample Cost Oct04~Jun05 (2)_Book1_vouching" xfId="923" xr:uid="{00000000-0005-0000-0000-0000C9030000}"/>
    <cellStyle name="2_Book1_PD Sample Cost Oct04~Jun05 (2)_Book1_vouching_BB 07-GNA" xfId="924" xr:uid="{00000000-0005-0000-0000-0000CA030000}"/>
    <cellStyle name="2_Book1_PD Sample Cost Oct04~Jun05 (2)_Book1_vouching_BB 07-GNA -2" xfId="925" xr:uid="{00000000-0005-0000-0000-0000CB030000}"/>
    <cellStyle name="2_Book1_PD Sample Cost Oct04~Jun05 (2)_Details of additions and deletions" xfId="926" xr:uid="{00000000-0005-0000-0000-0000CC030000}"/>
    <cellStyle name="2_Book1_PD Sample Cost Oct04~Jun05 (2)_R &amp; D Final-SI 31-Aug" xfId="927" xr:uid="{00000000-0005-0000-0000-0000CD030000}"/>
    <cellStyle name="2_Book1_PD Sample Cost Oct04~Jun05 (2)_R &amp; D Final-SI 31-Aug_AA" xfId="928" xr:uid="{00000000-0005-0000-0000-0000CE030000}"/>
    <cellStyle name="2_Book1_PD Sample Cost Oct04~Jun05 (2)_R &amp; D Final-SI 31-Aug_Details of additions and deletions" xfId="929" xr:uid="{00000000-0005-0000-0000-0000CF030000}"/>
    <cellStyle name="2_Book1_PD Sample Cost Oct04~Jun05 (2)_R &amp; D Final-SI 31-Aug_vouching" xfId="930" xr:uid="{00000000-0005-0000-0000-0000D0030000}"/>
    <cellStyle name="2_Book1_PD Sample Cost Oct04~Jun05 (2)_R &amp; D Final-SI 31-Aug_vouching_BB 07-GNA" xfId="931" xr:uid="{00000000-0005-0000-0000-0000D1030000}"/>
    <cellStyle name="2_Book1_PD Sample Cost Oct04~Jun05 (2)_R &amp; D Final-SI 31-Aug_vouching_BB 07-GNA -2" xfId="932" xr:uid="{00000000-0005-0000-0000-0000D2030000}"/>
    <cellStyle name="2_Book1_PD Sample Cost Oct04~Jun05 (2)_R &amp; D Final-SI28-8-6" xfId="933" xr:uid="{00000000-0005-0000-0000-0000D3030000}"/>
    <cellStyle name="2_Book1_PD Sample Cost Oct04~Jun05 (2)_R &amp; D Final-SI28-8-6_AA" xfId="934" xr:uid="{00000000-0005-0000-0000-0000D4030000}"/>
    <cellStyle name="2_Book1_PD Sample Cost Oct04~Jun05 (2)_R &amp; D Final-SI28-8-6_Details of additions and deletions" xfId="935" xr:uid="{00000000-0005-0000-0000-0000D5030000}"/>
    <cellStyle name="2_Book1_PD Sample Cost Oct04~Jun05 (2)_R &amp; D Final-SI28-8-6_vouching" xfId="936" xr:uid="{00000000-0005-0000-0000-0000D6030000}"/>
    <cellStyle name="2_Book1_PD Sample Cost Oct04~Jun05 (2)_R &amp; D Final-SI28-8-6_vouching_BB 07-GNA" xfId="937" xr:uid="{00000000-0005-0000-0000-0000D7030000}"/>
    <cellStyle name="2_Book1_PD Sample Cost Oct04~Jun05 (2)_R &amp; D Final-SI28-8-6_vouching_BB 07-GNA -2" xfId="938" xr:uid="{00000000-0005-0000-0000-0000D8030000}"/>
    <cellStyle name="2_Book1_PD Sample Cost Oct04~Jun05 (2)_vouching" xfId="939" xr:uid="{00000000-0005-0000-0000-0000D9030000}"/>
    <cellStyle name="2_Book1_PD Sample Cost Oct04~Jun05 (2)_vouching_BB 07-GNA" xfId="940" xr:uid="{00000000-0005-0000-0000-0000DA030000}"/>
    <cellStyle name="2_Book1_PD Sample Cost Oct04~Jun05 (2)_vouching_BB 07-GNA -2" xfId="941" xr:uid="{00000000-0005-0000-0000-0000DB030000}"/>
    <cellStyle name="2_Book1_vouching" xfId="942" xr:uid="{00000000-0005-0000-0000-0000DC030000}"/>
    <cellStyle name="2_Book1_vouching_BB 07-GNA" xfId="943" xr:uid="{00000000-0005-0000-0000-0000DD030000}"/>
    <cellStyle name="2_Book1_vouching_BB 07-GNA -2" xfId="944" xr:uid="{00000000-0005-0000-0000-0000DE030000}"/>
    <cellStyle name="2_Budget 2008 Overhds" xfId="945" xr:uid="{00000000-0005-0000-0000-0000DF030000}"/>
    <cellStyle name="2_Dept Object" xfId="946" xr:uid="{00000000-0005-0000-0000-0000E0030000}"/>
    <cellStyle name="2_Dept Object_Fab.QWK03-2005" xfId="947" xr:uid="{00000000-0005-0000-0000-0000E1030000}"/>
    <cellStyle name="2_Dept Object_Fab.QWK03-2005_A4-1503 (9733,35,36)" xfId="948" xr:uid="{00000000-0005-0000-0000-0000E2030000}"/>
    <cellStyle name="2_Dept Object_Fab.QWK03-2005_Book5" xfId="949" xr:uid="{00000000-0005-0000-0000-0000E3030000}"/>
    <cellStyle name="2_Dept Object_Fab.QWK03-2005_Grading Rjct Jan-07" xfId="950" xr:uid="{00000000-0005-0000-0000-0000E4030000}"/>
    <cellStyle name="2_Dept Object_Fab.QWK03-2005_Grading Rjct Nov-06" xfId="951" xr:uid="{00000000-0005-0000-0000-0000E5030000}"/>
    <cellStyle name="2_Dept Object_Fab.QWK03-2005_Grading Rjct Sep-06" xfId="952" xr:uid="{00000000-0005-0000-0000-0000E6030000}"/>
    <cellStyle name="2_Dept Object_Fab.QWK03-2005_Grd Off Std Rpt (2006)" xfId="953" xr:uid="{00000000-0005-0000-0000-0000E7030000}"/>
    <cellStyle name="2_Dept Object_Fab.QWK03-2005_Grd Off Std Rpt (2006)02" xfId="954" xr:uid="{00000000-0005-0000-0000-0000E8030000}"/>
    <cellStyle name="2_Dept Object_Fab.QWK03-2005_Grd Off Std Rpt (2007)  02" xfId="955" xr:uid="{00000000-0005-0000-0000-0000E9030000}"/>
    <cellStyle name="2_Dept Object_Fab.QWK03-2005_Monthly Grd Prod &amp; Rej Rpt 2006" xfId="956" xr:uid="{00000000-0005-0000-0000-0000EA030000}"/>
    <cellStyle name="2_Dept Object_Fab.QWK03-2005_NA Grd-01-09-06" xfId="957" xr:uid="{00000000-0005-0000-0000-0000EB030000}"/>
    <cellStyle name="2_Dept Object_Fab.QWK03-2005_Roll wise packing list inv" xfId="958" xr:uid="{00000000-0005-0000-0000-0000EC030000}"/>
    <cellStyle name="2_Dept Object_Fab.QWK03-2005_Set Wise Rej Rpt" xfId="959" xr:uid="{00000000-0005-0000-0000-0000ED030000}"/>
    <cellStyle name="2_Dept Object_Forwarding" xfId="960" xr:uid="{00000000-0005-0000-0000-0000EE030000}"/>
    <cellStyle name="2_Details of additions and deletions" xfId="961" xr:uid="{00000000-0005-0000-0000-0000EF030000}"/>
    <cellStyle name="2_Fab Sts of Feb07" xfId="962" xr:uid="{00000000-0005-0000-0000-0000F0030000}"/>
    <cellStyle name="2_Fab Sts of Mar07" xfId="963" xr:uid="{00000000-0005-0000-0000-0000F1030000}"/>
    <cellStyle name="2_Fab.QWK03-2005" xfId="964" xr:uid="{00000000-0005-0000-0000-0000F2030000}"/>
    <cellStyle name="2_Fab.QWK03-2005_A4-1503 (9733,35,36)" xfId="965" xr:uid="{00000000-0005-0000-0000-0000F3030000}"/>
    <cellStyle name="2_Fab.QWK03-2005_Book5" xfId="966" xr:uid="{00000000-0005-0000-0000-0000F4030000}"/>
    <cellStyle name="2_Fab.QWK03-2005_Grading Rjct Jan-07" xfId="967" xr:uid="{00000000-0005-0000-0000-0000F5030000}"/>
    <cellStyle name="2_Fab.QWK03-2005_Grading Rjct Nov-06" xfId="968" xr:uid="{00000000-0005-0000-0000-0000F6030000}"/>
    <cellStyle name="2_Fab.QWK03-2005_Grading Rjct Sep-06" xfId="969" xr:uid="{00000000-0005-0000-0000-0000F7030000}"/>
    <cellStyle name="2_Fab.QWK03-2005_Grd Off Std Rpt (2006)" xfId="970" xr:uid="{00000000-0005-0000-0000-0000F8030000}"/>
    <cellStyle name="2_Fab.QWK03-2005_Grd Off Std Rpt (2006)02" xfId="971" xr:uid="{00000000-0005-0000-0000-0000F9030000}"/>
    <cellStyle name="2_Fab.QWK03-2005_Grd Off Std Rpt (2007)  02" xfId="972" xr:uid="{00000000-0005-0000-0000-0000FA030000}"/>
    <cellStyle name="2_Fab.QWK03-2005_Monthly Grd Prod &amp; Rej Rpt 2006" xfId="973" xr:uid="{00000000-0005-0000-0000-0000FB030000}"/>
    <cellStyle name="2_Fab.QWK03-2005_NA Grd-01-09-06" xfId="974" xr:uid="{00000000-0005-0000-0000-0000FC030000}"/>
    <cellStyle name="2_Fab.QWK03-2005_Roll wise packing list inv" xfId="975" xr:uid="{00000000-0005-0000-0000-0000FD030000}"/>
    <cellStyle name="2_Fab.QWK03-2005_Set Wise Rej Rpt" xfId="976" xr:uid="{00000000-0005-0000-0000-0000FE030000}"/>
    <cellStyle name="2_Fabric Sts Jul 07" xfId="977" xr:uid="{00000000-0005-0000-0000-0000FF030000}"/>
    <cellStyle name="2_FORMATS" xfId="978" xr:uid="{00000000-0005-0000-0000-000000040000}"/>
    <cellStyle name="2_FORMATS_Fab.QWK03-2005" xfId="979" xr:uid="{00000000-0005-0000-0000-000001040000}"/>
    <cellStyle name="2_FORMATS_Fab.QWK03-2005_A4-1503 (9733,35,36)" xfId="980" xr:uid="{00000000-0005-0000-0000-000002040000}"/>
    <cellStyle name="2_FORMATS_Fab.QWK03-2005_Book5" xfId="981" xr:uid="{00000000-0005-0000-0000-000003040000}"/>
    <cellStyle name="2_FORMATS_Fab.QWK03-2005_Grading Rjct Jan-07" xfId="982" xr:uid="{00000000-0005-0000-0000-000004040000}"/>
    <cellStyle name="2_FORMATS_Fab.QWK03-2005_Grading Rjct Nov-06" xfId="983" xr:uid="{00000000-0005-0000-0000-000005040000}"/>
    <cellStyle name="2_FORMATS_Fab.QWK03-2005_Grading Rjct Sep-06" xfId="984" xr:uid="{00000000-0005-0000-0000-000006040000}"/>
    <cellStyle name="2_FORMATS_Fab.QWK03-2005_Grd Off Std Rpt (2006)" xfId="985" xr:uid="{00000000-0005-0000-0000-000007040000}"/>
    <cellStyle name="2_FORMATS_Fab.QWK03-2005_Grd Off Std Rpt (2006)02" xfId="986" xr:uid="{00000000-0005-0000-0000-000008040000}"/>
    <cellStyle name="2_FORMATS_Fab.QWK03-2005_Grd Off Std Rpt (2007)  02" xfId="987" xr:uid="{00000000-0005-0000-0000-000009040000}"/>
    <cellStyle name="2_FORMATS_Fab.QWK03-2005_Monthly Grd Prod &amp; Rej Rpt 2006" xfId="988" xr:uid="{00000000-0005-0000-0000-00000A040000}"/>
    <cellStyle name="2_FORMATS_Fab.QWK03-2005_NA Grd-01-09-06" xfId="989" xr:uid="{00000000-0005-0000-0000-00000B040000}"/>
    <cellStyle name="2_FORMATS_Fab.QWK03-2005_Roll wise packing list inv" xfId="990" xr:uid="{00000000-0005-0000-0000-00000C040000}"/>
    <cellStyle name="2_FORMATS_Fab.QWK03-2005_Set Wise Rej Rpt" xfId="991" xr:uid="{00000000-0005-0000-0000-00000D040000}"/>
    <cellStyle name="2_FORMATS_Forwarding" xfId="992" xr:uid="{00000000-0005-0000-0000-00000E040000}"/>
    <cellStyle name="2_Forwarding" xfId="993" xr:uid="{00000000-0005-0000-0000-00000F040000}"/>
    <cellStyle name="2_G F Stock (13)" xfId="994" xr:uid="{00000000-0005-0000-0000-000010040000}"/>
    <cellStyle name="2_G F Stock (15)" xfId="995" xr:uid="{00000000-0005-0000-0000-000011040000}"/>
    <cellStyle name="2_G F Stock (16)" xfId="996" xr:uid="{00000000-0005-0000-0000-000012040000}"/>
    <cellStyle name="2_G F Stock (17)" xfId="997" xr:uid="{00000000-0005-0000-0000-000013040000}"/>
    <cellStyle name="2_G F Stock (18)" xfId="998" xr:uid="{00000000-0005-0000-0000-000014040000}"/>
    <cellStyle name="2_G F Stock (19)" xfId="999" xr:uid="{00000000-0005-0000-0000-000015040000}"/>
    <cellStyle name="2_G F Stock (22)" xfId="1000" xr:uid="{00000000-0005-0000-0000-000016040000}"/>
    <cellStyle name="2_G F Stock (24)" xfId="1001" xr:uid="{00000000-0005-0000-0000-000017040000}"/>
    <cellStyle name="2_G F Stock (25)" xfId="1002" xr:uid="{00000000-0005-0000-0000-000018040000}"/>
    <cellStyle name="2_List Obsolete Record" xfId="1003" xr:uid="{00000000-0005-0000-0000-000019040000}"/>
    <cellStyle name="2_List Obsolete Record 2" xfId="1004" xr:uid="{00000000-0005-0000-0000-00001A040000}"/>
    <cellStyle name="2_List Obsolete Record_AA" xfId="1005" xr:uid="{00000000-0005-0000-0000-00001B040000}"/>
    <cellStyle name="2_List Obsolete Record_Accounts BHP -2009 " xfId="1006" xr:uid="{00000000-0005-0000-0000-00001C040000}"/>
    <cellStyle name="2_List Obsolete Record_Details of additions and deletions" xfId="1007" xr:uid="{00000000-0005-0000-0000-00001D040000}"/>
    <cellStyle name="2_List Obsolete Record_Fab.QWK03-2005" xfId="1008" xr:uid="{00000000-0005-0000-0000-00001E040000}"/>
    <cellStyle name="2_List Obsolete Record_Fab.QWK03-2005_A4-1503 (9733,35,36)" xfId="1009" xr:uid="{00000000-0005-0000-0000-00001F040000}"/>
    <cellStyle name="2_List Obsolete Record_Fab.QWK03-2005_Book5" xfId="1010" xr:uid="{00000000-0005-0000-0000-000020040000}"/>
    <cellStyle name="2_List Obsolete Record_Fab.QWK03-2005_Grading Rjct Jan-07" xfId="1011" xr:uid="{00000000-0005-0000-0000-000021040000}"/>
    <cellStyle name="2_List Obsolete Record_Fab.QWK03-2005_Grading Rjct Nov-06" xfId="1012" xr:uid="{00000000-0005-0000-0000-000022040000}"/>
    <cellStyle name="2_List Obsolete Record_Fab.QWK03-2005_Grading Rjct Sep-06" xfId="1013" xr:uid="{00000000-0005-0000-0000-000023040000}"/>
    <cellStyle name="2_List Obsolete Record_Fab.QWK03-2005_Grd Off Std Rpt (2006)" xfId="1014" xr:uid="{00000000-0005-0000-0000-000024040000}"/>
    <cellStyle name="2_List Obsolete Record_Fab.QWK03-2005_Grd Off Std Rpt (2006)02" xfId="1015" xr:uid="{00000000-0005-0000-0000-000025040000}"/>
    <cellStyle name="2_List Obsolete Record_Fab.QWK03-2005_Grd Off Std Rpt (2007)  02" xfId="1016" xr:uid="{00000000-0005-0000-0000-000026040000}"/>
    <cellStyle name="2_List Obsolete Record_Fab.QWK03-2005_Monthly Grd Prod &amp; Rej Rpt 2006" xfId="1017" xr:uid="{00000000-0005-0000-0000-000027040000}"/>
    <cellStyle name="2_List Obsolete Record_Fab.QWK03-2005_NA Grd-01-09-06" xfId="1018" xr:uid="{00000000-0005-0000-0000-000028040000}"/>
    <cellStyle name="2_List Obsolete Record_Fab.QWK03-2005_Roll wise packing list inv" xfId="1019" xr:uid="{00000000-0005-0000-0000-000029040000}"/>
    <cellStyle name="2_List Obsolete Record_Fab.QWK03-2005_Set Wise Rej Rpt" xfId="1020" xr:uid="{00000000-0005-0000-0000-00002A040000}"/>
    <cellStyle name="2_List Obsolete Record_Forwarding" xfId="1021" xr:uid="{00000000-0005-0000-0000-00002B040000}"/>
    <cellStyle name="2_List Obsolete Record_PD Sample Cost Oct04~Jun05 (2)" xfId="1022" xr:uid="{00000000-0005-0000-0000-00002C040000}"/>
    <cellStyle name="2_List Obsolete Record_PD Sample Cost Oct04~Jun05 (2) 2" xfId="1023" xr:uid="{00000000-0005-0000-0000-00002D040000}"/>
    <cellStyle name="2_List Obsolete Record_PD Sample Cost Oct04~Jun05 (2)_AA" xfId="1024" xr:uid="{00000000-0005-0000-0000-00002E040000}"/>
    <cellStyle name="2_List Obsolete Record_PD Sample Cost Oct04~Jun05 (2)_Accounts BHP -2009 " xfId="1025" xr:uid="{00000000-0005-0000-0000-00002F040000}"/>
    <cellStyle name="2_List Obsolete Record_PD Sample Cost Oct04~Jun05 (2)_Book1" xfId="1026" xr:uid="{00000000-0005-0000-0000-000030040000}"/>
    <cellStyle name="2_List Obsolete Record_PD Sample Cost Oct04~Jun05 (2)_Book1 2" xfId="1027" xr:uid="{00000000-0005-0000-0000-000031040000}"/>
    <cellStyle name="2_List Obsolete Record_PD Sample Cost Oct04~Jun05 (2)_Book1_AA" xfId="1028" xr:uid="{00000000-0005-0000-0000-000032040000}"/>
    <cellStyle name="2_List Obsolete Record_PD Sample Cost Oct04~Jun05 (2)_Book1_Accounts BHP -2009 " xfId="1029" xr:uid="{00000000-0005-0000-0000-000033040000}"/>
    <cellStyle name="2_List Obsolete Record_PD Sample Cost Oct04~Jun05 (2)_Book1_Details of additions and deletions" xfId="1030" xr:uid="{00000000-0005-0000-0000-000034040000}"/>
    <cellStyle name="2_List Obsolete Record_PD Sample Cost Oct04~Jun05 (2)_Book1_prepaid Insurance-08 consolidated working" xfId="1031" xr:uid="{00000000-0005-0000-0000-000035040000}"/>
    <cellStyle name="2_List Obsolete Record_PD Sample Cost Oct04~Jun05 (2)_Book1_prepaid Insurance-08 consolidated working 2" xfId="1032" xr:uid="{00000000-0005-0000-0000-000036040000}"/>
    <cellStyle name="2_List Obsolete Record_PD Sample Cost Oct04~Jun05 (2)_Book1_vouching" xfId="1033" xr:uid="{00000000-0005-0000-0000-000037040000}"/>
    <cellStyle name="2_List Obsolete Record_PD Sample Cost Oct04~Jun05 (2)_Book1_vouching_BB 07-GNA" xfId="1034" xr:uid="{00000000-0005-0000-0000-000038040000}"/>
    <cellStyle name="2_List Obsolete Record_PD Sample Cost Oct04~Jun05 (2)_Book1_vouching_BB 07-GNA -2" xfId="1035" xr:uid="{00000000-0005-0000-0000-000039040000}"/>
    <cellStyle name="2_List Obsolete Record_PD Sample Cost Oct04~Jun05 (2)_Details of additions and deletions" xfId="1036" xr:uid="{00000000-0005-0000-0000-00003A040000}"/>
    <cellStyle name="2_List Obsolete Record_PD Sample Cost Oct04~Jun05 (2)_prepaid Insurance-08 consolidated working" xfId="1037" xr:uid="{00000000-0005-0000-0000-00003B040000}"/>
    <cellStyle name="2_List Obsolete Record_PD Sample Cost Oct04~Jun05 (2)_prepaid Insurance-08 consolidated working 2" xfId="1038" xr:uid="{00000000-0005-0000-0000-00003C040000}"/>
    <cellStyle name="2_List Obsolete Record_PD Sample Cost Oct04~Jun05 (2)_R &amp; D Final-SI 31-Aug" xfId="1039" xr:uid="{00000000-0005-0000-0000-00003D040000}"/>
    <cellStyle name="2_List Obsolete Record_PD Sample Cost Oct04~Jun05 (2)_R &amp; D Final-SI 31-Aug 2" xfId="1040" xr:uid="{00000000-0005-0000-0000-00003E040000}"/>
    <cellStyle name="2_List Obsolete Record_PD Sample Cost Oct04~Jun05 (2)_R &amp; D Final-SI 31-Aug_AA" xfId="1041" xr:uid="{00000000-0005-0000-0000-00003F040000}"/>
    <cellStyle name="2_List Obsolete Record_PD Sample Cost Oct04~Jun05 (2)_R &amp; D Final-SI 31-Aug_Accounts BHP -2009 " xfId="1042" xr:uid="{00000000-0005-0000-0000-000040040000}"/>
    <cellStyle name="2_List Obsolete Record_PD Sample Cost Oct04~Jun05 (2)_R &amp; D Final-SI 31-Aug_Details of additions and deletions" xfId="1043" xr:uid="{00000000-0005-0000-0000-000041040000}"/>
    <cellStyle name="2_List Obsolete Record_PD Sample Cost Oct04~Jun05 (2)_R &amp; D Final-SI 31-Aug_prepaid Insurance-08 consolidated working" xfId="1044" xr:uid="{00000000-0005-0000-0000-000042040000}"/>
    <cellStyle name="2_List Obsolete Record_PD Sample Cost Oct04~Jun05 (2)_R &amp; D Final-SI 31-Aug_prepaid Insurance-08 consolidated working 2" xfId="1045" xr:uid="{00000000-0005-0000-0000-000043040000}"/>
    <cellStyle name="2_List Obsolete Record_PD Sample Cost Oct04~Jun05 (2)_R &amp; D Final-SI 31-Aug_vouching" xfId="1046" xr:uid="{00000000-0005-0000-0000-000044040000}"/>
    <cellStyle name="2_List Obsolete Record_PD Sample Cost Oct04~Jun05 (2)_R &amp; D Final-SI 31-Aug_vouching_BB 07-GNA" xfId="1047" xr:uid="{00000000-0005-0000-0000-000045040000}"/>
    <cellStyle name="2_List Obsolete Record_PD Sample Cost Oct04~Jun05 (2)_R &amp; D Final-SI 31-Aug_vouching_BB 07-GNA -2" xfId="1048" xr:uid="{00000000-0005-0000-0000-000046040000}"/>
    <cellStyle name="2_List Obsolete Record_PD Sample Cost Oct04~Jun05 (2)_R &amp; D Final-SI28-8-6" xfId="1049" xr:uid="{00000000-0005-0000-0000-000047040000}"/>
    <cellStyle name="2_List Obsolete Record_PD Sample Cost Oct04~Jun05 (2)_R &amp; D Final-SI28-8-6 2" xfId="1050" xr:uid="{00000000-0005-0000-0000-000048040000}"/>
    <cellStyle name="2_List Obsolete Record_PD Sample Cost Oct04~Jun05 (2)_R &amp; D Final-SI28-8-6_AA" xfId="1051" xr:uid="{00000000-0005-0000-0000-000049040000}"/>
    <cellStyle name="2_List Obsolete Record_PD Sample Cost Oct04~Jun05 (2)_R &amp; D Final-SI28-8-6_Accounts BHP -2009 " xfId="1052" xr:uid="{00000000-0005-0000-0000-00004A040000}"/>
    <cellStyle name="2_List Obsolete Record_PD Sample Cost Oct04~Jun05 (2)_R &amp; D Final-SI28-8-6_Details of additions and deletions" xfId="1053" xr:uid="{00000000-0005-0000-0000-00004B040000}"/>
    <cellStyle name="2_List Obsolete Record_PD Sample Cost Oct04~Jun05 (2)_R &amp; D Final-SI28-8-6_prepaid Insurance-08 consolidated working" xfId="1054" xr:uid="{00000000-0005-0000-0000-00004C040000}"/>
    <cellStyle name="2_List Obsolete Record_PD Sample Cost Oct04~Jun05 (2)_R &amp; D Final-SI28-8-6_prepaid Insurance-08 consolidated working 2" xfId="1055" xr:uid="{00000000-0005-0000-0000-00004D040000}"/>
    <cellStyle name="2_List Obsolete Record_PD Sample Cost Oct04~Jun05 (2)_R &amp; D Final-SI28-8-6_vouching" xfId="1056" xr:uid="{00000000-0005-0000-0000-00004E040000}"/>
    <cellStyle name="2_List Obsolete Record_PD Sample Cost Oct04~Jun05 (2)_R &amp; D Final-SI28-8-6_vouching_BB 07-GNA" xfId="1057" xr:uid="{00000000-0005-0000-0000-00004F040000}"/>
    <cellStyle name="2_List Obsolete Record_PD Sample Cost Oct04~Jun05 (2)_R &amp; D Final-SI28-8-6_vouching_BB 07-GNA -2" xfId="1058" xr:uid="{00000000-0005-0000-0000-000050040000}"/>
    <cellStyle name="2_List Obsolete Record_PD Sample Cost Oct04~Jun05 (2)_vouching" xfId="1059" xr:uid="{00000000-0005-0000-0000-000051040000}"/>
    <cellStyle name="2_List Obsolete Record_PD Sample Cost Oct04~Jun05 (2)_vouching_BB 07-GNA" xfId="1060" xr:uid="{00000000-0005-0000-0000-000052040000}"/>
    <cellStyle name="2_List Obsolete Record_PD Sample Cost Oct04~Jun05 (2)_vouching_BB 07-GNA -2" xfId="1061" xr:uid="{00000000-0005-0000-0000-000053040000}"/>
    <cellStyle name="2_List Obsolete Record_prepaid Insurance-08 consolidated working" xfId="1062" xr:uid="{00000000-0005-0000-0000-000054040000}"/>
    <cellStyle name="2_List Obsolete Record_prepaid Insurance-08 consolidated working 2" xfId="1063" xr:uid="{00000000-0005-0000-0000-000055040000}"/>
    <cellStyle name="2_List Obsolete Record_vouching" xfId="1064" xr:uid="{00000000-0005-0000-0000-000056040000}"/>
    <cellStyle name="2_List Obsolete Record_vouching_BB 07-GNA" xfId="1065" xr:uid="{00000000-0005-0000-0000-000057040000}"/>
    <cellStyle name="2_List Obsolete Record_vouching_BB 07-GNA -2" xfId="1066" xr:uid="{00000000-0005-0000-0000-000058040000}"/>
    <cellStyle name="2_MASTER45" xfId="1067" xr:uid="{00000000-0005-0000-0000-000059040000}"/>
    <cellStyle name="2_MASTER45 (2)" xfId="1068" xr:uid="{00000000-0005-0000-0000-00005A040000}"/>
    <cellStyle name="2_MASTER45 (2)_AA" xfId="1069" xr:uid="{00000000-0005-0000-0000-00005B040000}"/>
    <cellStyle name="2_MASTER45 (2)_Details of additions and deletions" xfId="1070" xr:uid="{00000000-0005-0000-0000-00005C040000}"/>
    <cellStyle name="2_MASTER45 (2)_vouching" xfId="1071" xr:uid="{00000000-0005-0000-0000-00005D040000}"/>
    <cellStyle name="2_MASTER45 (2)_vouching_BB 07-GNA" xfId="1072" xr:uid="{00000000-0005-0000-0000-00005E040000}"/>
    <cellStyle name="2_MASTER45 (2)_vouching_BB 07-GNA -2" xfId="1073" xr:uid="{00000000-0005-0000-0000-00005F040000}"/>
    <cellStyle name="2_MASTER45 (3)" xfId="1074" xr:uid="{00000000-0005-0000-0000-000060040000}"/>
    <cellStyle name="2_MASTER45 (3)_AA" xfId="1075" xr:uid="{00000000-0005-0000-0000-000061040000}"/>
    <cellStyle name="2_MASTER45 (3)_Details of additions and deletions" xfId="1076" xr:uid="{00000000-0005-0000-0000-000062040000}"/>
    <cellStyle name="2_MASTER45 (3)_vouching" xfId="1077" xr:uid="{00000000-0005-0000-0000-000063040000}"/>
    <cellStyle name="2_MASTER45 (3)_vouching_BB 07-GNA" xfId="1078" xr:uid="{00000000-0005-0000-0000-000064040000}"/>
    <cellStyle name="2_MASTER45 (3)_vouching_BB 07-GNA -2" xfId="1079" xr:uid="{00000000-0005-0000-0000-000065040000}"/>
    <cellStyle name="2_MASTER45_AA" xfId="1080" xr:uid="{00000000-0005-0000-0000-000066040000}"/>
    <cellStyle name="2_MASTER45_Details of additions and deletions" xfId="1081" xr:uid="{00000000-0005-0000-0000-000067040000}"/>
    <cellStyle name="2_MASTER45_vouching" xfId="1082" xr:uid="{00000000-0005-0000-0000-000068040000}"/>
    <cellStyle name="2_MASTER45_vouching_BB 07-GNA" xfId="1083" xr:uid="{00000000-0005-0000-0000-000069040000}"/>
    <cellStyle name="2_MASTER45_vouching_BB 07-GNA -2" xfId="1084" xr:uid="{00000000-0005-0000-0000-00006A040000}"/>
    <cellStyle name="2_PD Sample Cost Oct04~Jun05 (2)" xfId="1085" xr:uid="{00000000-0005-0000-0000-00006B040000}"/>
    <cellStyle name="2_PD Sample Cost Oct04~Jun05 (2) 2" xfId="1086" xr:uid="{00000000-0005-0000-0000-00006C040000}"/>
    <cellStyle name="2_PD Sample Cost Oct04~Jun05 (2)_AA" xfId="1087" xr:uid="{00000000-0005-0000-0000-00006D040000}"/>
    <cellStyle name="2_PD Sample Cost Oct04~Jun05 (2)_Accounts BHP -2009 " xfId="1088" xr:uid="{00000000-0005-0000-0000-00006E040000}"/>
    <cellStyle name="2_PD Sample Cost Oct04~Jun05 (2)_Book1" xfId="1089" xr:uid="{00000000-0005-0000-0000-00006F040000}"/>
    <cellStyle name="2_PD Sample Cost Oct04~Jun05 (2)_Book1 2" xfId="1090" xr:uid="{00000000-0005-0000-0000-000070040000}"/>
    <cellStyle name="2_PD Sample Cost Oct04~Jun05 (2)_Book1_AA" xfId="1091" xr:uid="{00000000-0005-0000-0000-000071040000}"/>
    <cellStyle name="2_PD Sample Cost Oct04~Jun05 (2)_Book1_Accounts BHP -2009 " xfId="1092" xr:uid="{00000000-0005-0000-0000-000072040000}"/>
    <cellStyle name="2_PD Sample Cost Oct04~Jun05 (2)_Book1_Details of additions and deletions" xfId="1093" xr:uid="{00000000-0005-0000-0000-000073040000}"/>
    <cellStyle name="2_PD Sample Cost Oct04~Jun05 (2)_Book1_prepaid Insurance-08 consolidated working" xfId="1094" xr:uid="{00000000-0005-0000-0000-000074040000}"/>
    <cellStyle name="2_PD Sample Cost Oct04~Jun05 (2)_Book1_prepaid Insurance-08 consolidated working 2" xfId="1095" xr:uid="{00000000-0005-0000-0000-000075040000}"/>
    <cellStyle name="2_PD Sample Cost Oct04~Jun05 (2)_Book1_vouching" xfId="1096" xr:uid="{00000000-0005-0000-0000-000076040000}"/>
    <cellStyle name="2_PD Sample Cost Oct04~Jun05 (2)_Book1_vouching_BB 07-GNA" xfId="1097" xr:uid="{00000000-0005-0000-0000-000077040000}"/>
    <cellStyle name="2_PD Sample Cost Oct04~Jun05 (2)_Book1_vouching_BB 07-GNA -2" xfId="1098" xr:uid="{00000000-0005-0000-0000-000078040000}"/>
    <cellStyle name="2_PD Sample Cost Oct04~Jun05 (2)_Details of additions and deletions" xfId="1099" xr:uid="{00000000-0005-0000-0000-000079040000}"/>
    <cellStyle name="2_PD Sample Cost Oct04~Jun05 (2)_prepaid Insurance-08 consolidated working" xfId="1100" xr:uid="{00000000-0005-0000-0000-00007A040000}"/>
    <cellStyle name="2_PD Sample Cost Oct04~Jun05 (2)_prepaid Insurance-08 consolidated working 2" xfId="1101" xr:uid="{00000000-0005-0000-0000-00007B040000}"/>
    <cellStyle name="2_PD Sample Cost Oct04~Jun05 (2)_R &amp; D Final-SI 31-Aug" xfId="1102" xr:uid="{00000000-0005-0000-0000-00007C040000}"/>
    <cellStyle name="2_PD Sample Cost Oct04~Jun05 (2)_R &amp; D Final-SI 31-Aug 2" xfId="1103" xr:uid="{00000000-0005-0000-0000-00007D040000}"/>
    <cellStyle name="2_PD Sample Cost Oct04~Jun05 (2)_R &amp; D Final-SI 31-Aug_AA" xfId="1104" xr:uid="{00000000-0005-0000-0000-00007E040000}"/>
    <cellStyle name="2_PD Sample Cost Oct04~Jun05 (2)_R &amp; D Final-SI 31-Aug_Accounts BHP -2009 " xfId="1105" xr:uid="{00000000-0005-0000-0000-00007F040000}"/>
    <cellStyle name="2_PD Sample Cost Oct04~Jun05 (2)_R &amp; D Final-SI 31-Aug_Details of additions and deletions" xfId="1106" xr:uid="{00000000-0005-0000-0000-000080040000}"/>
    <cellStyle name="2_PD Sample Cost Oct04~Jun05 (2)_R &amp; D Final-SI 31-Aug_prepaid Insurance-08 consolidated working" xfId="1107" xr:uid="{00000000-0005-0000-0000-000081040000}"/>
    <cellStyle name="2_PD Sample Cost Oct04~Jun05 (2)_R &amp; D Final-SI 31-Aug_prepaid Insurance-08 consolidated working 2" xfId="1108" xr:uid="{00000000-0005-0000-0000-000082040000}"/>
    <cellStyle name="2_PD Sample Cost Oct04~Jun05 (2)_R &amp; D Final-SI 31-Aug_vouching" xfId="1109" xr:uid="{00000000-0005-0000-0000-000083040000}"/>
    <cellStyle name="2_PD Sample Cost Oct04~Jun05 (2)_R &amp; D Final-SI 31-Aug_vouching_BB 07-GNA" xfId="1110" xr:uid="{00000000-0005-0000-0000-000084040000}"/>
    <cellStyle name="2_PD Sample Cost Oct04~Jun05 (2)_R &amp; D Final-SI 31-Aug_vouching_BB 07-GNA -2" xfId="1111" xr:uid="{00000000-0005-0000-0000-000085040000}"/>
    <cellStyle name="2_PD Sample Cost Oct04~Jun05 (2)_R &amp; D Final-SI28-8-6" xfId="1112" xr:uid="{00000000-0005-0000-0000-000086040000}"/>
    <cellStyle name="2_PD Sample Cost Oct04~Jun05 (2)_R &amp; D Final-SI28-8-6 2" xfId="1113" xr:uid="{00000000-0005-0000-0000-000087040000}"/>
    <cellStyle name="2_PD Sample Cost Oct04~Jun05 (2)_R &amp; D Final-SI28-8-6_AA" xfId="1114" xr:uid="{00000000-0005-0000-0000-000088040000}"/>
    <cellStyle name="2_PD Sample Cost Oct04~Jun05 (2)_R &amp; D Final-SI28-8-6_Accounts BHP -2009 " xfId="1115" xr:uid="{00000000-0005-0000-0000-000089040000}"/>
    <cellStyle name="2_PD Sample Cost Oct04~Jun05 (2)_R &amp; D Final-SI28-8-6_Details of additions and deletions" xfId="1116" xr:uid="{00000000-0005-0000-0000-00008A040000}"/>
    <cellStyle name="2_PD Sample Cost Oct04~Jun05 (2)_R &amp; D Final-SI28-8-6_prepaid Insurance-08 consolidated working" xfId="1117" xr:uid="{00000000-0005-0000-0000-00008B040000}"/>
    <cellStyle name="2_PD Sample Cost Oct04~Jun05 (2)_R &amp; D Final-SI28-8-6_prepaid Insurance-08 consolidated working 2" xfId="1118" xr:uid="{00000000-0005-0000-0000-00008C040000}"/>
    <cellStyle name="2_PD Sample Cost Oct04~Jun05 (2)_R &amp; D Final-SI28-8-6_vouching" xfId="1119" xr:uid="{00000000-0005-0000-0000-00008D040000}"/>
    <cellStyle name="2_PD Sample Cost Oct04~Jun05 (2)_R &amp; D Final-SI28-8-6_vouching_BB 07-GNA" xfId="1120" xr:uid="{00000000-0005-0000-0000-00008E040000}"/>
    <cellStyle name="2_PD Sample Cost Oct04~Jun05 (2)_R &amp; D Final-SI28-8-6_vouching_BB 07-GNA -2" xfId="1121" xr:uid="{00000000-0005-0000-0000-00008F040000}"/>
    <cellStyle name="2_PD Sample Cost Oct04~Jun05 (2)_vouching" xfId="1122" xr:uid="{00000000-0005-0000-0000-000090040000}"/>
    <cellStyle name="2_PD Sample Cost Oct04~Jun05 (2)_vouching_BB 07-GNA" xfId="1123" xr:uid="{00000000-0005-0000-0000-000091040000}"/>
    <cellStyle name="2_PD Sample Cost Oct04~Jun05 (2)_vouching_BB 07-GNA -2" xfId="1124" xr:uid="{00000000-0005-0000-0000-000092040000}"/>
    <cellStyle name="2_prepaid Insurance-08 consolidated working" xfId="1125" xr:uid="{00000000-0005-0000-0000-000093040000}"/>
    <cellStyle name="2_prepaid Insurance-08 consolidated working 2" xfId="1126" xr:uid="{00000000-0005-0000-0000-000094040000}"/>
    <cellStyle name="2_Salaries Budget 08" xfId="1127" xr:uid="{00000000-0005-0000-0000-000095040000}"/>
    <cellStyle name="2_Tag " xfId="1128" xr:uid="{00000000-0005-0000-0000-000096040000}"/>
    <cellStyle name="2_Tag _AA" xfId="1129" xr:uid="{00000000-0005-0000-0000-000097040000}"/>
    <cellStyle name="2_Tag _Details of additions and deletions" xfId="1130" xr:uid="{00000000-0005-0000-0000-000098040000}"/>
    <cellStyle name="2_Tag _Fab.QWK03-2005" xfId="1131" xr:uid="{00000000-0005-0000-0000-000099040000}"/>
    <cellStyle name="2_Tag _Fab.QWK03-2005_A4-1503 (9733,35,36)" xfId="1132" xr:uid="{00000000-0005-0000-0000-00009A040000}"/>
    <cellStyle name="2_Tag _Fab.QWK03-2005_Book5" xfId="1133" xr:uid="{00000000-0005-0000-0000-00009B040000}"/>
    <cellStyle name="2_Tag _Fab.QWK03-2005_Grading Rjct Jan-07" xfId="1134" xr:uid="{00000000-0005-0000-0000-00009C040000}"/>
    <cellStyle name="2_Tag _Fab.QWK03-2005_Grading Rjct Nov-06" xfId="1135" xr:uid="{00000000-0005-0000-0000-00009D040000}"/>
    <cellStyle name="2_Tag _Fab.QWK03-2005_Grading Rjct Sep-06" xfId="1136" xr:uid="{00000000-0005-0000-0000-00009E040000}"/>
    <cellStyle name="2_Tag _Fab.QWK03-2005_Grd Off Std Rpt (2006)" xfId="1137" xr:uid="{00000000-0005-0000-0000-00009F040000}"/>
    <cellStyle name="2_Tag _Fab.QWK03-2005_Grd Off Std Rpt (2006)02" xfId="1138" xr:uid="{00000000-0005-0000-0000-0000A0040000}"/>
    <cellStyle name="2_Tag _Fab.QWK03-2005_Grd Off Std Rpt (2007)  02" xfId="1139" xr:uid="{00000000-0005-0000-0000-0000A1040000}"/>
    <cellStyle name="2_Tag _Fab.QWK03-2005_Monthly Grd Prod &amp; Rej Rpt 2006" xfId="1140" xr:uid="{00000000-0005-0000-0000-0000A2040000}"/>
    <cellStyle name="2_Tag _Fab.QWK03-2005_NA Grd-01-09-06" xfId="1141" xr:uid="{00000000-0005-0000-0000-0000A3040000}"/>
    <cellStyle name="2_Tag _Fab.QWK03-2005_Roll wise packing list inv" xfId="1142" xr:uid="{00000000-0005-0000-0000-0000A4040000}"/>
    <cellStyle name="2_Tag _Fab.QWK03-2005_Set Wise Rej Rpt" xfId="1143" xr:uid="{00000000-0005-0000-0000-0000A5040000}"/>
    <cellStyle name="2_Tag _Forwarding" xfId="1144" xr:uid="{00000000-0005-0000-0000-0000A6040000}"/>
    <cellStyle name="2_Tag _PD Sample Cost Oct04~Jun05 (2)" xfId="1145" xr:uid="{00000000-0005-0000-0000-0000A7040000}"/>
    <cellStyle name="2_Tag _PD Sample Cost Oct04~Jun05 (2)_AA" xfId="1146" xr:uid="{00000000-0005-0000-0000-0000A8040000}"/>
    <cellStyle name="2_Tag _PD Sample Cost Oct04~Jun05 (2)_Book1" xfId="1147" xr:uid="{00000000-0005-0000-0000-0000A9040000}"/>
    <cellStyle name="2_Tag _PD Sample Cost Oct04~Jun05 (2)_Book1_AA" xfId="1148" xr:uid="{00000000-0005-0000-0000-0000AA040000}"/>
    <cellStyle name="2_Tag _PD Sample Cost Oct04~Jun05 (2)_Book1_Details of additions and deletions" xfId="1149" xr:uid="{00000000-0005-0000-0000-0000AB040000}"/>
    <cellStyle name="2_Tag _PD Sample Cost Oct04~Jun05 (2)_Book1_vouching" xfId="1150" xr:uid="{00000000-0005-0000-0000-0000AC040000}"/>
    <cellStyle name="2_Tag _PD Sample Cost Oct04~Jun05 (2)_Book1_vouching_BB 07-GNA" xfId="1151" xr:uid="{00000000-0005-0000-0000-0000AD040000}"/>
    <cellStyle name="2_Tag _PD Sample Cost Oct04~Jun05 (2)_Book1_vouching_BB 07-GNA -2" xfId="1152" xr:uid="{00000000-0005-0000-0000-0000AE040000}"/>
    <cellStyle name="2_Tag _PD Sample Cost Oct04~Jun05 (2)_Details of additions and deletions" xfId="1153" xr:uid="{00000000-0005-0000-0000-0000AF040000}"/>
    <cellStyle name="2_Tag _PD Sample Cost Oct04~Jun05 (2)_R &amp; D Final-SI 31-Aug" xfId="1154" xr:uid="{00000000-0005-0000-0000-0000B0040000}"/>
    <cellStyle name="2_Tag _PD Sample Cost Oct04~Jun05 (2)_R &amp; D Final-SI 31-Aug_AA" xfId="1155" xr:uid="{00000000-0005-0000-0000-0000B1040000}"/>
    <cellStyle name="2_Tag _PD Sample Cost Oct04~Jun05 (2)_R &amp; D Final-SI 31-Aug_Details of additions and deletions" xfId="1156" xr:uid="{00000000-0005-0000-0000-0000B2040000}"/>
    <cellStyle name="2_Tag _PD Sample Cost Oct04~Jun05 (2)_R &amp; D Final-SI 31-Aug_vouching" xfId="1157" xr:uid="{00000000-0005-0000-0000-0000B3040000}"/>
    <cellStyle name="2_Tag _PD Sample Cost Oct04~Jun05 (2)_R &amp; D Final-SI 31-Aug_vouching_BB 07-GNA" xfId="1158" xr:uid="{00000000-0005-0000-0000-0000B4040000}"/>
    <cellStyle name="2_Tag _PD Sample Cost Oct04~Jun05 (2)_R &amp; D Final-SI 31-Aug_vouching_BB 07-GNA -2" xfId="1159" xr:uid="{00000000-0005-0000-0000-0000B5040000}"/>
    <cellStyle name="2_Tag _PD Sample Cost Oct04~Jun05 (2)_R &amp; D Final-SI28-8-6" xfId="1160" xr:uid="{00000000-0005-0000-0000-0000B6040000}"/>
    <cellStyle name="2_Tag _PD Sample Cost Oct04~Jun05 (2)_R &amp; D Final-SI28-8-6_AA" xfId="1161" xr:uid="{00000000-0005-0000-0000-0000B7040000}"/>
    <cellStyle name="2_Tag _PD Sample Cost Oct04~Jun05 (2)_R &amp; D Final-SI28-8-6_Details of additions and deletions" xfId="1162" xr:uid="{00000000-0005-0000-0000-0000B8040000}"/>
    <cellStyle name="2_Tag _PD Sample Cost Oct04~Jun05 (2)_R &amp; D Final-SI28-8-6_vouching" xfId="1163" xr:uid="{00000000-0005-0000-0000-0000B9040000}"/>
    <cellStyle name="2_Tag _PD Sample Cost Oct04~Jun05 (2)_R &amp; D Final-SI28-8-6_vouching_BB 07-GNA" xfId="1164" xr:uid="{00000000-0005-0000-0000-0000BA040000}"/>
    <cellStyle name="2_Tag _PD Sample Cost Oct04~Jun05 (2)_R &amp; D Final-SI28-8-6_vouching_BB 07-GNA -2" xfId="1165" xr:uid="{00000000-0005-0000-0000-0000BB040000}"/>
    <cellStyle name="2_Tag _PD Sample Cost Oct04~Jun05 (2)_vouching" xfId="1166" xr:uid="{00000000-0005-0000-0000-0000BC040000}"/>
    <cellStyle name="2_Tag _PD Sample Cost Oct04~Jun05 (2)_vouching_BB 07-GNA" xfId="1167" xr:uid="{00000000-0005-0000-0000-0000BD040000}"/>
    <cellStyle name="2_Tag _PD Sample Cost Oct04~Jun05 (2)_vouching_BB 07-GNA -2" xfId="1168" xr:uid="{00000000-0005-0000-0000-0000BE040000}"/>
    <cellStyle name="2_Tag _vouching" xfId="1169" xr:uid="{00000000-0005-0000-0000-0000BF040000}"/>
    <cellStyle name="2_Tag _vouching_BB 07-GNA" xfId="1170" xr:uid="{00000000-0005-0000-0000-0000C0040000}"/>
    <cellStyle name="2_Tag _vouching_BB 07-GNA -2" xfId="1171" xr:uid="{00000000-0005-0000-0000-0000C1040000}"/>
    <cellStyle name="2_vouching" xfId="1172" xr:uid="{00000000-0005-0000-0000-0000C2040000}"/>
    <cellStyle name="2_vouching_BB 07-GNA" xfId="1173" xr:uid="{00000000-0005-0000-0000-0000C3040000}"/>
    <cellStyle name="2_vouching_BB 07-GNA -2" xfId="1174" xr:uid="{00000000-0005-0000-0000-0000C4040000}"/>
    <cellStyle name="20% - Accent1 2" xfId="1175" xr:uid="{00000000-0005-0000-0000-0000C5040000}"/>
    <cellStyle name="20% - Accent1 2 2" xfId="1176" xr:uid="{00000000-0005-0000-0000-0000C6040000}"/>
    <cellStyle name="20% - Accent1 3" xfId="1177" xr:uid="{00000000-0005-0000-0000-0000C7040000}"/>
    <cellStyle name="20% - Accent1 4" xfId="1178" xr:uid="{00000000-0005-0000-0000-0000C8040000}"/>
    <cellStyle name="20% - Accent1 5" xfId="1179" xr:uid="{00000000-0005-0000-0000-0000C9040000}"/>
    <cellStyle name="20% - Accent2 2" xfId="1180" xr:uid="{00000000-0005-0000-0000-0000CA040000}"/>
    <cellStyle name="20% - Accent2 3" xfId="1181" xr:uid="{00000000-0005-0000-0000-0000CB040000}"/>
    <cellStyle name="20% - Accent2 4" xfId="1182" xr:uid="{00000000-0005-0000-0000-0000CC040000}"/>
    <cellStyle name="20% - Accent2 5" xfId="1183" xr:uid="{00000000-0005-0000-0000-0000CD040000}"/>
    <cellStyle name="20% - Accent3 2" xfId="1184" xr:uid="{00000000-0005-0000-0000-0000CE040000}"/>
    <cellStyle name="20% - Accent3 3" xfId="1185" xr:uid="{00000000-0005-0000-0000-0000CF040000}"/>
    <cellStyle name="20% - Accent3 4" xfId="1186" xr:uid="{00000000-0005-0000-0000-0000D0040000}"/>
    <cellStyle name="20% - Accent3 5" xfId="1187" xr:uid="{00000000-0005-0000-0000-0000D1040000}"/>
    <cellStyle name="20% - Accent4 2" xfId="1188" xr:uid="{00000000-0005-0000-0000-0000D2040000}"/>
    <cellStyle name="20% - Accent4 3" xfId="1189" xr:uid="{00000000-0005-0000-0000-0000D3040000}"/>
    <cellStyle name="20% - Accent4 4" xfId="1190" xr:uid="{00000000-0005-0000-0000-0000D4040000}"/>
    <cellStyle name="20% - Accent4 5" xfId="1191" xr:uid="{00000000-0005-0000-0000-0000D5040000}"/>
    <cellStyle name="20% - Accent5 2" xfId="1192" xr:uid="{00000000-0005-0000-0000-0000D6040000}"/>
    <cellStyle name="20% - Accent5 3" xfId="1193" xr:uid="{00000000-0005-0000-0000-0000D7040000}"/>
    <cellStyle name="20% - Accent5 4" xfId="1194" xr:uid="{00000000-0005-0000-0000-0000D8040000}"/>
    <cellStyle name="20% - Accent5 5" xfId="1195" xr:uid="{00000000-0005-0000-0000-0000D9040000}"/>
    <cellStyle name="20% - Accent6 2" xfId="1196" xr:uid="{00000000-0005-0000-0000-0000DA040000}"/>
    <cellStyle name="20% - Accent6 3" xfId="1197" xr:uid="{00000000-0005-0000-0000-0000DB040000}"/>
    <cellStyle name="20% - Accent6 4" xfId="1198" xr:uid="{00000000-0005-0000-0000-0000DC040000}"/>
    <cellStyle name="20% - Accent6 5" xfId="1199" xr:uid="{00000000-0005-0000-0000-0000DD040000}"/>
    <cellStyle name="40% - Accent1 2" xfId="1200" xr:uid="{00000000-0005-0000-0000-0000DE040000}"/>
    <cellStyle name="40% - Accent1 3" xfId="1201" xr:uid="{00000000-0005-0000-0000-0000DF040000}"/>
    <cellStyle name="40% - Accent1 4" xfId="1202" xr:uid="{00000000-0005-0000-0000-0000E0040000}"/>
    <cellStyle name="40% - Accent1 5" xfId="1203" xr:uid="{00000000-0005-0000-0000-0000E1040000}"/>
    <cellStyle name="40% - Accent2 2" xfId="1204" xr:uid="{00000000-0005-0000-0000-0000E2040000}"/>
    <cellStyle name="40% - Accent2 2 2" xfId="1205" xr:uid="{00000000-0005-0000-0000-0000E3040000}"/>
    <cellStyle name="40% - Accent2 2 2 2" xfId="1206" xr:uid="{00000000-0005-0000-0000-0000E4040000}"/>
    <cellStyle name="40% - Accent2 2 2 3" xfId="1207" xr:uid="{00000000-0005-0000-0000-0000E5040000}"/>
    <cellStyle name="40% - Accent2 2 3" xfId="1208" xr:uid="{00000000-0005-0000-0000-0000E6040000}"/>
    <cellStyle name="40% - Accent2 2 3 2" xfId="1209" xr:uid="{00000000-0005-0000-0000-0000E7040000}"/>
    <cellStyle name="40% - Accent2 2 3 2 2" xfId="1210" xr:uid="{00000000-0005-0000-0000-0000E8040000}"/>
    <cellStyle name="40% - Accent2 2 4" xfId="1211" xr:uid="{00000000-0005-0000-0000-0000E9040000}"/>
    <cellStyle name="40% - Accent2 3" xfId="1212" xr:uid="{00000000-0005-0000-0000-0000EA040000}"/>
    <cellStyle name="40% - Accent2 4" xfId="1213" xr:uid="{00000000-0005-0000-0000-0000EB040000}"/>
    <cellStyle name="40% - Accent2 5" xfId="1214" xr:uid="{00000000-0005-0000-0000-0000EC040000}"/>
    <cellStyle name="40% - Accent3 2" xfId="1215" xr:uid="{00000000-0005-0000-0000-0000ED040000}"/>
    <cellStyle name="40% - Accent3 3" xfId="1216" xr:uid="{00000000-0005-0000-0000-0000EE040000}"/>
    <cellStyle name="40% - Accent3 4" xfId="1217" xr:uid="{00000000-0005-0000-0000-0000EF040000}"/>
    <cellStyle name="40% - Accent3 5" xfId="1218" xr:uid="{00000000-0005-0000-0000-0000F0040000}"/>
    <cellStyle name="40% - Accent4 2" xfId="1219" xr:uid="{00000000-0005-0000-0000-0000F1040000}"/>
    <cellStyle name="40% - Accent4 3" xfId="1220" xr:uid="{00000000-0005-0000-0000-0000F2040000}"/>
    <cellStyle name="40% - Accent4 4" xfId="1221" xr:uid="{00000000-0005-0000-0000-0000F3040000}"/>
    <cellStyle name="40% - Accent4 5" xfId="1222" xr:uid="{00000000-0005-0000-0000-0000F4040000}"/>
    <cellStyle name="40% - Accent5 2" xfId="1223" xr:uid="{00000000-0005-0000-0000-0000F5040000}"/>
    <cellStyle name="40% - Accent5 3" xfId="1224" xr:uid="{00000000-0005-0000-0000-0000F6040000}"/>
    <cellStyle name="40% - Accent5 4" xfId="1225" xr:uid="{00000000-0005-0000-0000-0000F7040000}"/>
    <cellStyle name="40% - Accent5 5" xfId="1226" xr:uid="{00000000-0005-0000-0000-0000F8040000}"/>
    <cellStyle name="40% - Accent6 2" xfId="1227" xr:uid="{00000000-0005-0000-0000-0000F9040000}"/>
    <cellStyle name="40% - Accent6 2 2" xfId="1228" xr:uid="{00000000-0005-0000-0000-0000FA040000}"/>
    <cellStyle name="40% - Accent6 2 2 2" xfId="1229" xr:uid="{00000000-0005-0000-0000-0000FB040000}"/>
    <cellStyle name="40% - Accent6 2 2 3" xfId="1230" xr:uid="{00000000-0005-0000-0000-0000FC040000}"/>
    <cellStyle name="40% - Accent6 2 3" xfId="1231" xr:uid="{00000000-0005-0000-0000-0000FD040000}"/>
    <cellStyle name="40% - Accent6 2 3 2" xfId="1232" xr:uid="{00000000-0005-0000-0000-0000FE040000}"/>
    <cellStyle name="40% - Accent6 2 3 2 2" xfId="1233" xr:uid="{00000000-0005-0000-0000-0000FF040000}"/>
    <cellStyle name="40% - Accent6 2 4" xfId="1234" xr:uid="{00000000-0005-0000-0000-000000050000}"/>
    <cellStyle name="40% - Accent6 3" xfId="1235" xr:uid="{00000000-0005-0000-0000-000001050000}"/>
    <cellStyle name="40% - Accent6 4" xfId="1236" xr:uid="{00000000-0005-0000-0000-000002050000}"/>
    <cellStyle name="40% - Accent6 5" xfId="1237" xr:uid="{00000000-0005-0000-0000-000003050000}"/>
    <cellStyle name="60% - Accent1 2" xfId="1238" xr:uid="{00000000-0005-0000-0000-000004050000}"/>
    <cellStyle name="60% - Accent1 3" xfId="1239" xr:uid="{00000000-0005-0000-0000-000005050000}"/>
    <cellStyle name="60% - Accent1 4" xfId="1240" xr:uid="{00000000-0005-0000-0000-000006050000}"/>
    <cellStyle name="60% - Accent1 5" xfId="1241" xr:uid="{00000000-0005-0000-0000-000007050000}"/>
    <cellStyle name="60% - Accent2 2" xfId="1242" xr:uid="{00000000-0005-0000-0000-000008050000}"/>
    <cellStyle name="60% - Accent2 3" xfId="1243" xr:uid="{00000000-0005-0000-0000-000009050000}"/>
    <cellStyle name="60% - Accent2 4" xfId="1244" xr:uid="{00000000-0005-0000-0000-00000A050000}"/>
    <cellStyle name="60% - Accent2 5" xfId="1245" xr:uid="{00000000-0005-0000-0000-00000B050000}"/>
    <cellStyle name="60% - Accent3 2" xfId="1246" xr:uid="{00000000-0005-0000-0000-00000C050000}"/>
    <cellStyle name="60% - Accent3 3" xfId="1247" xr:uid="{00000000-0005-0000-0000-00000D050000}"/>
    <cellStyle name="60% - Accent3 4" xfId="1248" xr:uid="{00000000-0005-0000-0000-00000E050000}"/>
    <cellStyle name="60% - Accent3 5" xfId="1249" xr:uid="{00000000-0005-0000-0000-00000F050000}"/>
    <cellStyle name="60% - Accent4 2" xfId="1250" xr:uid="{00000000-0005-0000-0000-000010050000}"/>
    <cellStyle name="60% - Accent4 3" xfId="1251" xr:uid="{00000000-0005-0000-0000-000011050000}"/>
    <cellStyle name="60% - Accent4 4" xfId="1252" xr:uid="{00000000-0005-0000-0000-000012050000}"/>
    <cellStyle name="60% - Accent4 5" xfId="1253" xr:uid="{00000000-0005-0000-0000-000013050000}"/>
    <cellStyle name="60% - Accent5 2" xfId="1254" xr:uid="{00000000-0005-0000-0000-000014050000}"/>
    <cellStyle name="60% - Accent5 3" xfId="1255" xr:uid="{00000000-0005-0000-0000-000015050000}"/>
    <cellStyle name="60% - Accent5 4" xfId="1256" xr:uid="{00000000-0005-0000-0000-000016050000}"/>
    <cellStyle name="60% - Accent5 5" xfId="1257" xr:uid="{00000000-0005-0000-0000-000017050000}"/>
    <cellStyle name="60% - Accent6 2" xfId="1258" xr:uid="{00000000-0005-0000-0000-000018050000}"/>
    <cellStyle name="60% - Accent6 3" xfId="1259" xr:uid="{00000000-0005-0000-0000-000019050000}"/>
    <cellStyle name="60% - Accent6 4" xfId="1260" xr:uid="{00000000-0005-0000-0000-00001A050000}"/>
    <cellStyle name="60% - Accent6 5" xfId="1261" xr:uid="{00000000-0005-0000-0000-00001B050000}"/>
    <cellStyle name="Accent1 - 40%" xfId="1262" xr:uid="{00000000-0005-0000-0000-00001C050000}"/>
    <cellStyle name="Accent1 2" xfId="1263" xr:uid="{00000000-0005-0000-0000-00001D050000}"/>
    <cellStyle name="Accent1 2 2" xfId="1264" xr:uid="{00000000-0005-0000-0000-00001E050000}"/>
    <cellStyle name="Accent1 2 3" xfId="1265" xr:uid="{00000000-0005-0000-0000-00001F050000}"/>
    <cellStyle name="Accent1 2 3 2" xfId="1266" xr:uid="{00000000-0005-0000-0000-000020050000}"/>
    <cellStyle name="Accent1 2 3 2 2" xfId="1267" xr:uid="{00000000-0005-0000-0000-000021050000}"/>
    <cellStyle name="Accent1 2 4" xfId="1268" xr:uid="{00000000-0005-0000-0000-000022050000}"/>
    <cellStyle name="Accent1 3" xfId="1269" xr:uid="{00000000-0005-0000-0000-000023050000}"/>
    <cellStyle name="Accent1 4" xfId="1270" xr:uid="{00000000-0005-0000-0000-000024050000}"/>
    <cellStyle name="Accent1 5" xfId="1271" xr:uid="{00000000-0005-0000-0000-000025050000}"/>
    <cellStyle name="Accent2 2" xfId="1272" xr:uid="{00000000-0005-0000-0000-000026050000}"/>
    <cellStyle name="Accent2 3" xfId="1273" xr:uid="{00000000-0005-0000-0000-000027050000}"/>
    <cellStyle name="Accent2 4" xfId="1274" xr:uid="{00000000-0005-0000-0000-000028050000}"/>
    <cellStyle name="Accent2 5" xfId="1275" xr:uid="{00000000-0005-0000-0000-000029050000}"/>
    <cellStyle name="Accent3 2" xfId="1276" xr:uid="{00000000-0005-0000-0000-00002A050000}"/>
    <cellStyle name="Accent3 2 2" xfId="1277" xr:uid="{00000000-0005-0000-0000-00002B050000}"/>
    <cellStyle name="Accent3 2 3" xfId="1278" xr:uid="{00000000-0005-0000-0000-00002C050000}"/>
    <cellStyle name="Accent3 2 3 2" xfId="1279" xr:uid="{00000000-0005-0000-0000-00002D050000}"/>
    <cellStyle name="Accent3 2 3 2 2" xfId="1280" xr:uid="{00000000-0005-0000-0000-00002E050000}"/>
    <cellStyle name="Accent3 2 4" xfId="1281" xr:uid="{00000000-0005-0000-0000-00002F050000}"/>
    <cellStyle name="Accent3 3" xfId="1282" xr:uid="{00000000-0005-0000-0000-000030050000}"/>
    <cellStyle name="Accent3 4" xfId="1283" xr:uid="{00000000-0005-0000-0000-000031050000}"/>
    <cellStyle name="Accent3 5" xfId="1284" xr:uid="{00000000-0005-0000-0000-000032050000}"/>
    <cellStyle name="Accent4 2" xfId="1285" xr:uid="{00000000-0005-0000-0000-000033050000}"/>
    <cellStyle name="Accent4 3" xfId="1286" xr:uid="{00000000-0005-0000-0000-000034050000}"/>
    <cellStyle name="Accent4 4" xfId="1287" xr:uid="{00000000-0005-0000-0000-000035050000}"/>
    <cellStyle name="Accent4 5" xfId="1288" xr:uid="{00000000-0005-0000-0000-000036050000}"/>
    <cellStyle name="Accent5 2" xfId="1289" xr:uid="{00000000-0005-0000-0000-000037050000}"/>
    <cellStyle name="Accent5 3" xfId="1290" xr:uid="{00000000-0005-0000-0000-000038050000}"/>
    <cellStyle name="Accent5 4" xfId="1291" xr:uid="{00000000-0005-0000-0000-000039050000}"/>
    <cellStyle name="Accent5 5" xfId="1292" xr:uid="{00000000-0005-0000-0000-00003A050000}"/>
    <cellStyle name="Accent6 2" xfId="1293" xr:uid="{00000000-0005-0000-0000-00003B050000}"/>
    <cellStyle name="Accent6 3" xfId="1294" xr:uid="{00000000-0005-0000-0000-00003C050000}"/>
    <cellStyle name="Accent6 4" xfId="1295" xr:uid="{00000000-0005-0000-0000-00003D050000}"/>
    <cellStyle name="Accent6 5" xfId="1296" xr:uid="{00000000-0005-0000-0000-00003E050000}"/>
    <cellStyle name="Bad 2" xfId="1297" xr:uid="{00000000-0005-0000-0000-00003F050000}"/>
    <cellStyle name="Bad 3" xfId="1298" xr:uid="{00000000-0005-0000-0000-000040050000}"/>
    <cellStyle name="Bad 4" xfId="1299" xr:uid="{00000000-0005-0000-0000-000041050000}"/>
    <cellStyle name="Bad 5" xfId="1300" xr:uid="{00000000-0005-0000-0000-000042050000}"/>
    <cellStyle name="Body" xfId="1301" xr:uid="{00000000-0005-0000-0000-000043050000}"/>
    <cellStyle name="Bold/Border" xfId="1302" xr:uid="{00000000-0005-0000-0000-000044050000}"/>
    <cellStyle name="book" xfId="1303" xr:uid="{00000000-0005-0000-0000-000045050000}"/>
    <cellStyle name="border" xfId="1304" xr:uid="{00000000-0005-0000-0000-000046050000}"/>
    <cellStyle name="Bullet" xfId="1305" xr:uid="{00000000-0005-0000-0000-000047050000}"/>
    <cellStyle name="Calc Currency (0)" xfId="1306" xr:uid="{00000000-0005-0000-0000-000048050000}"/>
    <cellStyle name="Calc Currency (0) 2" xfId="1307" xr:uid="{00000000-0005-0000-0000-000049050000}"/>
    <cellStyle name="Calc Currency (2)" xfId="1308" xr:uid="{00000000-0005-0000-0000-00004A050000}"/>
    <cellStyle name="Calc Currency (2) 2" xfId="1309" xr:uid="{00000000-0005-0000-0000-00004B050000}"/>
    <cellStyle name="Calc Percent (0)" xfId="1310" xr:uid="{00000000-0005-0000-0000-00004C050000}"/>
    <cellStyle name="Calc Percent (0) 2" xfId="1311" xr:uid="{00000000-0005-0000-0000-00004D050000}"/>
    <cellStyle name="Calc Percent (0) 3" xfId="1312" xr:uid="{00000000-0005-0000-0000-00004E050000}"/>
    <cellStyle name="Calc Percent (0) 4" xfId="1313" xr:uid="{00000000-0005-0000-0000-00004F050000}"/>
    <cellStyle name="Calc Percent (0) 5" xfId="1314" xr:uid="{00000000-0005-0000-0000-000050050000}"/>
    <cellStyle name="Calc Percent (0) 6" xfId="1315" xr:uid="{00000000-0005-0000-0000-000051050000}"/>
    <cellStyle name="Calc Percent (0) 7" xfId="1316" xr:uid="{00000000-0005-0000-0000-000052050000}"/>
    <cellStyle name="Calc Percent (1)" xfId="1317" xr:uid="{00000000-0005-0000-0000-000053050000}"/>
    <cellStyle name="Calc Percent (1) 2" xfId="1318" xr:uid="{00000000-0005-0000-0000-000054050000}"/>
    <cellStyle name="Calc Percent (2)" xfId="1319" xr:uid="{00000000-0005-0000-0000-000055050000}"/>
    <cellStyle name="Calc Percent (2) 2" xfId="1320" xr:uid="{00000000-0005-0000-0000-000056050000}"/>
    <cellStyle name="Calc Percent (2) 3" xfId="1321" xr:uid="{00000000-0005-0000-0000-000057050000}"/>
    <cellStyle name="Calc Percent (2) 4" xfId="1322" xr:uid="{00000000-0005-0000-0000-000058050000}"/>
    <cellStyle name="Calc Percent (2) 5" xfId="1323" xr:uid="{00000000-0005-0000-0000-000059050000}"/>
    <cellStyle name="Calc Percent (2) 6" xfId="1324" xr:uid="{00000000-0005-0000-0000-00005A050000}"/>
    <cellStyle name="Calc Percent (2) 7" xfId="1325" xr:uid="{00000000-0005-0000-0000-00005B050000}"/>
    <cellStyle name="Calc Units (0)" xfId="1326" xr:uid="{00000000-0005-0000-0000-00005C050000}"/>
    <cellStyle name="Calc Units (0) 2" xfId="1327" xr:uid="{00000000-0005-0000-0000-00005D050000}"/>
    <cellStyle name="Calc Units (0) 3" xfId="1328" xr:uid="{00000000-0005-0000-0000-00005E050000}"/>
    <cellStyle name="Calc Units (0) 4" xfId="1329" xr:uid="{00000000-0005-0000-0000-00005F050000}"/>
    <cellStyle name="Calc Units (0) 5" xfId="1330" xr:uid="{00000000-0005-0000-0000-000060050000}"/>
    <cellStyle name="Calc Units (0) 6" xfId="1331" xr:uid="{00000000-0005-0000-0000-000061050000}"/>
    <cellStyle name="Calc Units (0) 7" xfId="1332" xr:uid="{00000000-0005-0000-0000-000062050000}"/>
    <cellStyle name="Calc Units (1)" xfId="1333" xr:uid="{00000000-0005-0000-0000-000063050000}"/>
    <cellStyle name="Calc Units (1) 2" xfId="1334" xr:uid="{00000000-0005-0000-0000-000064050000}"/>
    <cellStyle name="Calc Units (1) 3" xfId="1335" xr:uid="{00000000-0005-0000-0000-000065050000}"/>
    <cellStyle name="Calc Units (1) 4" xfId="1336" xr:uid="{00000000-0005-0000-0000-000066050000}"/>
    <cellStyle name="Calc Units (1) 5" xfId="1337" xr:uid="{00000000-0005-0000-0000-000067050000}"/>
    <cellStyle name="Calc Units (1) 6" xfId="1338" xr:uid="{00000000-0005-0000-0000-000068050000}"/>
    <cellStyle name="Calc Units (1) 7" xfId="1339" xr:uid="{00000000-0005-0000-0000-000069050000}"/>
    <cellStyle name="Calc Units (2)" xfId="1340" xr:uid="{00000000-0005-0000-0000-00006A050000}"/>
    <cellStyle name="Calc Units (2) 2" xfId="1341" xr:uid="{00000000-0005-0000-0000-00006B050000}"/>
    <cellStyle name="Calculation 2" xfId="1342" xr:uid="{00000000-0005-0000-0000-00006C050000}"/>
    <cellStyle name="Calculation 2 2" xfId="1343" xr:uid="{00000000-0005-0000-0000-00006D050000}"/>
    <cellStyle name="Calculation 2 2 2" xfId="1344" xr:uid="{00000000-0005-0000-0000-00006E050000}"/>
    <cellStyle name="Calculation 3" xfId="1345" xr:uid="{00000000-0005-0000-0000-00006F050000}"/>
    <cellStyle name="Calculation 3 2" xfId="1346" xr:uid="{00000000-0005-0000-0000-000070050000}"/>
    <cellStyle name="Calculation 3 2 2" xfId="1347" xr:uid="{00000000-0005-0000-0000-000071050000}"/>
    <cellStyle name="Calculation 4" xfId="1348" xr:uid="{00000000-0005-0000-0000-000072050000}"/>
    <cellStyle name="Calculation 4 2" xfId="1349" xr:uid="{00000000-0005-0000-0000-000073050000}"/>
    <cellStyle name="Calculation 4 2 2" xfId="1350" xr:uid="{00000000-0005-0000-0000-000074050000}"/>
    <cellStyle name="Calculation 5" xfId="1351" xr:uid="{00000000-0005-0000-0000-000075050000}"/>
    <cellStyle name="Calculation 5 2" xfId="1352" xr:uid="{00000000-0005-0000-0000-000076050000}"/>
    <cellStyle name="Calculation 5 2 2" xfId="1353" xr:uid="{00000000-0005-0000-0000-000077050000}"/>
    <cellStyle name="category" xfId="1354" xr:uid="{00000000-0005-0000-0000-000078050000}"/>
    <cellStyle name="Check Cell 2" xfId="1355" xr:uid="{00000000-0005-0000-0000-000079050000}"/>
    <cellStyle name="Check Cell 3" xfId="1356" xr:uid="{00000000-0005-0000-0000-00007A050000}"/>
    <cellStyle name="Check Cell 4" xfId="1357" xr:uid="{00000000-0005-0000-0000-00007B050000}"/>
    <cellStyle name="Check Cell 5" xfId="1358" xr:uid="{00000000-0005-0000-0000-00007C050000}"/>
    <cellStyle name="Comma" xfId="1" builtinId="3"/>
    <cellStyle name="Comma  - Style1" xfId="1359" xr:uid="{00000000-0005-0000-0000-00007D050000}"/>
    <cellStyle name="Comma  - Style2" xfId="1360" xr:uid="{00000000-0005-0000-0000-00007E050000}"/>
    <cellStyle name="Comma  - Style3" xfId="1361" xr:uid="{00000000-0005-0000-0000-00007F050000}"/>
    <cellStyle name="Comma  - Style4" xfId="1362" xr:uid="{00000000-0005-0000-0000-000080050000}"/>
    <cellStyle name="Comma  - Style5" xfId="1363" xr:uid="{00000000-0005-0000-0000-000081050000}"/>
    <cellStyle name="Comma  - Style6" xfId="1364" xr:uid="{00000000-0005-0000-0000-000082050000}"/>
    <cellStyle name="Comma  - Style7" xfId="1365" xr:uid="{00000000-0005-0000-0000-000083050000}"/>
    <cellStyle name="Comma  - Style8" xfId="1366" xr:uid="{00000000-0005-0000-0000-000084050000}"/>
    <cellStyle name="Comma [0] 2" xfId="1367" xr:uid="{00000000-0005-0000-0000-000085050000}"/>
    <cellStyle name="Comma [0] 2 2" xfId="1368" xr:uid="{00000000-0005-0000-0000-000086050000}"/>
    <cellStyle name="Comma [0] 2 2 2" xfId="1369" xr:uid="{00000000-0005-0000-0000-000087050000}"/>
    <cellStyle name="Comma [0] 2 3" xfId="1370" xr:uid="{00000000-0005-0000-0000-000088050000}"/>
    <cellStyle name="Comma [0] 2 3 2" xfId="1371" xr:uid="{00000000-0005-0000-0000-000089050000}"/>
    <cellStyle name="Comma [0] 2 4" xfId="1372" xr:uid="{00000000-0005-0000-0000-00008A050000}"/>
    <cellStyle name="Comma [0] 2 4 2" xfId="1373" xr:uid="{00000000-0005-0000-0000-00008B050000}"/>
    <cellStyle name="Comma [0] 2 5" xfId="1374" xr:uid="{00000000-0005-0000-0000-00008C050000}"/>
    <cellStyle name="Comma [0] 2 5 2" xfId="1375" xr:uid="{00000000-0005-0000-0000-00008D050000}"/>
    <cellStyle name="Comma [0] 2 6" xfId="1376" xr:uid="{00000000-0005-0000-0000-00008E050000}"/>
    <cellStyle name="Comma [0] 3" xfId="1377" xr:uid="{00000000-0005-0000-0000-00008F050000}"/>
    <cellStyle name="Comma [0] 3 2" xfId="1378" xr:uid="{00000000-0005-0000-0000-000090050000}"/>
    <cellStyle name="Comma [0] 3 3" xfId="1379" xr:uid="{00000000-0005-0000-0000-000091050000}"/>
    <cellStyle name="Comma [0] 3 3 2" xfId="1380" xr:uid="{00000000-0005-0000-0000-000092050000}"/>
    <cellStyle name="Comma [0] 3 3 2 2" xfId="1381" xr:uid="{00000000-0005-0000-0000-000093050000}"/>
    <cellStyle name="Comma [0] 3 4" xfId="1382" xr:uid="{00000000-0005-0000-0000-000094050000}"/>
    <cellStyle name="Comma [0] 4" xfId="1383" xr:uid="{00000000-0005-0000-0000-000095050000}"/>
    <cellStyle name="Comma [0] 5" xfId="1384" xr:uid="{00000000-0005-0000-0000-000096050000}"/>
    <cellStyle name="Comma [0] 6" xfId="1385" xr:uid="{00000000-0005-0000-0000-000097050000}"/>
    <cellStyle name="Comma [0] 7" xfId="1386" xr:uid="{00000000-0005-0000-0000-000098050000}"/>
    <cellStyle name="Comma [00]" xfId="1387" xr:uid="{00000000-0005-0000-0000-000099050000}"/>
    <cellStyle name="Comma [00] 2" xfId="1388" xr:uid="{00000000-0005-0000-0000-00009A050000}"/>
    <cellStyle name="Comma [00] 3" xfId="1389" xr:uid="{00000000-0005-0000-0000-00009B050000}"/>
    <cellStyle name="Comma [00] 4" xfId="1390" xr:uid="{00000000-0005-0000-0000-00009C050000}"/>
    <cellStyle name="Comma [00] 5" xfId="1391" xr:uid="{00000000-0005-0000-0000-00009D050000}"/>
    <cellStyle name="Comma [00] 6" xfId="1392" xr:uid="{00000000-0005-0000-0000-00009E050000}"/>
    <cellStyle name="Comma [00] 7" xfId="1393" xr:uid="{00000000-0005-0000-0000-00009F050000}"/>
    <cellStyle name="comma 0" xfId="1394" xr:uid="{00000000-0005-0000-0000-0000A0050000}"/>
    <cellStyle name="comma 0 2" xfId="1395" xr:uid="{00000000-0005-0000-0000-0000A1050000}"/>
    <cellStyle name="comma 0 2 2" xfId="1396" xr:uid="{00000000-0005-0000-0000-0000A2050000}"/>
    <cellStyle name="comma 0 3" xfId="1397" xr:uid="{00000000-0005-0000-0000-0000A3050000}"/>
    <cellStyle name="comma 0 3 2" xfId="1398" xr:uid="{00000000-0005-0000-0000-0000A4050000}"/>
    <cellStyle name="Comma 10" xfId="1399" xr:uid="{00000000-0005-0000-0000-0000A5050000}"/>
    <cellStyle name="Comma 10 10" xfId="1400" xr:uid="{00000000-0005-0000-0000-0000A6050000}"/>
    <cellStyle name="Comma 10 11" xfId="1401" xr:uid="{00000000-0005-0000-0000-0000A7050000}"/>
    <cellStyle name="Comma 10 12" xfId="1402" xr:uid="{00000000-0005-0000-0000-0000A8050000}"/>
    <cellStyle name="Comma 10 13" xfId="1403" xr:uid="{00000000-0005-0000-0000-0000A9050000}"/>
    <cellStyle name="Comma 10 2" xfId="1404" xr:uid="{00000000-0005-0000-0000-0000AA050000}"/>
    <cellStyle name="Comma 10 2 2" xfId="1405" xr:uid="{00000000-0005-0000-0000-0000AB050000}"/>
    <cellStyle name="Comma 10 2 3" xfId="1406" xr:uid="{00000000-0005-0000-0000-0000AC050000}"/>
    <cellStyle name="Comma 10 3" xfId="1407" xr:uid="{00000000-0005-0000-0000-0000AD050000}"/>
    <cellStyle name="Comma 10 3 2" xfId="1408" xr:uid="{00000000-0005-0000-0000-0000AE050000}"/>
    <cellStyle name="Comma 10 3 3" xfId="1409" xr:uid="{00000000-0005-0000-0000-0000AF050000}"/>
    <cellStyle name="Comma 10 4" xfId="1410" xr:uid="{00000000-0005-0000-0000-0000B0050000}"/>
    <cellStyle name="Comma 10 4 2" xfId="1411" xr:uid="{00000000-0005-0000-0000-0000B1050000}"/>
    <cellStyle name="Comma 10 4 3" xfId="1412" xr:uid="{00000000-0005-0000-0000-0000B2050000}"/>
    <cellStyle name="Comma 10 5" xfId="1413" xr:uid="{00000000-0005-0000-0000-0000B3050000}"/>
    <cellStyle name="Comma 10 6" xfId="1414" xr:uid="{00000000-0005-0000-0000-0000B4050000}"/>
    <cellStyle name="Comma 10 7" xfId="1415" xr:uid="{00000000-0005-0000-0000-0000B5050000}"/>
    <cellStyle name="Comma 10 8" xfId="1416" xr:uid="{00000000-0005-0000-0000-0000B6050000}"/>
    <cellStyle name="Comma 10 9" xfId="1417" xr:uid="{00000000-0005-0000-0000-0000B7050000}"/>
    <cellStyle name="Comma 105" xfId="1418" xr:uid="{00000000-0005-0000-0000-0000B8050000}"/>
    <cellStyle name="Comma 11" xfId="1419" xr:uid="{00000000-0005-0000-0000-0000B9050000}"/>
    <cellStyle name="Comma 11 2" xfId="1420" xr:uid="{00000000-0005-0000-0000-0000BA050000}"/>
    <cellStyle name="Comma 11 2 2" xfId="1421" xr:uid="{00000000-0005-0000-0000-0000BB050000}"/>
    <cellStyle name="Comma 11 2 2 2" xfId="1422" xr:uid="{00000000-0005-0000-0000-0000BC050000}"/>
    <cellStyle name="Comma 11 2 2 3" xfId="1423" xr:uid="{00000000-0005-0000-0000-0000BD050000}"/>
    <cellStyle name="Comma 11 2 3" xfId="1424" xr:uid="{00000000-0005-0000-0000-0000BE050000}"/>
    <cellStyle name="Comma 11 2 4" xfId="1425" xr:uid="{00000000-0005-0000-0000-0000BF050000}"/>
    <cellStyle name="Comma 11 3" xfId="1426" xr:uid="{00000000-0005-0000-0000-0000C0050000}"/>
    <cellStyle name="Comma 11 3 2" xfId="1427" xr:uid="{00000000-0005-0000-0000-0000C1050000}"/>
    <cellStyle name="Comma 11 3 2 2" xfId="1428" xr:uid="{00000000-0005-0000-0000-0000C2050000}"/>
    <cellStyle name="Comma 11 3 3" xfId="1429" xr:uid="{00000000-0005-0000-0000-0000C3050000}"/>
    <cellStyle name="Comma 11 3 4" xfId="1430" xr:uid="{00000000-0005-0000-0000-0000C4050000}"/>
    <cellStyle name="Comma 11 4" xfId="1431" xr:uid="{00000000-0005-0000-0000-0000C5050000}"/>
    <cellStyle name="Comma 11 4 2" xfId="1432" xr:uid="{00000000-0005-0000-0000-0000C6050000}"/>
    <cellStyle name="Comma 11 4 2 2" xfId="1433" xr:uid="{00000000-0005-0000-0000-0000C7050000}"/>
    <cellStyle name="Comma 11 4 3" xfId="1434" xr:uid="{00000000-0005-0000-0000-0000C8050000}"/>
    <cellStyle name="Comma 11 4 4" xfId="1435" xr:uid="{00000000-0005-0000-0000-0000C9050000}"/>
    <cellStyle name="Comma 11 5" xfId="1436" xr:uid="{00000000-0005-0000-0000-0000CA050000}"/>
    <cellStyle name="Comma 11 6" xfId="1437" xr:uid="{00000000-0005-0000-0000-0000CB050000}"/>
    <cellStyle name="Comma 11 7" xfId="1438" xr:uid="{00000000-0005-0000-0000-0000CC050000}"/>
    <cellStyle name="Comma 12" xfId="1439" xr:uid="{00000000-0005-0000-0000-0000CD050000}"/>
    <cellStyle name="Comma 12 2" xfId="1440" xr:uid="{00000000-0005-0000-0000-0000CE050000}"/>
    <cellStyle name="Comma 12 2 2" xfId="1441" xr:uid="{00000000-0005-0000-0000-0000CF050000}"/>
    <cellStyle name="Comma 12 2 3" xfId="1442" xr:uid="{00000000-0005-0000-0000-0000D0050000}"/>
    <cellStyle name="Comma 12 2 4" xfId="1443" xr:uid="{00000000-0005-0000-0000-0000D1050000}"/>
    <cellStyle name="Comma 12 3" xfId="1444" xr:uid="{00000000-0005-0000-0000-0000D2050000}"/>
    <cellStyle name="Comma 12 3 2" xfId="1445" xr:uid="{00000000-0005-0000-0000-0000D3050000}"/>
    <cellStyle name="Comma 12 3 3" xfId="1446" xr:uid="{00000000-0005-0000-0000-0000D4050000}"/>
    <cellStyle name="Comma 12 4" xfId="1447" xr:uid="{00000000-0005-0000-0000-0000D5050000}"/>
    <cellStyle name="Comma 12 4 2" xfId="1448" xr:uid="{00000000-0005-0000-0000-0000D6050000}"/>
    <cellStyle name="Comma 12 4 3" xfId="1449" xr:uid="{00000000-0005-0000-0000-0000D7050000}"/>
    <cellStyle name="Comma 12 5" xfId="1450" xr:uid="{00000000-0005-0000-0000-0000D8050000}"/>
    <cellStyle name="Comma 12 6" xfId="1451" xr:uid="{00000000-0005-0000-0000-0000D9050000}"/>
    <cellStyle name="Comma 12 7" xfId="1452" xr:uid="{00000000-0005-0000-0000-0000DA050000}"/>
    <cellStyle name="Comma 13" xfId="1453" xr:uid="{00000000-0005-0000-0000-0000DB050000}"/>
    <cellStyle name="Comma 13 2" xfId="1454" xr:uid="{00000000-0005-0000-0000-0000DC050000}"/>
    <cellStyle name="Comma 13 2 2" xfId="1455" xr:uid="{00000000-0005-0000-0000-0000DD050000}"/>
    <cellStyle name="Comma 13 2 3" xfId="1456" xr:uid="{00000000-0005-0000-0000-0000DE050000}"/>
    <cellStyle name="Comma 13 2 4" xfId="1457" xr:uid="{00000000-0005-0000-0000-0000DF050000}"/>
    <cellStyle name="Comma 13 3" xfId="1458" xr:uid="{00000000-0005-0000-0000-0000E0050000}"/>
    <cellStyle name="Comma 13 3 2" xfId="1459" xr:uid="{00000000-0005-0000-0000-0000E1050000}"/>
    <cellStyle name="Comma 13 3 3" xfId="1460" xr:uid="{00000000-0005-0000-0000-0000E2050000}"/>
    <cellStyle name="Comma 13 4" xfId="1461" xr:uid="{00000000-0005-0000-0000-0000E3050000}"/>
    <cellStyle name="Comma 13 4 2" xfId="1462" xr:uid="{00000000-0005-0000-0000-0000E4050000}"/>
    <cellStyle name="Comma 13 4 3" xfId="1463" xr:uid="{00000000-0005-0000-0000-0000E5050000}"/>
    <cellStyle name="Comma 13 5" xfId="1464" xr:uid="{00000000-0005-0000-0000-0000E6050000}"/>
    <cellStyle name="Comma 13 6" xfId="1465" xr:uid="{00000000-0005-0000-0000-0000E7050000}"/>
    <cellStyle name="Comma 14" xfId="1466" xr:uid="{00000000-0005-0000-0000-0000E8050000}"/>
    <cellStyle name="Comma 14 2" xfId="1467" xr:uid="{00000000-0005-0000-0000-0000E9050000}"/>
    <cellStyle name="Comma 14 2 2" xfId="1468" xr:uid="{00000000-0005-0000-0000-0000EA050000}"/>
    <cellStyle name="Comma 14 3" xfId="1469" xr:uid="{00000000-0005-0000-0000-0000EB050000}"/>
    <cellStyle name="Comma 14 4" xfId="1470" xr:uid="{00000000-0005-0000-0000-0000EC050000}"/>
    <cellStyle name="Comma 147" xfId="1471" xr:uid="{00000000-0005-0000-0000-0000ED050000}"/>
    <cellStyle name="Comma 15" xfId="1472" xr:uid="{00000000-0005-0000-0000-0000EE050000}"/>
    <cellStyle name="Comma 15 2" xfId="1473" xr:uid="{00000000-0005-0000-0000-0000EF050000}"/>
    <cellStyle name="Comma 15 2 2" xfId="1474" xr:uid="{00000000-0005-0000-0000-0000F0050000}"/>
    <cellStyle name="Comma 15 2 2 2" xfId="1475" xr:uid="{00000000-0005-0000-0000-0000F1050000}"/>
    <cellStyle name="Comma 15 2 3" xfId="1476" xr:uid="{00000000-0005-0000-0000-0000F2050000}"/>
    <cellStyle name="Comma 15 2 4" xfId="1477" xr:uid="{00000000-0005-0000-0000-0000F3050000}"/>
    <cellStyle name="Comma 15 3" xfId="1478" xr:uid="{00000000-0005-0000-0000-0000F4050000}"/>
    <cellStyle name="Comma 15 3 2" xfId="1479" xr:uid="{00000000-0005-0000-0000-0000F5050000}"/>
    <cellStyle name="Comma 15 3 3" xfId="1480" xr:uid="{00000000-0005-0000-0000-0000F6050000}"/>
    <cellStyle name="Comma 15 3 4" xfId="1481" xr:uid="{00000000-0005-0000-0000-0000F7050000}"/>
    <cellStyle name="Comma 15 4" xfId="1482" xr:uid="{00000000-0005-0000-0000-0000F8050000}"/>
    <cellStyle name="Comma 15 4 2" xfId="1483" xr:uid="{00000000-0005-0000-0000-0000F9050000}"/>
    <cellStyle name="Comma 15 4 3" xfId="1484" xr:uid="{00000000-0005-0000-0000-0000FA050000}"/>
    <cellStyle name="Comma 15 4 4" xfId="1485" xr:uid="{00000000-0005-0000-0000-0000FB050000}"/>
    <cellStyle name="Comma 15 5" xfId="1486" xr:uid="{00000000-0005-0000-0000-0000FC050000}"/>
    <cellStyle name="Comma 15 6" xfId="1487" xr:uid="{00000000-0005-0000-0000-0000FD050000}"/>
    <cellStyle name="Comma 15 7" xfId="1488" xr:uid="{00000000-0005-0000-0000-0000FE050000}"/>
    <cellStyle name="Comma 16" xfId="1489" xr:uid="{00000000-0005-0000-0000-0000FF050000}"/>
    <cellStyle name="Comma 16 2" xfId="1490" xr:uid="{00000000-0005-0000-0000-000000060000}"/>
    <cellStyle name="Comma 16 2 2" xfId="1491" xr:uid="{00000000-0005-0000-0000-000001060000}"/>
    <cellStyle name="Comma 16 2 2 2" xfId="1492" xr:uid="{00000000-0005-0000-0000-000002060000}"/>
    <cellStyle name="Comma 16 2 3" xfId="1493" xr:uid="{00000000-0005-0000-0000-000003060000}"/>
    <cellStyle name="Comma 16 2 4" xfId="1494" xr:uid="{00000000-0005-0000-0000-000004060000}"/>
    <cellStyle name="Comma 16 3" xfId="1495" xr:uid="{00000000-0005-0000-0000-000005060000}"/>
    <cellStyle name="Comma 16 3 2" xfId="1496" xr:uid="{00000000-0005-0000-0000-000006060000}"/>
    <cellStyle name="Comma 16 3 3" xfId="1497" xr:uid="{00000000-0005-0000-0000-000007060000}"/>
    <cellStyle name="Comma 16 3 4" xfId="1498" xr:uid="{00000000-0005-0000-0000-000008060000}"/>
    <cellStyle name="Comma 16 4" xfId="1499" xr:uid="{00000000-0005-0000-0000-000009060000}"/>
    <cellStyle name="Comma 16 4 2" xfId="1500" xr:uid="{00000000-0005-0000-0000-00000A060000}"/>
    <cellStyle name="Comma 16 4 3" xfId="1501" xr:uid="{00000000-0005-0000-0000-00000B060000}"/>
    <cellStyle name="Comma 16 5" xfId="1502" xr:uid="{00000000-0005-0000-0000-00000C060000}"/>
    <cellStyle name="Comma 16 6" xfId="1503" xr:uid="{00000000-0005-0000-0000-00000D060000}"/>
    <cellStyle name="Comma 17" xfId="1504" xr:uid="{00000000-0005-0000-0000-00000E060000}"/>
    <cellStyle name="Comma 17 2" xfId="1505" xr:uid="{00000000-0005-0000-0000-00000F060000}"/>
    <cellStyle name="Comma 17 2 2" xfId="1506" xr:uid="{00000000-0005-0000-0000-000010060000}"/>
    <cellStyle name="Comma 17 2 3" xfId="1507" xr:uid="{00000000-0005-0000-0000-000011060000}"/>
    <cellStyle name="Comma 17 3" xfId="1508" xr:uid="{00000000-0005-0000-0000-000012060000}"/>
    <cellStyle name="Comma 17 3 2" xfId="1509" xr:uid="{00000000-0005-0000-0000-000013060000}"/>
    <cellStyle name="Comma 17 3 3" xfId="1510" xr:uid="{00000000-0005-0000-0000-000014060000}"/>
    <cellStyle name="Comma 17 4" xfId="1511" xr:uid="{00000000-0005-0000-0000-000015060000}"/>
    <cellStyle name="Comma 17 4 2" xfId="1512" xr:uid="{00000000-0005-0000-0000-000016060000}"/>
    <cellStyle name="Comma 17 4 3" xfId="1513" xr:uid="{00000000-0005-0000-0000-000017060000}"/>
    <cellStyle name="Comma 17 5" xfId="1514" xr:uid="{00000000-0005-0000-0000-000018060000}"/>
    <cellStyle name="Comma 17 5 2" xfId="1515" xr:uid="{00000000-0005-0000-0000-000019060000}"/>
    <cellStyle name="Comma 17 5 3" xfId="1516" xr:uid="{00000000-0005-0000-0000-00001A060000}"/>
    <cellStyle name="Comma 17 6" xfId="1517" xr:uid="{00000000-0005-0000-0000-00001B060000}"/>
    <cellStyle name="Comma 17 7" xfId="1518" xr:uid="{00000000-0005-0000-0000-00001C060000}"/>
    <cellStyle name="Comma 17 8" xfId="1519" xr:uid="{00000000-0005-0000-0000-00001D060000}"/>
    <cellStyle name="Comma 18" xfId="1520" xr:uid="{00000000-0005-0000-0000-00001E060000}"/>
    <cellStyle name="Comma 18 2" xfId="1521" xr:uid="{00000000-0005-0000-0000-00001F060000}"/>
    <cellStyle name="Comma 18 2 2" xfId="1522" xr:uid="{00000000-0005-0000-0000-000020060000}"/>
    <cellStyle name="Comma 18 2 3" xfId="1523" xr:uid="{00000000-0005-0000-0000-000021060000}"/>
    <cellStyle name="Comma 18 3" xfId="1524" xr:uid="{00000000-0005-0000-0000-000022060000}"/>
    <cellStyle name="Comma 18 3 2" xfId="1525" xr:uid="{00000000-0005-0000-0000-000023060000}"/>
    <cellStyle name="Comma 18 3 3" xfId="1526" xr:uid="{00000000-0005-0000-0000-000024060000}"/>
    <cellStyle name="Comma 18 4" xfId="1527" xr:uid="{00000000-0005-0000-0000-000025060000}"/>
    <cellStyle name="Comma 18 4 2" xfId="1528" xr:uid="{00000000-0005-0000-0000-000026060000}"/>
    <cellStyle name="Comma 18 4 3" xfId="1529" xr:uid="{00000000-0005-0000-0000-000027060000}"/>
    <cellStyle name="Comma 18 5" xfId="1530" xr:uid="{00000000-0005-0000-0000-000028060000}"/>
    <cellStyle name="Comma 18 6" xfId="1531" xr:uid="{00000000-0005-0000-0000-000029060000}"/>
    <cellStyle name="Comma 19" xfId="1532" xr:uid="{00000000-0005-0000-0000-00002A060000}"/>
    <cellStyle name="Comma 19 2" xfId="1533" xr:uid="{00000000-0005-0000-0000-00002B060000}"/>
    <cellStyle name="Comma 19 3" xfId="1534" xr:uid="{00000000-0005-0000-0000-00002C060000}"/>
    <cellStyle name="Comma 2" xfId="1535" xr:uid="{00000000-0005-0000-0000-00002D060000}"/>
    <cellStyle name="Comma 2 10" xfId="1536" xr:uid="{00000000-0005-0000-0000-00002E060000}"/>
    <cellStyle name="Comma 2 2" xfId="1537" xr:uid="{00000000-0005-0000-0000-00002F060000}"/>
    <cellStyle name="Comma 2 2 2" xfId="1538" xr:uid="{00000000-0005-0000-0000-000030060000}"/>
    <cellStyle name="Comma 2 2 2 2" xfId="1539" xr:uid="{00000000-0005-0000-0000-000031060000}"/>
    <cellStyle name="Comma 2 2 2 2 2" xfId="1540" xr:uid="{00000000-0005-0000-0000-000032060000}"/>
    <cellStyle name="Comma 2 2 2 3" xfId="1541" xr:uid="{00000000-0005-0000-0000-000033060000}"/>
    <cellStyle name="Comma 2 2 3" xfId="1542" xr:uid="{00000000-0005-0000-0000-000034060000}"/>
    <cellStyle name="Comma 2 2 4" xfId="1543" xr:uid="{00000000-0005-0000-0000-000035060000}"/>
    <cellStyle name="Comma 2 3" xfId="1544" xr:uid="{00000000-0005-0000-0000-000036060000}"/>
    <cellStyle name="Comma 2 3 2" xfId="1545" xr:uid="{00000000-0005-0000-0000-000037060000}"/>
    <cellStyle name="Comma 2 3 2 2" xfId="1546" xr:uid="{00000000-0005-0000-0000-000038060000}"/>
    <cellStyle name="Comma 2 3 2 3" xfId="1547" xr:uid="{00000000-0005-0000-0000-000039060000}"/>
    <cellStyle name="Comma 2 3 3" xfId="1548" xr:uid="{00000000-0005-0000-0000-00003A060000}"/>
    <cellStyle name="Comma 2 3 4" xfId="1549" xr:uid="{00000000-0005-0000-0000-00003B060000}"/>
    <cellStyle name="Comma 2 3 5" xfId="1550" xr:uid="{00000000-0005-0000-0000-00003C060000}"/>
    <cellStyle name="Comma 2 4" xfId="1551" xr:uid="{00000000-0005-0000-0000-00003D060000}"/>
    <cellStyle name="Comma 2 4 2" xfId="1552" xr:uid="{00000000-0005-0000-0000-00003E060000}"/>
    <cellStyle name="Comma 2 4 2 2" xfId="1553" xr:uid="{00000000-0005-0000-0000-00003F060000}"/>
    <cellStyle name="Comma 2 4 2 3" xfId="1554" xr:uid="{00000000-0005-0000-0000-000040060000}"/>
    <cellStyle name="Comma 2 4 3" xfId="1555" xr:uid="{00000000-0005-0000-0000-000041060000}"/>
    <cellStyle name="Comma 2 4 4" xfId="1556" xr:uid="{00000000-0005-0000-0000-000042060000}"/>
    <cellStyle name="Comma 2 4 5" xfId="1557" xr:uid="{00000000-0005-0000-0000-000043060000}"/>
    <cellStyle name="Comma 2 5" xfId="1558" xr:uid="{00000000-0005-0000-0000-000044060000}"/>
    <cellStyle name="Comma 2 5 2" xfId="1559" xr:uid="{00000000-0005-0000-0000-000045060000}"/>
    <cellStyle name="Comma 2 5 2 2" xfId="1560" xr:uid="{00000000-0005-0000-0000-000046060000}"/>
    <cellStyle name="Comma 2 5 2 2 2" xfId="1561" xr:uid="{00000000-0005-0000-0000-000047060000}"/>
    <cellStyle name="Comma 2 5 2 2 2 2" xfId="1562" xr:uid="{00000000-0005-0000-0000-000048060000}"/>
    <cellStyle name="Comma 2 5 2 2 3" xfId="1563" xr:uid="{00000000-0005-0000-0000-000049060000}"/>
    <cellStyle name="Comma 2 5 2 2 3 2" xfId="1564" xr:uid="{00000000-0005-0000-0000-00004A060000}"/>
    <cellStyle name="Comma 2 5 2 2 4" xfId="1565" xr:uid="{00000000-0005-0000-0000-00004B060000}"/>
    <cellStyle name="Comma 2 5 2 3" xfId="1566" xr:uid="{00000000-0005-0000-0000-00004C060000}"/>
    <cellStyle name="Comma 2 5 2 3 2" xfId="1567" xr:uid="{00000000-0005-0000-0000-00004D060000}"/>
    <cellStyle name="Comma 2 5 2 4" xfId="1568" xr:uid="{00000000-0005-0000-0000-00004E060000}"/>
    <cellStyle name="Comma 2 5 2 4 2" xfId="1569" xr:uid="{00000000-0005-0000-0000-00004F060000}"/>
    <cellStyle name="Comma 2 5 2 5" xfId="1570" xr:uid="{00000000-0005-0000-0000-000050060000}"/>
    <cellStyle name="Comma 2 5 2 6" xfId="1571" xr:uid="{00000000-0005-0000-0000-000051060000}"/>
    <cellStyle name="Comma 2 5 3" xfId="1572" xr:uid="{00000000-0005-0000-0000-000052060000}"/>
    <cellStyle name="Comma 2 5 3 2" xfId="1573" xr:uid="{00000000-0005-0000-0000-000053060000}"/>
    <cellStyle name="Comma 2 5 3 2 2" xfId="1574" xr:uid="{00000000-0005-0000-0000-000054060000}"/>
    <cellStyle name="Comma 2 5 3 3" xfId="1575" xr:uid="{00000000-0005-0000-0000-000055060000}"/>
    <cellStyle name="Comma 2 5 3 3 2" xfId="1576" xr:uid="{00000000-0005-0000-0000-000056060000}"/>
    <cellStyle name="Comma 2 5 3 4" xfId="1577" xr:uid="{00000000-0005-0000-0000-000057060000}"/>
    <cellStyle name="Comma 2 5 4" xfId="1578" xr:uid="{00000000-0005-0000-0000-000058060000}"/>
    <cellStyle name="Comma 2 5 4 2" xfId="1579" xr:uid="{00000000-0005-0000-0000-000059060000}"/>
    <cellStyle name="Comma 2 5 5" xfId="1580" xr:uid="{00000000-0005-0000-0000-00005A060000}"/>
    <cellStyle name="Comma 2 5 5 2" xfId="1581" xr:uid="{00000000-0005-0000-0000-00005B060000}"/>
    <cellStyle name="Comma 2 5 6" xfId="1582" xr:uid="{00000000-0005-0000-0000-00005C060000}"/>
    <cellStyle name="Comma 2 5 7" xfId="1583" xr:uid="{00000000-0005-0000-0000-00005D060000}"/>
    <cellStyle name="Comma 2 6" xfId="1584" xr:uid="{00000000-0005-0000-0000-00005E060000}"/>
    <cellStyle name="Comma 2 7" xfId="1585" xr:uid="{00000000-0005-0000-0000-00005F060000}"/>
    <cellStyle name="Comma 2 8" xfId="1586" xr:uid="{00000000-0005-0000-0000-000060060000}"/>
    <cellStyle name="Comma 2 9" xfId="1587" xr:uid="{00000000-0005-0000-0000-000061060000}"/>
    <cellStyle name="Comma 2_AC 08-09" xfId="1588" xr:uid="{00000000-0005-0000-0000-000062060000}"/>
    <cellStyle name="Comma 20" xfId="1589" xr:uid="{00000000-0005-0000-0000-000063060000}"/>
    <cellStyle name="Comma 20 2" xfId="1590" xr:uid="{00000000-0005-0000-0000-000064060000}"/>
    <cellStyle name="Comma 20 3" xfId="1591" xr:uid="{00000000-0005-0000-0000-000065060000}"/>
    <cellStyle name="Comma 21" xfId="1592" xr:uid="{00000000-0005-0000-0000-000066060000}"/>
    <cellStyle name="Comma 21 2" xfId="1593" xr:uid="{00000000-0005-0000-0000-000067060000}"/>
    <cellStyle name="Comma 21 3" xfId="1594" xr:uid="{00000000-0005-0000-0000-000068060000}"/>
    <cellStyle name="Comma 22" xfId="1595" xr:uid="{00000000-0005-0000-0000-000069060000}"/>
    <cellStyle name="Comma 22 2" xfId="1596" xr:uid="{00000000-0005-0000-0000-00006A060000}"/>
    <cellStyle name="Comma 22 3" xfId="1597" xr:uid="{00000000-0005-0000-0000-00006B060000}"/>
    <cellStyle name="Comma 23" xfId="1598" xr:uid="{00000000-0005-0000-0000-00006C060000}"/>
    <cellStyle name="Comma 23 2" xfId="1599" xr:uid="{00000000-0005-0000-0000-00006D060000}"/>
    <cellStyle name="Comma 23 3" xfId="1600" xr:uid="{00000000-0005-0000-0000-00006E060000}"/>
    <cellStyle name="Comma 24" xfId="1601" xr:uid="{00000000-0005-0000-0000-00006F060000}"/>
    <cellStyle name="Comma 25" xfId="1602" xr:uid="{00000000-0005-0000-0000-000070060000}"/>
    <cellStyle name="Comma 26" xfId="1603" xr:uid="{00000000-0005-0000-0000-000071060000}"/>
    <cellStyle name="Comma 26 2" xfId="1604" xr:uid="{00000000-0005-0000-0000-000072060000}"/>
    <cellStyle name="Comma 26 3" xfId="1605" xr:uid="{00000000-0005-0000-0000-000073060000}"/>
    <cellStyle name="Comma 27" xfId="1606" xr:uid="{00000000-0005-0000-0000-000074060000}"/>
    <cellStyle name="Comma 27 2" xfId="1607" xr:uid="{00000000-0005-0000-0000-000075060000}"/>
    <cellStyle name="Comma 27 3" xfId="1608" xr:uid="{00000000-0005-0000-0000-000076060000}"/>
    <cellStyle name="Comma 28" xfId="1609" xr:uid="{00000000-0005-0000-0000-000077060000}"/>
    <cellStyle name="Comma 28 2" xfId="1610" xr:uid="{00000000-0005-0000-0000-000078060000}"/>
    <cellStyle name="Comma 28 3" xfId="1611" xr:uid="{00000000-0005-0000-0000-000079060000}"/>
    <cellStyle name="Comma 29" xfId="1612" xr:uid="{00000000-0005-0000-0000-00007A060000}"/>
    <cellStyle name="Comma 29 2" xfId="1613" xr:uid="{00000000-0005-0000-0000-00007B060000}"/>
    <cellStyle name="Comma 29 3" xfId="1614" xr:uid="{00000000-0005-0000-0000-00007C060000}"/>
    <cellStyle name="Comma 3" xfId="1615" xr:uid="{00000000-0005-0000-0000-00007D060000}"/>
    <cellStyle name="Comma 3 2" xfId="1616" xr:uid="{00000000-0005-0000-0000-00007E060000}"/>
    <cellStyle name="Comma 3 2 2" xfId="1617" xr:uid="{00000000-0005-0000-0000-00007F060000}"/>
    <cellStyle name="Comma 3 2 2 2" xfId="1618" xr:uid="{00000000-0005-0000-0000-000080060000}"/>
    <cellStyle name="Comma 3 2 3" xfId="1619" xr:uid="{00000000-0005-0000-0000-000081060000}"/>
    <cellStyle name="Comma 3 2 3 2" xfId="1620" xr:uid="{00000000-0005-0000-0000-000082060000}"/>
    <cellStyle name="Comma 3 3" xfId="1621" xr:uid="{00000000-0005-0000-0000-000083060000}"/>
    <cellStyle name="Comma 3 3 2" xfId="1622" xr:uid="{00000000-0005-0000-0000-000084060000}"/>
    <cellStyle name="Comma 3 3 2 2" xfId="1623" xr:uid="{00000000-0005-0000-0000-000085060000}"/>
    <cellStyle name="Comma 3 3 3" xfId="1624" xr:uid="{00000000-0005-0000-0000-000086060000}"/>
    <cellStyle name="Comma 3 3 4" xfId="1625" xr:uid="{00000000-0005-0000-0000-000087060000}"/>
    <cellStyle name="Comma 3 4" xfId="1626" xr:uid="{00000000-0005-0000-0000-000088060000}"/>
    <cellStyle name="Comma 3 4 2" xfId="1627" xr:uid="{00000000-0005-0000-0000-000089060000}"/>
    <cellStyle name="Comma 3 4 3" xfId="1628" xr:uid="{00000000-0005-0000-0000-00008A060000}"/>
    <cellStyle name="Comma 3 5" xfId="1629" xr:uid="{00000000-0005-0000-0000-00008B060000}"/>
    <cellStyle name="Comma 3 6" xfId="1630" xr:uid="{00000000-0005-0000-0000-00008C060000}"/>
    <cellStyle name="Comma 3 7" xfId="1631" xr:uid="{00000000-0005-0000-0000-00008D060000}"/>
    <cellStyle name="Comma 3 8" xfId="1632" xr:uid="{00000000-0005-0000-0000-00008E060000}"/>
    <cellStyle name="Comma 3 9" xfId="1633" xr:uid="{00000000-0005-0000-0000-00008F060000}"/>
    <cellStyle name="Comma 3_~2762877" xfId="1634" xr:uid="{00000000-0005-0000-0000-000090060000}"/>
    <cellStyle name="Comma 30" xfId="1635" xr:uid="{00000000-0005-0000-0000-000091060000}"/>
    <cellStyle name="Comma 30 2" xfId="1636" xr:uid="{00000000-0005-0000-0000-000092060000}"/>
    <cellStyle name="Comma 30 3" xfId="1637" xr:uid="{00000000-0005-0000-0000-000093060000}"/>
    <cellStyle name="Comma 31" xfId="1638" xr:uid="{00000000-0005-0000-0000-000094060000}"/>
    <cellStyle name="Comma 31 2" xfId="1639" xr:uid="{00000000-0005-0000-0000-000095060000}"/>
    <cellStyle name="Comma 31 3" xfId="1640" xr:uid="{00000000-0005-0000-0000-000096060000}"/>
    <cellStyle name="Comma 32" xfId="1641" xr:uid="{00000000-0005-0000-0000-000097060000}"/>
    <cellStyle name="Comma 32 2" xfId="1642" xr:uid="{00000000-0005-0000-0000-000098060000}"/>
    <cellStyle name="Comma 32 3" xfId="1643" xr:uid="{00000000-0005-0000-0000-000099060000}"/>
    <cellStyle name="Comma 33" xfId="1644" xr:uid="{00000000-0005-0000-0000-00009A060000}"/>
    <cellStyle name="Comma 34" xfId="1645" xr:uid="{00000000-0005-0000-0000-00009B060000}"/>
    <cellStyle name="Comma 34 2" xfId="1646" xr:uid="{00000000-0005-0000-0000-00009C060000}"/>
    <cellStyle name="Comma 34 3" xfId="1647" xr:uid="{00000000-0005-0000-0000-00009D060000}"/>
    <cellStyle name="Comma 35" xfId="1648" xr:uid="{00000000-0005-0000-0000-00009E060000}"/>
    <cellStyle name="Comma 36" xfId="1649" xr:uid="{00000000-0005-0000-0000-00009F060000}"/>
    <cellStyle name="Comma 37" xfId="1650" xr:uid="{00000000-0005-0000-0000-0000A0060000}"/>
    <cellStyle name="Comma 38" xfId="1651" xr:uid="{00000000-0005-0000-0000-0000A1060000}"/>
    <cellStyle name="Comma 4" xfId="1652" xr:uid="{00000000-0005-0000-0000-0000A2060000}"/>
    <cellStyle name="Comma 4 10" xfId="1653" xr:uid="{00000000-0005-0000-0000-0000A3060000}"/>
    <cellStyle name="Comma 4 11" xfId="1654" xr:uid="{00000000-0005-0000-0000-0000A4060000}"/>
    <cellStyle name="Comma 4 2" xfId="1655" xr:uid="{00000000-0005-0000-0000-0000A5060000}"/>
    <cellStyle name="Comma 4 2 2" xfId="1656" xr:uid="{00000000-0005-0000-0000-0000A6060000}"/>
    <cellStyle name="Comma 4 2 2 2" xfId="1657" xr:uid="{00000000-0005-0000-0000-0000A7060000}"/>
    <cellStyle name="Comma 4 2 3" xfId="1658" xr:uid="{00000000-0005-0000-0000-0000A8060000}"/>
    <cellStyle name="Comma 4 2 3 2" xfId="1659" xr:uid="{00000000-0005-0000-0000-0000A9060000}"/>
    <cellStyle name="Comma 4 2 3 2 2" xfId="1660" xr:uid="{00000000-0005-0000-0000-0000AA060000}"/>
    <cellStyle name="Comma 4 2 4" xfId="1661" xr:uid="{00000000-0005-0000-0000-0000AB060000}"/>
    <cellStyle name="Comma 4 2 5" xfId="1662" xr:uid="{00000000-0005-0000-0000-0000AC060000}"/>
    <cellStyle name="Comma 4 3" xfId="1663" xr:uid="{00000000-0005-0000-0000-0000AD060000}"/>
    <cellStyle name="Comma 4 3 2" xfId="1664" xr:uid="{00000000-0005-0000-0000-0000AE060000}"/>
    <cellStyle name="Comma 4 3 2 2" xfId="1665" xr:uid="{00000000-0005-0000-0000-0000AF060000}"/>
    <cellStyle name="Comma 4 3 3" xfId="1666" xr:uid="{00000000-0005-0000-0000-0000B0060000}"/>
    <cellStyle name="Comma 4 4" xfId="1667" xr:uid="{00000000-0005-0000-0000-0000B1060000}"/>
    <cellStyle name="Comma 4 4 2" xfId="1668" xr:uid="{00000000-0005-0000-0000-0000B2060000}"/>
    <cellStyle name="Comma 4 4 3" xfId="1669" xr:uid="{00000000-0005-0000-0000-0000B3060000}"/>
    <cellStyle name="Comma 4 4 4" xfId="1670" xr:uid="{00000000-0005-0000-0000-0000B4060000}"/>
    <cellStyle name="Comma 4 5" xfId="1671" xr:uid="{00000000-0005-0000-0000-0000B5060000}"/>
    <cellStyle name="Comma 4 5 2" xfId="1672" xr:uid="{00000000-0005-0000-0000-0000B6060000}"/>
    <cellStyle name="Comma 4 6" xfId="1673" xr:uid="{00000000-0005-0000-0000-0000B7060000}"/>
    <cellStyle name="Comma 4 7" xfId="1674" xr:uid="{00000000-0005-0000-0000-0000B8060000}"/>
    <cellStyle name="Comma 4 8" xfId="1675" xr:uid="{00000000-0005-0000-0000-0000B9060000}"/>
    <cellStyle name="Comma 4 9" xfId="1676" xr:uid="{00000000-0005-0000-0000-0000BA060000}"/>
    <cellStyle name="Comma 4_CREDITORS 2009" xfId="1677" xr:uid="{00000000-0005-0000-0000-0000BB060000}"/>
    <cellStyle name="Comma 5" xfId="1678" xr:uid="{00000000-0005-0000-0000-0000BC060000}"/>
    <cellStyle name="Comma 5 10" xfId="1679" xr:uid="{00000000-0005-0000-0000-0000BD060000}"/>
    <cellStyle name="Comma 5 11" xfId="1680" xr:uid="{00000000-0005-0000-0000-0000BE060000}"/>
    <cellStyle name="Comma 5 12" xfId="1681" xr:uid="{00000000-0005-0000-0000-0000BF060000}"/>
    <cellStyle name="Comma 5 13" xfId="1682" xr:uid="{00000000-0005-0000-0000-0000C0060000}"/>
    <cellStyle name="Comma 5 2" xfId="1683" xr:uid="{00000000-0005-0000-0000-0000C1060000}"/>
    <cellStyle name="Comma 5 2 2" xfId="1684" xr:uid="{00000000-0005-0000-0000-0000C2060000}"/>
    <cellStyle name="Comma 5 2 2 2" xfId="1685" xr:uid="{00000000-0005-0000-0000-0000C3060000}"/>
    <cellStyle name="Comma 5 2 3" xfId="1686" xr:uid="{00000000-0005-0000-0000-0000C4060000}"/>
    <cellStyle name="Comma 5 2 3 2" xfId="1687" xr:uid="{00000000-0005-0000-0000-0000C5060000}"/>
    <cellStyle name="Comma 5 2 3 2 2" xfId="1688" xr:uid="{00000000-0005-0000-0000-0000C6060000}"/>
    <cellStyle name="Comma 5 2 4" xfId="1689" xr:uid="{00000000-0005-0000-0000-0000C7060000}"/>
    <cellStyle name="Comma 5 2 5" xfId="1690" xr:uid="{00000000-0005-0000-0000-0000C8060000}"/>
    <cellStyle name="Comma 5 2 6" xfId="1691" xr:uid="{00000000-0005-0000-0000-0000C9060000}"/>
    <cellStyle name="Comma 5 3" xfId="1692" xr:uid="{00000000-0005-0000-0000-0000CA060000}"/>
    <cellStyle name="Comma 5 3 2" xfId="1693" xr:uid="{00000000-0005-0000-0000-0000CB060000}"/>
    <cellStyle name="Comma 5 3 2 2" xfId="1694" xr:uid="{00000000-0005-0000-0000-0000CC060000}"/>
    <cellStyle name="Comma 5 3 2 2 2" xfId="1695" xr:uid="{00000000-0005-0000-0000-0000CD060000}"/>
    <cellStyle name="Comma 5 3 3" xfId="1696" xr:uid="{00000000-0005-0000-0000-0000CE060000}"/>
    <cellStyle name="Comma 5 4" xfId="1697" xr:uid="{00000000-0005-0000-0000-0000CF060000}"/>
    <cellStyle name="Comma 5 4 2" xfId="1698" xr:uid="{00000000-0005-0000-0000-0000D0060000}"/>
    <cellStyle name="Comma 5 4 3" xfId="1699" xr:uid="{00000000-0005-0000-0000-0000D1060000}"/>
    <cellStyle name="Comma 5 4 4" xfId="1700" xr:uid="{00000000-0005-0000-0000-0000D2060000}"/>
    <cellStyle name="Comma 5 5" xfId="1701" xr:uid="{00000000-0005-0000-0000-0000D3060000}"/>
    <cellStyle name="Comma 5 5 2" xfId="1702" xr:uid="{00000000-0005-0000-0000-0000D4060000}"/>
    <cellStyle name="Comma 5 6" xfId="1703" xr:uid="{00000000-0005-0000-0000-0000D5060000}"/>
    <cellStyle name="Comma 5 7" xfId="1704" xr:uid="{00000000-0005-0000-0000-0000D6060000}"/>
    <cellStyle name="Comma 5 8" xfId="1705" xr:uid="{00000000-0005-0000-0000-0000D7060000}"/>
    <cellStyle name="Comma 5 9" xfId="1706" xr:uid="{00000000-0005-0000-0000-0000D8060000}"/>
    <cellStyle name="Comma 5_CREDITORS 2009" xfId="1707" xr:uid="{00000000-0005-0000-0000-0000D9060000}"/>
    <cellStyle name="Comma 6" xfId="1708" xr:uid="{00000000-0005-0000-0000-0000DA060000}"/>
    <cellStyle name="Comma 6 10" xfId="1709" xr:uid="{00000000-0005-0000-0000-0000DB060000}"/>
    <cellStyle name="Comma 6 11" xfId="1710" xr:uid="{00000000-0005-0000-0000-0000DC060000}"/>
    <cellStyle name="Comma 6 12" xfId="1711" xr:uid="{00000000-0005-0000-0000-0000DD060000}"/>
    <cellStyle name="Comma 6 2" xfId="1712" xr:uid="{00000000-0005-0000-0000-0000DE060000}"/>
    <cellStyle name="Comma 6 2 2" xfId="1713" xr:uid="{00000000-0005-0000-0000-0000DF060000}"/>
    <cellStyle name="Comma 6 2 2 2" xfId="1714" xr:uid="{00000000-0005-0000-0000-0000E0060000}"/>
    <cellStyle name="Comma 6 2 2 3" xfId="1715" xr:uid="{00000000-0005-0000-0000-0000E1060000}"/>
    <cellStyle name="Comma 6 2 2 4" xfId="1716" xr:uid="{00000000-0005-0000-0000-0000E2060000}"/>
    <cellStyle name="Comma 6 2 3" xfId="1717" xr:uid="{00000000-0005-0000-0000-0000E3060000}"/>
    <cellStyle name="Comma 6 2 3 2" xfId="1718" xr:uid="{00000000-0005-0000-0000-0000E4060000}"/>
    <cellStyle name="Comma 6 2 3 3" xfId="1719" xr:uid="{00000000-0005-0000-0000-0000E5060000}"/>
    <cellStyle name="Comma 6 2 4" xfId="1720" xr:uid="{00000000-0005-0000-0000-0000E6060000}"/>
    <cellStyle name="Comma 6 2 4 2" xfId="1721" xr:uid="{00000000-0005-0000-0000-0000E7060000}"/>
    <cellStyle name="Comma 6 2 4 3" xfId="1722" xr:uid="{00000000-0005-0000-0000-0000E8060000}"/>
    <cellStyle name="Comma 6 2 5" xfId="1723" xr:uid="{00000000-0005-0000-0000-0000E9060000}"/>
    <cellStyle name="Comma 6 2 6" xfId="1724" xr:uid="{00000000-0005-0000-0000-0000EA060000}"/>
    <cellStyle name="Comma 6 2 7" xfId="1725" xr:uid="{00000000-0005-0000-0000-0000EB060000}"/>
    <cellStyle name="Comma 6 3" xfId="1726" xr:uid="{00000000-0005-0000-0000-0000EC060000}"/>
    <cellStyle name="Comma 6 3 2" xfId="1727" xr:uid="{00000000-0005-0000-0000-0000ED060000}"/>
    <cellStyle name="Comma 6 3 3" xfId="1728" xr:uid="{00000000-0005-0000-0000-0000EE060000}"/>
    <cellStyle name="Comma 6 4" xfId="1729" xr:uid="{00000000-0005-0000-0000-0000EF060000}"/>
    <cellStyle name="Comma 6 4 2" xfId="1730" xr:uid="{00000000-0005-0000-0000-0000F0060000}"/>
    <cellStyle name="Comma 6 4 2 2" xfId="1731" xr:uid="{00000000-0005-0000-0000-0000F1060000}"/>
    <cellStyle name="Comma 6 4 3" xfId="1732" xr:uid="{00000000-0005-0000-0000-0000F2060000}"/>
    <cellStyle name="Comma 6 5" xfId="1733" xr:uid="{00000000-0005-0000-0000-0000F3060000}"/>
    <cellStyle name="Comma 6 5 2" xfId="1734" xr:uid="{00000000-0005-0000-0000-0000F4060000}"/>
    <cellStyle name="Comma 6 5 3" xfId="1735" xr:uid="{00000000-0005-0000-0000-0000F5060000}"/>
    <cellStyle name="Comma 6 6" xfId="1736" xr:uid="{00000000-0005-0000-0000-0000F6060000}"/>
    <cellStyle name="Comma 6 7" xfId="1737" xr:uid="{00000000-0005-0000-0000-0000F7060000}"/>
    <cellStyle name="Comma 6 8" xfId="1738" xr:uid="{00000000-0005-0000-0000-0000F8060000}"/>
    <cellStyle name="Comma 6 9" xfId="1739" xr:uid="{00000000-0005-0000-0000-0000F9060000}"/>
    <cellStyle name="Comma 7" xfId="1740" xr:uid="{00000000-0005-0000-0000-0000FA060000}"/>
    <cellStyle name="Comma 7 10" xfId="1741" xr:uid="{00000000-0005-0000-0000-0000FB060000}"/>
    <cellStyle name="Comma 7 11" xfId="1742" xr:uid="{00000000-0005-0000-0000-0000FC060000}"/>
    <cellStyle name="Comma 7 2" xfId="1743" xr:uid="{00000000-0005-0000-0000-0000FD060000}"/>
    <cellStyle name="Comma 7 2 2" xfId="1744" xr:uid="{00000000-0005-0000-0000-0000FE060000}"/>
    <cellStyle name="Comma 7 2 2 2" xfId="1745" xr:uid="{00000000-0005-0000-0000-0000FF060000}"/>
    <cellStyle name="Comma 7 2 3" xfId="1746" xr:uid="{00000000-0005-0000-0000-000000070000}"/>
    <cellStyle name="Comma 7 3" xfId="1747" xr:uid="{00000000-0005-0000-0000-000001070000}"/>
    <cellStyle name="Comma 7 3 2" xfId="1748" xr:uid="{00000000-0005-0000-0000-000002070000}"/>
    <cellStyle name="Comma 7 3 3" xfId="1749" xr:uid="{00000000-0005-0000-0000-000003070000}"/>
    <cellStyle name="Comma 7 4" xfId="1750" xr:uid="{00000000-0005-0000-0000-000004070000}"/>
    <cellStyle name="Comma 7 4 2" xfId="1751" xr:uid="{00000000-0005-0000-0000-000005070000}"/>
    <cellStyle name="Comma 7 4 2 2" xfId="1752" xr:uid="{00000000-0005-0000-0000-000006070000}"/>
    <cellStyle name="Comma 7 4 3" xfId="1753" xr:uid="{00000000-0005-0000-0000-000007070000}"/>
    <cellStyle name="Comma 7 5" xfId="1754" xr:uid="{00000000-0005-0000-0000-000008070000}"/>
    <cellStyle name="Comma 7 6" xfId="1755" xr:uid="{00000000-0005-0000-0000-000009070000}"/>
    <cellStyle name="Comma 7 7" xfId="1756" xr:uid="{00000000-0005-0000-0000-00000A070000}"/>
    <cellStyle name="Comma 7 8" xfId="1757" xr:uid="{00000000-0005-0000-0000-00000B070000}"/>
    <cellStyle name="Comma 7 9" xfId="1758" xr:uid="{00000000-0005-0000-0000-00000C070000}"/>
    <cellStyle name="Comma 8" xfId="1759" xr:uid="{00000000-0005-0000-0000-00000D070000}"/>
    <cellStyle name="Comma 8 2" xfId="1760" xr:uid="{00000000-0005-0000-0000-00000E070000}"/>
    <cellStyle name="Comma 8 2 2" xfId="1761" xr:uid="{00000000-0005-0000-0000-00000F070000}"/>
    <cellStyle name="Comma 8 2 2 2" xfId="1762" xr:uid="{00000000-0005-0000-0000-000010070000}"/>
    <cellStyle name="Comma 8 2 3" xfId="1763" xr:uid="{00000000-0005-0000-0000-000011070000}"/>
    <cellStyle name="Comma 8 2 4" xfId="1764" xr:uid="{00000000-0005-0000-0000-000012070000}"/>
    <cellStyle name="Comma 8 3" xfId="1765" xr:uid="{00000000-0005-0000-0000-000013070000}"/>
    <cellStyle name="Comma 8 3 2" xfId="1766" xr:uid="{00000000-0005-0000-0000-000014070000}"/>
    <cellStyle name="Comma 8 3 2 2" xfId="1767" xr:uid="{00000000-0005-0000-0000-000015070000}"/>
    <cellStyle name="Comma 8 3 2 3" xfId="1768" xr:uid="{00000000-0005-0000-0000-000016070000}"/>
    <cellStyle name="Comma 8 3 3" xfId="1769" xr:uid="{00000000-0005-0000-0000-000017070000}"/>
    <cellStyle name="Comma 8 3 4" xfId="1770" xr:uid="{00000000-0005-0000-0000-000018070000}"/>
    <cellStyle name="Comma 8 4" xfId="1771" xr:uid="{00000000-0005-0000-0000-000019070000}"/>
    <cellStyle name="Comma 8 4 2" xfId="1772" xr:uid="{00000000-0005-0000-0000-00001A070000}"/>
    <cellStyle name="Comma 8 4 3" xfId="1773" xr:uid="{00000000-0005-0000-0000-00001B070000}"/>
    <cellStyle name="Comma 8 4 4" xfId="1774" xr:uid="{00000000-0005-0000-0000-00001C070000}"/>
    <cellStyle name="Comma 8 5" xfId="1775" xr:uid="{00000000-0005-0000-0000-00001D070000}"/>
    <cellStyle name="Comma 8 6" xfId="1776" xr:uid="{00000000-0005-0000-0000-00001E070000}"/>
    <cellStyle name="Comma 9" xfId="1777" xr:uid="{00000000-0005-0000-0000-00001F070000}"/>
    <cellStyle name="Comma 9 10" xfId="1778" xr:uid="{00000000-0005-0000-0000-000020070000}"/>
    <cellStyle name="Comma 9 11" xfId="1779" xr:uid="{00000000-0005-0000-0000-000021070000}"/>
    <cellStyle name="Comma 9 2" xfId="1780" xr:uid="{00000000-0005-0000-0000-000022070000}"/>
    <cellStyle name="Comma 9 2 2" xfId="1781" xr:uid="{00000000-0005-0000-0000-000023070000}"/>
    <cellStyle name="Comma 9 2 3" xfId="1782" xr:uid="{00000000-0005-0000-0000-000024070000}"/>
    <cellStyle name="Comma 9 3" xfId="1783" xr:uid="{00000000-0005-0000-0000-000025070000}"/>
    <cellStyle name="Comma 9 3 2" xfId="1784" xr:uid="{00000000-0005-0000-0000-000026070000}"/>
    <cellStyle name="Comma 9 3 3" xfId="1785" xr:uid="{00000000-0005-0000-0000-000027070000}"/>
    <cellStyle name="Comma 9 4" xfId="1786" xr:uid="{00000000-0005-0000-0000-000028070000}"/>
    <cellStyle name="Comma 9 4 2" xfId="1787" xr:uid="{00000000-0005-0000-0000-000029070000}"/>
    <cellStyle name="Comma 9 4 3" xfId="1788" xr:uid="{00000000-0005-0000-0000-00002A070000}"/>
    <cellStyle name="Comma 9 5" xfId="1789" xr:uid="{00000000-0005-0000-0000-00002B070000}"/>
    <cellStyle name="Comma 9 6" xfId="1790" xr:uid="{00000000-0005-0000-0000-00002C070000}"/>
    <cellStyle name="Comma 9 7" xfId="1791" xr:uid="{00000000-0005-0000-0000-00002D070000}"/>
    <cellStyle name="Comma 9 8" xfId="1792" xr:uid="{00000000-0005-0000-0000-00002E070000}"/>
    <cellStyle name="Comma 9 9" xfId="1793" xr:uid="{00000000-0005-0000-0000-00002F070000}"/>
    <cellStyle name="Comma K0]_Capital Exp._1" xfId="1794" xr:uid="{00000000-0005-0000-0000-000030070000}"/>
    <cellStyle name="comma[0]" xfId="1795" xr:uid="{00000000-0005-0000-0000-000031070000}"/>
    <cellStyle name="Comma_Financial_statements_for_the_year_ended_2007  after R &amp; D" xfId="1796" xr:uid="{00000000-0005-0000-0000-000032070000}"/>
    <cellStyle name="Comma0" xfId="1797" xr:uid="{00000000-0005-0000-0000-000033070000}"/>
    <cellStyle name="Comma0 2" xfId="1798" xr:uid="{00000000-0005-0000-0000-000034070000}"/>
    <cellStyle name="Commad" xfId="1799" xr:uid="{00000000-0005-0000-0000-000035070000}"/>
    <cellStyle name="Commad 2" xfId="1800" xr:uid="{00000000-0005-0000-0000-000036070000}"/>
    <cellStyle name="Commad 2 2" xfId="1801" xr:uid="{00000000-0005-0000-0000-000037070000}"/>
    <cellStyle name="Commad 3" xfId="1802" xr:uid="{00000000-0005-0000-0000-000038070000}"/>
    <cellStyle name="Commad 3 2" xfId="1803" xr:uid="{00000000-0005-0000-0000-000039070000}"/>
    <cellStyle name="CompanyName" xfId="1804" xr:uid="{00000000-0005-0000-0000-00003A070000}"/>
    <cellStyle name="Currency" xfId="2691" builtinId="4"/>
    <cellStyle name="Currency [00]" xfId="1805" xr:uid="{00000000-0005-0000-0000-00003B070000}"/>
    <cellStyle name="Currency [00] 2" xfId="1806" xr:uid="{00000000-0005-0000-0000-00003C070000}"/>
    <cellStyle name="Currency 2" xfId="1807" xr:uid="{00000000-0005-0000-0000-00003D070000}"/>
    <cellStyle name="Currency 2 2" xfId="1808" xr:uid="{00000000-0005-0000-0000-00003E070000}"/>
    <cellStyle name="Currency 2_~2762877" xfId="1809" xr:uid="{00000000-0005-0000-0000-00003F070000}"/>
    <cellStyle name="Currency 3" xfId="1810" xr:uid="{00000000-0005-0000-0000-000040070000}"/>
    <cellStyle name="Currency0" xfId="1811" xr:uid="{00000000-0005-0000-0000-000041070000}"/>
    <cellStyle name="Currency0 2" xfId="1812" xr:uid="{00000000-0005-0000-0000-000042070000}"/>
    <cellStyle name="Custom - Style1" xfId="1813" xr:uid="{00000000-0005-0000-0000-000043070000}"/>
    <cellStyle name="Custom - Style8" xfId="1814" xr:uid="{00000000-0005-0000-0000-000044070000}"/>
    <cellStyle name="Custom - Style8 2" xfId="1815" xr:uid="{00000000-0005-0000-0000-000045070000}"/>
    <cellStyle name="Custom - Style8 2 2" xfId="1816" xr:uid="{00000000-0005-0000-0000-000046070000}"/>
    <cellStyle name="Custom - Style8 2 3" xfId="1817" xr:uid="{00000000-0005-0000-0000-000047070000}"/>
    <cellStyle name="Custom - Style8 3" xfId="1818" xr:uid="{00000000-0005-0000-0000-000048070000}"/>
    <cellStyle name="Custom - Style8 3 2" xfId="1819" xr:uid="{00000000-0005-0000-0000-000049070000}"/>
    <cellStyle name="Custom - Style8 3 3" xfId="1820" xr:uid="{00000000-0005-0000-0000-00004A070000}"/>
    <cellStyle name="Custom - Style8 3 4" xfId="1821" xr:uid="{00000000-0005-0000-0000-00004B070000}"/>
    <cellStyle name="Custom - Style8 3 5" xfId="1822" xr:uid="{00000000-0005-0000-0000-00004C070000}"/>
    <cellStyle name="Custom - Style8 3 6" xfId="1823" xr:uid="{00000000-0005-0000-0000-00004D070000}"/>
    <cellStyle name="Custom - Style8 3 7" xfId="1824" xr:uid="{00000000-0005-0000-0000-00004E070000}"/>
    <cellStyle name="Custom - Style8 4" xfId="1825" xr:uid="{00000000-0005-0000-0000-00004F070000}"/>
    <cellStyle name="Custom - Style8 5" xfId="1826" xr:uid="{00000000-0005-0000-0000-000050070000}"/>
    <cellStyle name="Custom - Style8 6" xfId="1827" xr:uid="{00000000-0005-0000-0000-000051070000}"/>
    <cellStyle name="Custom - Style8 7" xfId="1828" xr:uid="{00000000-0005-0000-0000-000052070000}"/>
    <cellStyle name="Custom - Style8_Accounts 2008 Kinnaird Academy" xfId="1829" xr:uid="{00000000-0005-0000-0000-000053070000}"/>
    <cellStyle name="Dash" xfId="1830" xr:uid="{00000000-0005-0000-0000-000054070000}"/>
    <cellStyle name="Data   - Style2" xfId="1831" xr:uid="{00000000-0005-0000-0000-000055070000}"/>
    <cellStyle name="Date" xfId="1832" xr:uid="{00000000-0005-0000-0000-000056070000}"/>
    <cellStyle name="Date Short" xfId="1833" xr:uid="{00000000-0005-0000-0000-000057070000}"/>
    <cellStyle name="Date Short 2" xfId="1834" xr:uid="{00000000-0005-0000-0000-000058070000}"/>
    <cellStyle name="Date_~2814100" xfId="1835" xr:uid="{00000000-0005-0000-0000-000059070000}"/>
    <cellStyle name="Dezimal [0]_4x4 Fast track Budget" xfId="1836" xr:uid="{00000000-0005-0000-0000-00005A070000}"/>
    <cellStyle name="Dezimal_4x4 Fast track Budget" xfId="1837" xr:uid="{00000000-0005-0000-0000-00005B070000}"/>
    <cellStyle name="Dollar" xfId="1838" xr:uid="{00000000-0005-0000-0000-00005C070000}"/>
    <cellStyle name="Dziesi๊tny [0]_laroux" xfId="1839" xr:uid="{00000000-0005-0000-0000-00005D070000}"/>
    <cellStyle name="Dziesi๊tny_laroux" xfId="1840" xr:uid="{00000000-0005-0000-0000-00005E070000}"/>
    <cellStyle name="Enter Currency (0)" xfId="1841" xr:uid="{00000000-0005-0000-0000-00005F070000}"/>
    <cellStyle name="Enter Currency (0) 2" xfId="1842" xr:uid="{00000000-0005-0000-0000-000060070000}"/>
    <cellStyle name="Enter Currency (0) 3" xfId="1843" xr:uid="{00000000-0005-0000-0000-000061070000}"/>
    <cellStyle name="Enter Currency (0) 4" xfId="1844" xr:uid="{00000000-0005-0000-0000-000062070000}"/>
    <cellStyle name="Enter Currency (0) 5" xfId="1845" xr:uid="{00000000-0005-0000-0000-000063070000}"/>
    <cellStyle name="Enter Currency (0) 6" xfId="1846" xr:uid="{00000000-0005-0000-0000-000064070000}"/>
    <cellStyle name="Enter Currency (0) 7" xfId="1847" xr:uid="{00000000-0005-0000-0000-000065070000}"/>
    <cellStyle name="Enter Currency (2)" xfId="1848" xr:uid="{00000000-0005-0000-0000-000066070000}"/>
    <cellStyle name="Enter Currency (2) 2" xfId="1849" xr:uid="{00000000-0005-0000-0000-000067070000}"/>
    <cellStyle name="Enter Units (0)" xfId="1850" xr:uid="{00000000-0005-0000-0000-000068070000}"/>
    <cellStyle name="Enter Units (0) 2" xfId="1851" xr:uid="{00000000-0005-0000-0000-000069070000}"/>
    <cellStyle name="Enter Units (0) 3" xfId="1852" xr:uid="{00000000-0005-0000-0000-00006A070000}"/>
    <cellStyle name="Enter Units (0) 4" xfId="1853" xr:uid="{00000000-0005-0000-0000-00006B070000}"/>
    <cellStyle name="Enter Units (0) 5" xfId="1854" xr:uid="{00000000-0005-0000-0000-00006C070000}"/>
    <cellStyle name="Enter Units (0) 6" xfId="1855" xr:uid="{00000000-0005-0000-0000-00006D070000}"/>
    <cellStyle name="Enter Units (0) 7" xfId="1856" xr:uid="{00000000-0005-0000-0000-00006E070000}"/>
    <cellStyle name="Enter Units (1)" xfId="1857" xr:uid="{00000000-0005-0000-0000-00006F070000}"/>
    <cellStyle name="Enter Units (1) 2" xfId="1858" xr:uid="{00000000-0005-0000-0000-000070070000}"/>
    <cellStyle name="Enter Units (1) 3" xfId="1859" xr:uid="{00000000-0005-0000-0000-000071070000}"/>
    <cellStyle name="Enter Units (1) 4" xfId="1860" xr:uid="{00000000-0005-0000-0000-000072070000}"/>
    <cellStyle name="Enter Units (1) 5" xfId="1861" xr:uid="{00000000-0005-0000-0000-000073070000}"/>
    <cellStyle name="Enter Units (1) 6" xfId="1862" xr:uid="{00000000-0005-0000-0000-000074070000}"/>
    <cellStyle name="Enter Units (1) 7" xfId="1863" xr:uid="{00000000-0005-0000-0000-000075070000}"/>
    <cellStyle name="Enter Units (2)" xfId="1864" xr:uid="{00000000-0005-0000-0000-000076070000}"/>
    <cellStyle name="Enter Units (2) 2" xfId="1865" xr:uid="{00000000-0005-0000-0000-000077070000}"/>
    <cellStyle name="Euro" xfId="1866" xr:uid="{00000000-0005-0000-0000-000078070000}"/>
    <cellStyle name="Euro 2" xfId="1867" xr:uid="{00000000-0005-0000-0000-000079070000}"/>
    <cellStyle name="Euro 3" xfId="1868" xr:uid="{00000000-0005-0000-0000-00007A070000}"/>
    <cellStyle name="Euro 4" xfId="1869" xr:uid="{00000000-0005-0000-0000-00007B070000}"/>
    <cellStyle name="Euro 5" xfId="1870" xr:uid="{00000000-0005-0000-0000-00007C070000}"/>
    <cellStyle name="Euro 6" xfId="1871" xr:uid="{00000000-0005-0000-0000-00007D070000}"/>
    <cellStyle name="Euro 7" xfId="1872" xr:uid="{00000000-0005-0000-0000-00007E070000}"/>
    <cellStyle name="Explanatory Text 2" xfId="1873" xr:uid="{00000000-0005-0000-0000-00007F070000}"/>
    <cellStyle name="Explanatory Text 3" xfId="1874" xr:uid="{00000000-0005-0000-0000-000080070000}"/>
    <cellStyle name="Explanatory Text 4" xfId="1875" xr:uid="{00000000-0005-0000-0000-000081070000}"/>
    <cellStyle name="Explanatory Text 5" xfId="1876" xr:uid="{00000000-0005-0000-0000-000082070000}"/>
    <cellStyle name="F2" xfId="1877" xr:uid="{00000000-0005-0000-0000-000083070000}"/>
    <cellStyle name="F3" xfId="1878" xr:uid="{00000000-0005-0000-0000-000084070000}"/>
    <cellStyle name="F4" xfId="1879" xr:uid="{00000000-0005-0000-0000-000085070000}"/>
    <cellStyle name="F5" xfId="1880" xr:uid="{00000000-0005-0000-0000-000086070000}"/>
    <cellStyle name="F6" xfId="1881" xr:uid="{00000000-0005-0000-0000-000087070000}"/>
    <cellStyle name="F7" xfId="1882" xr:uid="{00000000-0005-0000-0000-000088070000}"/>
    <cellStyle name="F8" xfId="1883" xr:uid="{00000000-0005-0000-0000-000089070000}"/>
    <cellStyle name="Fixed" xfId="1884" xr:uid="{00000000-0005-0000-0000-00008A070000}"/>
    <cellStyle name="FORM" xfId="1885" xr:uid="{00000000-0005-0000-0000-00008B070000}"/>
    <cellStyle name="fs" xfId="1886" xr:uid="{00000000-0005-0000-0000-00008C070000}"/>
    <cellStyle name="general" xfId="1887" xr:uid="{00000000-0005-0000-0000-00008D070000}"/>
    <cellStyle name="Good 2" xfId="1888" xr:uid="{00000000-0005-0000-0000-00008E070000}"/>
    <cellStyle name="Good 2 2" xfId="1889" xr:uid="{00000000-0005-0000-0000-00008F070000}"/>
    <cellStyle name="Good 2 3" xfId="1890" xr:uid="{00000000-0005-0000-0000-000090070000}"/>
    <cellStyle name="Good 2 3 2" xfId="1891" xr:uid="{00000000-0005-0000-0000-000091070000}"/>
    <cellStyle name="Good 2 3 2 2" xfId="1892" xr:uid="{00000000-0005-0000-0000-000092070000}"/>
    <cellStyle name="Good 2 4" xfId="1893" xr:uid="{00000000-0005-0000-0000-000093070000}"/>
    <cellStyle name="Good 3" xfId="1894" xr:uid="{00000000-0005-0000-0000-000094070000}"/>
    <cellStyle name="Good 4" xfId="1895" xr:uid="{00000000-0005-0000-0000-000095070000}"/>
    <cellStyle name="Good 5" xfId="1896" xr:uid="{00000000-0005-0000-0000-000096070000}"/>
    <cellStyle name="grayb" xfId="1897" xr:uid="{00000000-0005-0000-0000-000097070000}"/>
    <cellStyle name="grayb 2" xfId="1898" xr:uid="{00000000-0005-0000-0000-000098070000}"/>
    <cellStyle name="Grey" xfId="1899" xr:uid="{00000000-0005-0000-0000-000099070000}"/>
    <cellStyle name="Grey 2" xfId="1900" xr:uid="{00000000-0005-0000-0000-00009A070000}"/>
    <cellStyle name="HEADER" xfId="1901" xr:uid="{00000000-0005-0000-0000-00009B070000}"/>
    <cellStyle name="Header1" xfId="1902" xr:uid="{00000000-0005-0000-0000-00009C070000}"/>
    <cellStyle name="Header1 2" xfId="1903" xr:uid="{00000000-0005-0000-0000-00009D070000}"/>
    <cellStyle name="Header2" xfId="1904" xr:uid="{00000000-0005-0000-0000-00009E070000}"/>
    <cellStyle name="Header2 2" xfId="1905" xr:uid="{00000000-0005-0000-0000-00009F070000}"/>
    <cellStyle name="Heading 1 2" xfId="1906" xr:uid="{00000000-0005-0000-0000-0000A0070000}"/>
    <cellStyle name="Heading 1 3" xfId="1907" xr:uid="{00000000-0005-0000-0000-0000A1070000}"/>
    <cellStyle name="Heading 1 4" xfId="1908" xr:uid="{00000000-0005-0000-0000-0000A2070000}"/>
    <cellStyle name="Heading 1 5" xfId="1909" xr:uid="{00000000-0005-0000-0000-0000A3070000}"/>
    <cellStyle name="Heading 2 2" xfId="1910" xr:uid="{00000000-0005-0000-0000-0000A4070000}"/>
    <cellStyle name="Heading 2 3" xfId="1911" xr:uid="{00000000-0005-0000-0000-0000A5070000}"/>
    <cellStyle name="Heading 2 4" xfId="1912" xr:uid="{00000000-0005-0000-0000-0000A6070000}"/>
    <cellStyle name="Heading 2 5" xfId="1913" xr:uid="{00000000-0005-0000-0000-0000A7070000}"/>
    <cellStyle name="Heading 3 2" xfId="1914" xr:uid="{00000000-0005-0000-0000-0000A8070000}"/>
    <cellStyle name="Heading 3 3" xfId="1915" xr:uid="{00000000-0005-0000-0000-0000A9070000}"/>
    <cellStyle name="Heading 3 4" xfId="1916" xr:uid="{00000000-0005-0000-0000-0000AA070000}"/>
    <cellStyle name="Heading 3 5" xfId="1917" xr:uid="{00000000-0005-0000-0000-0000AB070000}"/>
    <cellStyle name="Heading 4 2" xfId="1918" xr:uid="{00000000-0005-0000-0000-0000AC070000}"/>
    <cellStyle name="Heading 4 3" xfId="1919" xr:uid="{00000000-0005-0000-0000-0000AD070000}"/>
    <cellStyle name="Heading 4 4" xfId="1920" xr:uid="{00000000-0005-0000-0000-0000AE070000}"/>
    <cellStyle name="Heading 4 5" xfId="1921" xr:uid="{00000000-0005-0000-0000-0000AF070000}"/>
    <cellStyle name="Heading1" xfId="1922" xr:uid="{00000000-0005-0000-0000-0000B0070000}"/>
    <cellStyle name="Heading2" xfId="1923" xr:uid="{00000000-0005-0000-0000-0000B1070000}"/>
    <cellStyle name="Hyperlink 2" xfId="1924" xr:uid="{00000000-0005-0000-0000-0000B2070000}"/>
    <cellStyle name="Hyperlink 2 2" xfId="1925" xr:uid="{00000000-0005-0000-0000-0000B3070000}"/>
    <cellStyle name="Hyperlink 2 2 2" xfId="1926" xr:uid="{00000000-0005-0000-0000-0000B4070000}"/>
    <cellStyle name="Hyperlink 2 2 2 2" xfId="1927" xr:uid="{00000000-0005-0000-0000-0000B5070000}"/>
    <cellStyle name="Hyperlink 2 3" xfId="1928" xr:uid="{00000000-0005-0000-0000-0000B6070000}"/>
    <cellStyle name="Hyperlink 2 4" xfId="1929" xr:uid="{00000000-0005-0000-0000-0000B7070000}"/>
    <cellStyle name="Hyperlink 3" xfId="1930" xr:uid="{00000000-0005-0000-0000-0000B8070000}"/>
    <cellStyle name="Hyperlink 4" xfId="1931" xr:uid="{00000000-0005-0000-0000-0000B9070000}"/>
    <cellStyle name="Hyperlink seguido" xfId="1932" xr:uid="{00000000-0005-0000-0000-0000BA070000}"/>
    <cellStyle name="Input [yellow]" xfId="1933" xr:uid="{00000000-0005-0000-0000-0000BB070000}"/>
    <cellStyle name="Input [yellow] 2" xfId="1934" xr:uid="{00000000-0005-0000-0000-0000BC070000}"/>
    <cellStyle name="Input 2" xfId="1935" xr:uid="{00000000-0005-0000-0000-0000BD070000}"/>
    <cellStyle name="Input 2 2" xfId="1936" xr:uid="{00000000-0005-0000-0000-0000BE070000}"/>
    <cellStyle name="Input 2 2 2" xfId="1937" xr:uid="{00000000-0005-0000-0000-0000BF070000}"/>
    <cellStyle name="Input 3" xfId="1938" xr:uid="{00000000-0005-0000-0000-0000C0070000}"/>
    <cellStyle name="Input 3 2" xfId="1939" xr:uid="{00000000-0005-0000-0000-0000C1070000}"/>
    <cellStyle name="Input 3 2 2" xfId="1940" xr:uid="{00000000-0005-0000-0000-0000C2070000}"/>
    <cellStyle name="Input 4" xfId="1941" xr:uid="{00000000-0005-0000-0000-0000C3070000}"/>
    <cellStyle name="Input 4 2" xfId="1942" xr:uid="{00000000-0005-0000-0000-0000C4070000}"/>
    <cellStyle name="Input 4 2 2" xfId="1943" xr:uid="{00000000-0005-0000-0000-0000C5070000}"/>
    <cellStyle name="Input 5" xfId="1944" xr:uid="{00000000-0005-0000-0000-0000C6070000}"/>
    <cellStyle name="Input 5 2" xfId="1945" xr:uid="{00000000-0005-0000-0000-0000C7070000}"/>
    <cellStyle name="Input 5 2 2" xfId="1946" xr:uid="{00000000-0005-0000-0000-0000C8070000}"/>
    <cellStyle name="Instructions" xfId="1947" xr:uid="{00000000-0005-0000-0000-0000C9070000}"/>
    <cellStyle name="Integer" xfId="1948" xr:uid="{00000000-0005-0000-0000-0000CA070000}"/>
    <cellStyle name="Intitulé cours" xfId="1949" xr:uid="{00000000-0005-0000-0000-0000CB070000}"/>
    <cellStyle name="Labels - Style3" xfId="1950" xr:uid="{00000000-0005-0000-0000-0000CC070000}"/>
    <cellStyle name="Lien hypertexte" xfId="1951" xr:uid="{00000000-0005-0000-0000-0000CD070000}"/>
    <cellStyle name="Lien hypertexte visité" xfId="1952" xr:uid="{00000000-0005-0000-0000-0000CE070000}"/>
    <cellStyle name="Lien hypertexte_~2814100" xfId="1953" xr:uid="{00000000-0005-0000-0000-0000CF070000}"/>
    <cellStyle name="Link Currency (0)" xfId="1954" xr:uid="{00000000-0005-0000-0000-0000D0070000}"/>
    <cellStyle name="Link Currency (0) 2" xfId="1955" xr:uid="{00000000-0005-0000-0000-0000D1070000}"/>
    <cellStyle name="Link Currency (0) 3" xfId="1956" xr:uid="{00000000-0005-0000-0000-0000D2070000}"/>
    <cellStyle name="Link Currency (0) 4" xfId="1957" xr:uid="{00000000-0005-0000-0000-0000D3070000}"/>
    <cellStyle name="Link Currency (0) 5" xfId="1958" xr:uid="{00000000-0005-0000-0000-0000D4070000}"/>
    <cellStyle name="Link Currency (0) 6" xfId="1959" xr:uid="{00000000-0005-0000-0000-0000D5070000}"/>
    <cellStyle name="Link Currency (0) 7" xfId="1960" xr:uid="{00000000-0005-0000-0000-0000D6070000}"/>
    <cellStyle name="Link Currency (2)" xfId="1961" xr:uid="{00000000-0005-0000-0000-0000D7070000}"/>
    <cellStyle name="Link Currency (2) 2" xfId="1962" xr:uid="{00000000-0005-0000-0000-0000D8070000}"/>
    <cellStyle name="Link Units (0)" xfId="1963" xr:uid="{00000000-0005-0000-0000-0000D9070000}"/>
    <cellStyle name="Link Units (0) 2" xfId="1964" xr:uid="{00000000-0005-0000-0000-0000DA070000}"/>
    <cellStyle name="Link Units (0) 3" xfId="1965" xr:uid="{00000000-0005-0000-0000-0000DB070000}"/>
    <cellStyle name="Link Units (0) 4" xfId="1966" xr:uid="{00000000-0005-0000-0000-0000DC070000}"/>
    <cellStyle name="Link Units (0) 5" xfId="1967" xr:uid="{00000000-0005-0000-0000-0000DD070000}"/>
    <cellStyle name="Link Units (0) 6" xfId="1968" xr:uid="{00000000-0005-0000-0000-0000DE070000}"/>
    <cellStyle name="Link Units (0) 7" xfId="1969" xr:uid="{00000000-0005-0000-0000-0000DF070000}"/>
    <cellStyle name="Link Units (1)" xfId="1970" xr:uid="{00000000-0005-0000-0000-0000E0070000}"/>
    <cellStyle name="Link Units (1) 2" xfId="1971" xr:uid="{00000000-0005-0000-0000-0000E1070000}"/>
    <cellStyle name="Link Units (1) 3" xfId="1972" xr:uid="{00000000-0005-0000-0000-0000E2070000}"/>
    <cellStyle name="Link Units (1) 4" xfId="1973" xr:uid="{00000000-0005-0000-0000-0000E3070000}"/>
    <cellStyle name="Link Units (1) 5" xfId="1974" xr:uid="{00000000-0005-0000-0000-0000E4070000}"/>
    <cellStyle name="Link Units (1) 6" xfId="1975" xr:uid="{00000000-0005-0000-0000-0000E5070000}"/>
    <cellStyle name="Link Units (1) 7" xfId="1976" xr:uid="{00000000-0005-0000-0000-0000E6070000}"/>
    <cellStyle name="Link Units (2)" xfId="1977" xr:uid="{00000000-0005-0000-0000-0000E7070000}"/>
    <cellStyle name="Link Units (2) 2" xfId="1978" xr:uid="{00000000-0005-0000-0000-0000E8070000}"/>
    <cellStyle name="Linked Cell 2" xfId="1979" xr:uid="{00000000-0005-0000-0000-0000E9070000}"/>
    <cellStyle name="Linked Cell 3" xfId="1980" xr:uid="{00000000-0005-0000-0000-0000EA070000}"/>
    <cellStyle name="Linked Cell 4" xfId="1981" xr:uid="{00000000-0005-0000-0000-0000EB070000}"/>
    <cellStyle name="Linked Cell 5" xfId="1982" xr:uid="{00000000-0005-0000-0000-0000EC070000}"/>
    <cellStyle name="Millares [0]_laroux" xfId="1983" xr:uid="{00000000-0005-0000-0000-0000ED070000}"/>
    <cellStyle name="Millares_laroux" xfId="1984" xr:uid="{00000000-0005-0000-0000-0000EE070000}"/>
    <cellStyle name="Milliers [0]_!!!GO" xfId="1985" xr:uid="{00000000-0005-0000-0000-0000EF070000}"/>
    <cellStyle name="Milliers_!!!GO" xfId="1986" xr:uid="{00000000-0005-0000-0000-0000F0070000}"/>
    <cellStyle name="Model" xfId="1987" xr:uid="{00000000-0005-0000-0000-0000F1070000}"/>
    <cellStyle name="Moeda [0]_dimon" xfId="1988" xr:uid="{00000000-0005-0000-0000-0000F2070000}"/>
    <cellStyle name="Moeda_dimon" xfId="1989" xr:uid="{00000000-0005-0000-0000-0000F3070000}"/>
    <cellStyle name="Mon?taire [0]_AR1194" xfId="1990" xr:uid="{00000000-0005-0000-0000-0000F4070000}"/>
    <cellStyle name="Mon?taire_AR1194" xfId="1991" xr:uid="{00000000-0005-0000-0000-0000F5070000}"/>
    <cellStyle name="Moneda [0]_pldt" xfId="1992" xr:uid="{00000000-0005-0000-0000-0000F6070000}"/>
    <cellStyle name="Moneda_pldt" xfId="1993" xr:uid="{00000000-0005-0000-0000-0000F7070000}"/>
    <cellStyle name="Monétaire [0]_!!!GO" xfId="1994" xr:uid="{00000000-0005-0000-0000-0000F8070000}"/>
    <cellStyle name="Monétaire_!!!GO" xfId="1995" xr:uid="{00000000-0005-0000-0000-0000F9070000}"/>
    <cellStyle name="Mon้taire [0]_AR1194" xfId="1996" xr:uid="{00000000-0005-0000-0000-0000FA070000}"/>
    <cellStyle name="Mon้taire_AR1194" xfId="1997" xr:uid="{00000000-0005-0000-0000-0000FB070000}"/>
    <cellStyle name="MOQ" xfId="1998" xr:uid="{00000000-0005-0000-0000-0000FC070000}"/>
    <cellStyle name="Neutral 2" xfId="1999" xr:uid="{00000000-0005-0000-0000-0000FD070000}"/>
    <cellStyle name="Neutral 3" xfId="2000" xr:uid="{00000000-0005-0000-0000-0000FE070000}"/>
    <cellStyle name="Neutral 4" xfId="2001" xr:uid="{00000000-0005-0000-0000-0000FF070000}"/>
    <cellStyle name="Neutral 5" xfId="2002" xr:uid="{00000000-0005-0000-0000-000000080000}"/>
    <cellStyle name="New" xfId="2003" xr:uid="{00000000-0005-0000-0000-000001080000}"/>
    <cellStyle name="New Times Roman" xfId="2004" xr:uid="{00000000-0005-0000-0000-000002080000}"/>
    <cellStyle name="no dec" xfId="2005" xr:uid="{00000000-0005-0000-0000-000003080000}"/>
    <cellStyle name="Nom Responsable" xfId="2006" xr:uid="{00000000-0005-0000-0000-000004080000}"/>
    <cellStyle name="Normal" xfId="0" builtinId="0"/>
    <cellStyle name="Normal - ??1" xfId="2007" xr:uid="{00000000-0005-0000-0000-000005080000}"/>
    <cellStyle name="Normal - ??2" xfId="2008" xr:uid="{00000000-0005-0000-0000-000006080000}"/>
    <cellStyle name="Normal - ??3" xfId="2009" xr:uid="{00000000-0005-0000-0000-000007080000}"/>
    <cellStyle name="Normal - ??4" xfId="2010" xr:uid="{00000000-0005-0000-0000-000008080000}"/>
    <cellStyle name="Normal - ??5" xfId="2011" xr:uid="{00000000-0005-0000-0000-000009080000}"/>
    <cellStyle name="Normal - ??6" xfId="2012" xr:uid="{00000000-0005-0000-0000-00000A080000}"/>
    <cellStyle name="Normal - ??7" xfId="2013" xr:uid="{00000000-0005-0000-0000-00000B080000}"/>
    <cellStyle name="Normal - ??8" xfId="2014" xr:uid="{00000000-0005-0000-0000-00000C080000}"/>
    <cellStyle name="Normal - Style1" xfId="2015" xr:uid="{00000000-0005-0000-0000-00000D080000}"/>
    <cellStyle name="Normal - Style1 2" xfId="2016" xr:uid="{00000000-0005-0000-0000-00000E080000}"/>
    <cellStyle name="Normal - Style1 2 2" xfId="2017" xr:uid="{00000000-0005-0000-0000-00000F080000}"/>
    <cellStyle name="Normal - Style1 3" xfId="2018" xr:uid="{00000000-0005-0000-0000-000010080000}"/>
    <cellStyle name="Normal - Style1 3 2" xfId="2019" xr:uid="{00000000-0005-0000-0000-000011080000}"/>
    <cellStyle name="Normal - Style1 4" xfId="2020" xr:uid="{00000000-0005-0000-0000-000012080000}"/>
    <cellStyle name="Normal - Style1 5" xfId="2021" xr:uid="{00000000-0005-0000-0000-000013080000}"/>
    <cellStyle name="Normal - Style1 6" xfId="2022" xr:uid="{00000000-0005-0000-0000-000014080000}"/>
    <cellStyle name="Normal - Style1_FA Addition Apr-10" xfId="2023" xr:uid="{00000000-0005-0000-0000-000015080000}"/>
    <cellStyle name="Normal 10" xfId="2024" xr:uid="{00000000-0005-0000-0000-000016080000}"/>
    <cellStyle name="Normal 10 2" xfId="2025" xr:uid="{00000000-0005-0000-0000-000017080000}"/>
    <cellStyle name="Normal 10 2 2" xfId="2026" xr:uid="{00000000-0005-0000-0000-000018080000}"/>
    <cellStyle name="Normal 10 3" xfId="2027" xr:uid="{00000000-0005-0000-0000-000019080000}"/>
    <cellStyle name="Normal 11" xfId="2028" xr:uid="{00000000-0005-0000-0000-00001A080000}"/>
    <cellStyle name="Normal 11 2" xfId="2029" xr:uid="{00000000-0005-0000-0000-00001B080000}"/>
    <cellStyle name="Normal 11 2 2" xfId="2030" xr:uid="{00000000-0005-0000-0000-00001C080000}"/>
    <cellStyle name="Normal 11 3" xfId="2031" xr:uid="{00000000-0005-0000-0000-00001D080000}"/>
    <cellStyle name="Normal 114" xfId="2032" xr:uid="{00000000-0005-0000-0000-00001E080000}"/>
    <cellStyle name="Normal 12" xfId="2033" xr:uid="{00000000-0005-0000-0000-00001F080000}"/>
    <cellStyle name="Normal 12 2" xfId="2034" xr:uid="{00000000-0005-0000-0000-000020080000}"/>
    <cellStyle name="Normal 13" xfId="2035" xr:uid="{00000000-0005-0000-0000-000021080000}"/>
    <cellStyle name="Normal 13 2" xfId="2036" xr:uid="{00000000-0005-0000-0000-000022080000}"/>
    <cellStyle name="Normal 14" xfId="2037" xr:uid="{00000000-0005-0000-0000-000023080000}"/>
    <cellStyle name="Normal 14 2" xfId="2038" xr:uid="{00000000-0005-0000-0000-000024080000}"/>
    <cellStyle name="Normal 15" xfId="2039" xr:uid="{00000000-0005-0000-0000-000025080000}"/>
    <cellStyle name="Normal 15 2" xfId="2040" xr:uid="{00000000-0005-0000-0000-000026080000}"/>
    <cellStyle name="Normal 16" xfId="2041" xr:uid="{00000000-0005-0000-0000-000027080000}"/>
    <cellStyle name="Normal 16 2" xfId="2042" xr:uid="{00000000-0005-0000-0000-000028080000}"/>
    <cellStyle name="Normal 16 3" xfId="2043" xr:uid="{00000000-0005-0000-0000-000029080000}"/>
    <cellStyle name="Normal 17" xfId="2044" xr:uid="{00000000-0005-0000-0000-00002A080000}"/>
    <cellStyle name="Normal 17 2" xfId="2045" xr:uid="{00000000-0005-0000-0000-00002B080000}"/>
    <cellStyle name="Normal 17 3" xfId="2046" xr:uid="{00000000-0005-0000-0000-00002C080000}"/>
    <cellStyle name="Normal 18" xfId="2047" xr:uid="{00000000-0005-0000-0000-00002D080000}"/>
    <cellStyle name="Normal 18 2" xfId="2048" xr:uid="{00000000-0005-0000-0000-00002E080000}"/>
    <cellStyle name="Normal 18 3" xfId="2049" xr:uid="{00000000-0005-0000-0000-00002F080000}"/>
    <cellStyle name="Normal 189" xfId="2050" xr:uid="{00000000-0005-0000-0000-000030080000}"/>
    <cellStyle name="Normal 19" xfId="2051" xr:uid="{00000000-0005-0000-0000-000031080000}"/>
    <cellStyle name="Normal 19 2" xfId="2052" xr:uid="{00000000-0005-0000-0000-000032080000}"/>
    <cellStyle name="Normal 19 3" xfId="2053" xr:uid="{00000000-0005-0000-0000-000033080000}"/>
    <cellStyle name="Normal 2" xfId="2054" xr:uid="{00000000-0005-0000-0000-000034080000}"/>
    <cellStyle name="Normal 2 10 2" xfId="2055" xr:uid="{00000000-0005-0000-0000-000035080000}"/>
    <cellStyle name="Normal 2 2" xfId="2056" xr:uid="{00000000-0005-0000-0000-000036080000}"/>
    <cellStyle name="Normal 2 2 2" xfId="2057" xr:uid="{00000000-0005-0000-0000-000037080000}"/>
    <cellStyle name="Normal 2 2 2 2" xfId="2058" xr:uid="{00000000-0005-0000-0000-000038080000}"/>
    <cellStyle name="Normal 2 2 3" xfId="2059" xr:uid="{00000000-0005-0000-0000-000039080000}"/>
    <cellStyle name="Normal 2 2 3 2" xfId="2060" xr:uid="{00000000-0005-0000-0000-00003A080000}"/>
    <cellStyle name="Normal 2 2 3 3" xfId="2061" xr:uid="{00000000-0005-0000-0000-00003B080000}"/>
    <cellStyle name="Normal 2 2 4" xfId="2062" xr:uid="{00000000-0005-0000-0000-00003C080000}"/>
    <cellStyle name="Normal 2 2 4 2" xfId="2063" xr:uid="{00000000-0005-0000-0000-00003D080000}"/>
    <cellStyle name="Normal 2 2 5" xfId="2064" xr:uid="{00000000-0005-0000-0000-00003E080000}"/>
    <cellStyle name="Normal 2 2 5 2" xfId="2065" xr:uid="{00000000-0005-0000-0000-00003F080000}"/>
    <cellStyle name="Normal 2 2 6" xfId="2066" xr:uid="{00000000-0005-0000-0000-000040080000}"/>
    <cellStyle name="Normal 2 2 6 2" xfId="2067" xr:uid="{00000000-0005-0000-0000-000041080000}"/>
    <cellStyle name="Normal 2 2 6 2 2" xfId="2068" xr:uid="{00000000-0005-0000-0000-000042080000}"/>
    <cellStyle name="Normal 2 2 7" xfId="2069" xr:uid="{00000000-0005-0000-0000-000043080000}"/>
    <cellStyle name="Normal 2 3" xfId="2070" xr:uid="{00000000-0005-0000-0000-000044080000}"/>
    <cellStyle name="Normal 2 3 2" xfId="2071" xr:uid="{00000000-0005-0000-0000-000045080000}"/>
    <cellStyle name="Normal 2 3 2 2" xfId="2072" xr:uid="{00000000-0005-0000-0000-000046080000}"/>
    <cellStyle name="Normal 2 3 3" xfId="2073" xr:uid="{00000000-0005-0000-0000-000047080000}"/>
    <cellStyle name="Normal 2 3 4" xfId="2074" xr:uid="{00000000-0005-0000-0000-000048080000}"/>
    <cellStyle name="Normal 2 4" xfId="2075" xr:uid="{00000000-0005-0000-0000-000049080000}"/>
    <cellStyle name="Normal 2 4 2" xfId="2076" xr:uid="{00000000-0005-0000-0000-00004A080000}"/>
    <cellStyle name="Normal 2 5" xfId="2077" xr:uid="{00000000-0005-0000-0000-00004B080000}"/>
    <cellStyle name="Normal 2 5 2" xfId="2078" xr:uid="{00000000-0005-0000-0000-00004C080000}"/>
    <cellStyle name="Normal 2 5 2 2" xfId="2079" xr:uid="{00000000-0005-0000-0000-00004D080000}"/>
    <cellStyle name="Normal 2 5 2 2 2" xfId="2080" xr:uid="{00000000-0005-0000-0000-00004E080000}"/>
    <cellStyle name="Normal 2 5 2 2 2 2" xfId="2081" xr:uid="{00000000-0005-0000-0000-00004F080000}"/>
    <cellStyle name="Normal 2 5 2 2 3" xfId="2082" xr:uid="{00000000-0005-0000-0000-000050080000}"/>
    <cellStyle name="Normal 2 5 2 2 3 2" xfId="2083" xr:uid="{00000000-0005-0000-0000-000051080000}"/>
    <cellStyle name="Normal 2 5 2 2 4" xfId="2084" xr:uid="{00000000-0005-0000-0000-000052080000}"/>
    <cellStyle name="Normal 2 5 2 3" xfId="2085" xr:uid="{00000000-0005-0000-0000-000053080000}"/>
    <cellStyle name="Normal 2 5 2 3 2" xfId="2086" xr:uid="{00000000-0005-0000-0000-000054080000}"/>
    <cellStyle name="Normal 2 5 2 4" xfId="2087" xr:uid="{00000000-0005-0000-0000-000055080000}"/>
    <cellStyle name="Normal 2 5 2 4 2" xfId="2088" xr:uid="{00000000-0005-0000-0000-000056080000}"/>
    <cellStyle name="Normal 2 5 2 5" xfId="2089" xr:uid="{00000000-0005-0000-0000-000057080000}"/>
    <cellStyle name="Normal 2 5 2 6" xfId="2090" xr:uid="{00000000-0005-0000-0000-000058080000}"/>
    <cellStyle name="Normal 2 5 3" xfId="2091" xr:uid="{00000000-0005-0000-0000-000059080000}"/>
    <cellStyle name="Normal 2 5 3 2" xfId="2092" xr:uid="{00000000-0005-0000-0000-00005A080000}"/>
    <cellStyle name="Normal 2 5 3 2 2" xfId="2093" xr:uid="{00000000-0005-0000-0000-00005B080000}"/>
    <cellStyle name="Normal 2 5 3 3" xfId="2094" xr:uid="{00000000-0005-0000-0000-00005C080000}"/>
    <cellStyle name="Normal 2 5 3 3 2" xfId="2095" xr:uid="{00000000-0005-0000-0000-00005D080000}"/>
    <cellStyle name="Normal 2 5 3 4" xfId="2096" xr:uid="{00000000-0005-0000-0000-00005E080000}"/>
    <cellStyle name="Normal 2 5 4" xfId="2097" xr:uid="{00000000-0005-0000-0000-00005F080000}"/>
    <cellStyle name="Normal 2 5 4 2" xfId="2098" xr:uid="{00000000-0005-0000-0000-000060080000}"/>
    <cellStyle name="Normal 2 5 5" xfId="2099" xr:uid="{00000000-0005-0000-0000-000061080000}"/>
    <cellStyle name="Normal 2 5 5 2" xfId="2100" xr:uid="{00000000-0005-0000-0000-000062080000}"/>
    <cellStyle name="Normal 2 5 6" xfId="2101" xr:uid="{00000000-0005-0000-0000-000063080000}"/>
    <cellStyle name="Normal 2 5 7" xfId="2102" xr:uid="{00000000-0005-0000-0000-000064080000}"/>
    <cellStyle name="Normal 2 6" xfId="2103" xr:uid="{00000000-0005-0000-0000-000065080000}"/>
    <cellStyle name="Normal 2 7" xfId="2104" xr:uid="{00000000-0005-0000-0000-000066080000}"/>
    <cellStyle name="Normal 2 7 2 2" xfId="2105" xr:uid="{00000000-0005-0000-0000-000067080000}"/>
    <cellStyle name="Normal 2 8" xfId="2106" xr:uid="{00000000-0005-0000-0000-000068080000}"/>
    <cellStyle name="Normal 2_~2137129" xfId="2107" xr:uid="{00000000-0005-0000-0000-000069080000}"/>
    <cellStyle name="Normal 20" xfId="2108" xr:uid="{00000000-0005-0000-0000-00006A080000}"/>
    <cellStyle name="Normal 20 2" xfId="2109" xr:uid="{00000000-0005-0000-0000-00006B080000}"/>
    <cellStyle name="Normal 21" xfId="2110" xr:uid="{00000000-0005-0000-0000-00006C080000}"/>
    <cellStyle name="Normal 21 2" xfId="2111" xr:uid="{00000000-0005-0000-0000-00006D080000}"/>
    <cellStyle name="Normal 22" xfId="2112" xr:uid="{00000000-0005-0000-0000-00006E080000}"/>
    <cellStyle name="Normal 22 2" xfId="2113" xr:uid="{00000000-0005-0000-0000-00006F080000}"/>
    <cellStyle name="Normal 23" xfId="2114" xr:uid="{00000000-0005-0000-0000-000070080000}"/>
    <cellStyle name="Normal 23 2" xfId="2115" xr:uid="{00000000-0005-0000-0000-000071080000}"/>
    <cellStyle name="Normal 23 3" xfId="2116" xr:uid="{00000000-0005-0000-0000-000072080000}"/>
    <cellStyle name="Normal 24" xfId="2117" xr:uid="{00000000-0005-0000-0000-000073080000}"/>
    <cellStyle name="Normal 24 2" xfId="2118" xr:uid="{00000000-0005-0000-0000-000074080000}"/>
    <cellStyle name="Normal 24 3" xfId="2119" xr:uid="{00000000-0005-0000-0000-000075080000}"/>
    <cellStyle name="Normal 25" xfId="2120" xr:uid="{00000000-0005-0000-0000-000076080000}"/>
    <cellStyle name="Normal 25 2" xfId="2121" xr:uid="{00000000-0005-0000-0000-000077080000}"/>
    <cellStyle name="Normal 25 3" xfId="2122" xr:uid="{00000000-0005-0000-0000-000078080000}"/>
    <cellStyle name="Normal 26" xfId="2123" xr:uid="{00000000-0005-0000-0000-000079080000}"/>
    <cellStyle name="Normal 26 2" xfId="2124" xr:uid="{00000000-0005-0000-0000-00007A080000}"/>
    <cellStyle name="Normal 26 5" xfId="2125" xr:uid="{00000000-0005-0000-0000-00007B080000}"/>
    <cellStyle name="Normal 27" xfId="2126" xr:uid="{00000000-0005-0000-0000-00007C080000}"/>
    <cellStyle name="Normal 28" xfId="2127" xr:uid="{00000000-0005-0000-0000-00007D080000}"/>
    <cellStyle name="Normal 28 2" xfId="2128" xr:uid="{00000000-0005-0000-0000-00007E080000}"/>
    <cellStyle name="Normal 28 3" xfId="2129" xr:uid="{00000000-0005-0000-0000-00007F080000}"/>
    <cellStyle name="Normal 29" xfId="2130" xr:uid="{00000000-0005-0000-0000-000080080000}"/>
    <cellStyle name="Normal 3" xfId="2131" xr:uid="{00000000-0005-0000-0000-000081080000}"/>
    <cellStyle name="Normal 3 2" xfId="2132" xr:uid="{00000000-0005-0000-0000-000082080000}"/>
    <cellStyle name="Normal 3 2 2" xfId="2133" xr:uid="{00000000-0005-0000-0000-000083080000}"/>
    <cellStyle name="Normal 3 2 2 2" xfId="2134" xr:uid="{00000000-0005-0000-0000-000084080000}"/>
    <cellStyle name="Normal 3 2 2 2 2" xfId="2135" xr:uid="{00000000-0005-0000-0000-000085080000}"/>
    <cellStyle name="Normal 3 2 2 2 3" xfId="2136" xr:uid="{00000000-0005-0000-0000-000086080000}"/>
    <cellStyle name="Normal 3 2 2 3" xfId="2137" xr:uid="{00000000-0005-0000-0000-000087080000}"/>
    <cellStyle name="Normal 3 2 2 4" xfId="2138" xr:uid="{00000000-0005-0000-0000-000088080000}"/>
    <cellStyle name="Normal 3 2 3" xfId="2139" xr:uid="{00000000-0005-0000-0000-000089080000}"/>
    <cellStyle name="Normal 3 2 3 2" xfId="2140" xr:uid="{00000000-0005-0000-0000-00008A080000}"/>
    <cellStyle name="Normal 3 2 4" xfId="2141" xr:uid="{00000000-0005-0000-0000-00008B080000}"/>
    <cellStyle name="Normal 3 2 5" xfId="2142" xr:uid="{00000000-0005-0000-0000-00008C080000}"/>
    <cellStyle name="Normal 3 3" xfId="2143" xr:uid="{00000000-0005-0000-0000-00008D080000}"/>
    <cellStyle name="Normal 3 3 2" xfId="2144" xr:uid="{00000000-0005-0000-0000-00008E080000}"/>
    <cellStyle name="Normal 3 3 3" xfId="2145" xr:uid="{00000000-0005-0000-0000-00008F080000}"/>
    <cellStyle name="Normal 3 4" xfId="2146" xr:uid="{00000000-0005-0000-0000-000090080000}"/>
    <cellStyle name="Normal 3 4 2" xfId="2147" xr:uid="{00000000-0005-0000-0000-000091080000}"/>
    <cellStyle name="Normal 3 5" xfId="2148" xr:uid="{00000000-0005-0000-0000-000092080000}"/>
    <cellStyle name="Normal 3 6" xfId="2149" xr:uid="{00000000-0005-0000-0000-000093080000}"/>
    <cellStyle name="Normal 3 7" xfId="2150" xr:uid="{00000000-0005-0000-0000-000094080000}"/>
    <cellStyle name="Normal 3_~2762877" xfId="2151" xr:uid="{00000000-0005-0000-0000-000095080000}"/>
    <cellStyle name="Normal 30" xfId="2152" xr:uid="{00000000-0005-0000-0000-000096080000}"/>
    <cellStyle name="Normal 30 2" xfId="2153" xr:uid="{00000000-0005-0000-0000-000097080000}"/>
    <cellStyle name="Normal 31" xfId="2154" xr:uid="{00000000-0005-0000-0000-000098080000}"/>
    <cellStyle name="Normal 32" xfId="2155" xr:uid="{00000000-0005-0000-0000-000099080000}"/>
    <cellStyle name="Normal 33" xfId="2156" xr:uid="{00000000-0005-0000-0000-00009A080000}"/>
    <cellStyle name="Normal 33 2 2" xfId="2157" xr:uid="{00000000-0005-0000-0000-00009B080000}"/>
    <cellStyle name="Normal 34" xfId="2158" xr:uid="{00000000-0005-0000-0000-00009C080000}"/>
    <cellStyle name="Normal 35" xfId="2159" xr:uid="{00000000-0005-0000-0000-00009D080000}"/>
    <cellStyle name="Normal 36" xfId="2160" xr:uid="{00000000-0005-0000-0000-00009E080000}"/>
    <cellStyle name="Normal 4" xfId="2161" xr:uid="{00000000-0005-0000-0000-00009F080000}"/>
    <cellStyle name="Normal 4 2" xfId="2162" xr:uid="{00000000-0005-0000-0000-0000A0080000}"/>
    <cellStyle name="Normal 4 2 2" xfId="2163" xr:uid="{00000000-0005-0000-0000-0000A1080000}"/>
    <cellStyle name="Normal 4 2 3" xfId="2164" xr:uid="{00000000-0005-0000-0000-0000A2080000}"/>
    <cellStyle name="Normal 4 3" xfId="2165" xr:uid="{00000000-0005-0000-0000-0000A3080000}"/>
    <cellStyle name="Normal 4 3 2" xfId="2166" xr:uid="{00000000-0005-0000-0000-0000A4080000}"/>
    <cellStyle name="Normal 4 4" xfId="2167" xr:uid="{00000000-0005-0000-0000-0000A5080000}"/>
    <cellStyle name="Normal 4 4 2" xfId="2168" xr:uid="{00000000-0005-0000-0000-0000A6080000}"/>
    <cellStyle name="Normal 4 5" xfId="2169" xr:uid="{00000000-0005-0000-0000-0000A7080000}"/>
    <cellStyle name="Normal 4 5 2" xfId="2170" xr:uid="{00000000-0005-0000-0000-0000A8080000}"/>
    <cellStyle name="Normal 4 6" xfId="2171" xr:uid="{00000000-0005-0000-0000-0000A9080000}"/>
    <cellStyle name="Normal 4 7" xfId="2172" xr:uid="{00000000-0005-0000-0000-0000AA080000}"/>
    <cellStyle name="Normal 4_Accounts 2008 1.7" xfId="2173" xr:uid="{00000000-0005-0000-0000-0000AB080000}"/>
    <cellStyle name="Normal 5" xfId="2174" xr:uid="{00000000-0005-0000-0000-0000AC080000}"/>
    <cellStyle name="Normal 5 2" xfId="2175" xr:uid="{00000000-0005-0000-0000-0000AD080000}"/>
    <cellStyle name="Normal 5 2 2" xfId="2176" xr:uid="{00000000-0005-0000-0000-0000AE080000}"/>
    <cellStyle name="Normal 5 3" xfId="2177" xr:uid="{00000000-0005-0000-0000-0000AF080000}"/>
    <cellStyle name="Normal 5 3 2" xfId="2178" xr:uid="{00000000-0005-0000-0000-0000B0080000}"/>
    <cellStyle name="Normal 5 3 2 2" xfId="2179" xr:uid="{00000000-0005-0000-0000-0000B1080000}"/>
    <cellStyle name="Normal 5 4" xfId="2180" xr:uid="{00000000-0005-0000-0000-0000B2080000}"/>
    <cellStyle name="Normal 5 5" xfId="2181" xr:uid="{00000000-0005-0000-0000-0000B3080000}"/>
    <cellStyle name="Normal 5 6" xfId="2182" xr:uid="{00000000-0005-0000-0000-0000B4080000}"/>
    <cellStyle name="Normal 5 7" xfId="2183" xr:uid="{00000000-0005-0000-0000-0000B5080000}"/>
    <cellStyle name="Normal 5_Accounts Dec 2009 (V 3) after ifrs 4" xfId="2184" xr:uid="{00000000-0005-0000-0000-0000B6080000}"/>
    <cellStyle name="Normal 6" xfId="2185" xr:uid="{00000000-0005-0000-0000-0000B7080000}"/>
    <cellStyle name="Normal 6 2" xfId="2186" xr:uid="{00000000-0005-0000-0000-0000B8080000}"/>
    <cellStyle name="Normal 6 2 2" xfId="2187" xr:uid="{00000000-0005-0000-0000-0000B9080000}"/>
    <cellStyle name="Normal 6 2 2 2" xfId="2188" xr:uid="{00000000-0005-0000-0000-0000BA080000}"/>
    <cellStyle name="Normal 6 3" xfId="2189" xr:uid="{00000000-0005-0000-0000-0000BB080000}"/>
    <cellStyle name="Normal 6 3 2" xfId="2190" xr:uid="{00000000-0005-0000-0000-0000BC080000}"/>
    <cellStyle name="Normal 6 4" xfId="2191" xr:uid="{00000000-0005-0000-0000-0000BD080000}"/>
    <cellStyle name="Normal 6 4 2" xfId="2192" xr:uid="{00000000-0005-0000-0000-0000BE080000}"/>
    <cellStyle name="Normal 6 4 3" xfId="2193" xr:uid="{00000000-0005-0000-0000-0000BF080000}"/>
    <cellStyle name="Normal 6 5" xfId="2194" xr:uid="{00000000-0005-0000-0000-0000C0080000}"/>
    <cellStyle name="Normal 6 6" xfId="2195" xr:uid="{00000000-0005-0000-0000-0000C1080000}"/>
    <cellStyle name="Normal 6 7" xfId="2196" xr:uid="{00000000-0005-0000-0000-0000C2080000}"/>
    <cellStyle name="Normal 67 2" xfId="2197" xr:uid="{00000000-0005-0000-0000-0000C3080000}"/>
    <cellStyle name="Normal 7" xfId="2198" xr:uid="{00000000-0005-0000-0000-0000C4080000}"/>
    <cellStyle name="Normal 7 2" xfId="2199" xr:uid="{00000000-0005-0000-0000-0000C5080000}"/>
    <cellStyle name="Normal 7 2 2" xfId="2200" xr:uid="{00000000-0005-0000-0000-0000C6080000}"/>
    <cellStyle name="Normal 7 2 2 2" xfId="2201" xr:uid="{00000000-0005-0000-0000-0000C7080000}"/>
    <cellStyle name="Normal 7 3" xfId="2202" xr:uid="{00000000-0005-0000-0000-0000C8080000}"/>
    <cellStyle name="Normal 7 4" xfId="2203" xr:uid="{00000000-0005-0000-0000-0000C9080000}"/>
    <cellStyle name="Normal 7 5" xfId="2204" xr:uid="{00000000-0005-0000-0000-0000CA080000}"/>
    <cellStyle name="Normal 7 6" xfId="2205" xr:uid="{00000000-0005-0000-0000-0000CB080000}"/>
    <cellStyle name="Normal 7_Advances - hr 2008" xfId="2206" xr:uid="{00000000-0005-0000-0000-0000CC080000}"/>
    <cellStyle name="Normal 8" xfId="2207" xr:uid="{00000000-0005-0000-0000-0000CD080000}"/>
    <cellStyle name="Normal 8 2" xfId="2208" xr:uid="{00000000-0005-0000-0000-0000CE080000}"/>
    <cellStyle name="Normal 8 2 2" xfId="2209" xr:uid="{00000000-0005-0000-0000-0000CF080000}"/>
    <cellStyle name="Normal 8 3" xfId="2210" xr:uid="{00000000-0005-0000-0000-0000D0080000}"/>
    <cellStyle name="Normal 8 4" xfId="2211" xr:uid="{00000000-0005-0000-0000-0000D1080000}"/>
    <cellStyle name="Normal 8 4 2" xfId="2212" xr:uid="{00000000-0005-0000-0000-0000D2080000}"/>
    <cellStyle name="Normal 8 5" xfId="2213" xr:uid="{00000000-0005-0000-0000-0000D3080000}"/>
    <cellStyle name="Normal 89" xfId="2214" xr:uid="{00000000-0005-0000-0000-0000D4080000}"/>
    <cellStyle name="Normal 9" xfId="2215" xr:uid="{00000000-0005-0000-0000-0000D5080000}"/>
    <cellStyle name="Normal 9 2" xfId="2216" xr:uid="{00000000-0005-0000-0000-0000D6080000}"/>
    <cellStyle name="Normal 9 2 2" xfId="2217" xr:uid="{00000000-0005-0000-0000-0000D7080000}"/>
    <cellStyle name="Normal 9 3" xfId="2218" xr:uid="{00000000-0005-0000-0000-0000D8080000}"/>
    <cellStyle name="Normal_D Tax Incremental Depreciation Tax Gratuity Workings" xfId="2219" xr:uid="{00000000-0005-0000-0000-0000D9080000}"/>
    <cellStyle name="Normal_Final 30-06-06" xfId="2220" xr:uid="{00000000-0005-0000-0000-0000DA080000}"/>
    <cellStyle name="Normal_Final Accounts Musterhaft-2003" xfId="2221" xr:uid="{00000000-0005-0000-0000-0000DB080000}"/>
    <cellStyle name="Normal_Final Swift movers-2004 Accounts" xfId="2222" xr:uid="{00000000-0005-0000-0000-0000DC080000}"/>
    <cellStyle name="Normal_Nafees_30-06-2009 (SAH)" xfId="2223" xr:uid="{00000000-0005-0000-0000-0000DD080000}"/>
    <cellStyle name="Normal_Sheet3" xfId="2224" xr:uid="{00000000-0005-0000-0000-0000DE080000}"/>
    <cellStyle name="Normalny_laroux" xfId="2225" xr:uid="{00000000-0005-0000-0000-0000DF080000}"/>
    <cellStyle name="normแlnํ_laroux" xfId="2226" xr:uid="{00000000-0005-0000-0000-0000E0080000}"/>
    <cellStyle name="Note 2" xfId="2227" xr:uid="{00000000-0005-0000-0000-0000E1080000}"/>
    <cellStyle name="Note 2 2" xfId="2228" xr:uid="{00000000-0005-0000-0000-0000E2080000}"/>
    <cellStyle name="Note 2 2 2" xfId="2229" xr:uid="{00000000-0005-0000-0000-0000E3080000}"/>
    <cellStyle name="Note 3" xfId="2230" xr:uid="{00000000-0005-0000-0000-0000E4080000}"/>
    <cellStyle name="Note 3 2" xfId="2231" xr:uid="{00000000-0005-0000-0000-0000E5080000}"/>
    <cellStyle name="Note 3 2 2" xfId="2232" xr:uid="{00000000-0005-0000-0000-0000E6080000}"/>
    <cellStyle name="Note 4" xfId="2233" xr:uid="{00000000-0005-0000-0000-0000E7080000}"/>
    <cellStyle name="Note 4 2" xfId="2234" xr:uid="{00000000-0005-0000-0000-0000E8080000}"/>
    <cellStyle name="Note 4 2 2" xfId="2235" xr:uid="{00000000-0005-0000-0000-0000E9080000}"/>
    <cellStyle name="Note 5" xfId="2236" xr:uid="{00000000-0005-0000-0000-0000EA080000}"/>
    <cellStyle name="Note 5 2" xfId="2237" xr:uid="{00000000-0005-0000-0000-0000EB080000}"/>
    <cellStyle name="Note 5 2 2" xfId="2238" xr:uid="{00000000-0005-0000-0000-0000EC080000}"/>
    <cellStyle name="nousher" xfId="2239" xr:uid="{00000000-0005-0000-0000-0000ED080000}"/>
    <cellStyle name="Œ…‹æØ‚è [0.00]_BL94CODE" xfId="2240" xr:uid="{00000000-0005-0000-0000-0000EE080000}"/>
    <cellStyle name="Œ…‹æØ‚è_BL94CODE" xfId="2241" xr:uid="{00000000-0005-0000-0000-0000EF080000}"/>
    <cellStyle name="Output 2" xfId="2242" xr:uid="{00000000-0005-0000-0000-0000F0080000}"/>
    <cellStyle name="Output 2 2" xfId="2243" xr:uid="{00000000-0005-0000-0000-0000F1080000}"/>
    <cellStyle name="Output 2 2 2" xfId="2244" xr:uid="{00000000-0005-0000-0000-0000F2080000}"/>
    <cellStyle name="Output 3" xfId="2245" xr:uid="{00000000-0005-0000-0000-0000F3080000}"/>
    <cellStyle name="Output 3 2" xfId="2246" xr:uid="{00000000-0005-0000-0000-0000F4080000}"/>
    <cellStyle name="Output 3 2 2" xfId="2247" xr:uid="{00000000-0005-0000-0000-0000F5080000}"/>
    <cellStyle name="Output 4" xfId="2248" xr:uid="{00000000-0005-0000-0000-0000F6080000}"/>
    <cellStyle name="Output 4 2" xfId="2249" xr:uid="{00000000-0005-0000-0000-0000F7080000}"/>
    <cellStyle name="Output 4 2 2" xfId="2250" xr:uid="{00000000-0005-0000-0000-0000F8080000}"/>
    <cellStyle name="Output 5" xfId="2251" xr:uid="{00000000-0005-0000-0000-0000F9080000}"/>
    <cellStyle name="Output 5 2" xfId="2252" xr:uid="{00000000-0005-0000-0000-0000FA080000}"/>
    <cellStyle name="Output 5 2 2" xfId="2253" xr:uid="{00000000-0005-0000-0000-0000FB080000}"/>
    <cellStyle name="Output Amounts" xfId="2254" xr:uid="{00000000-0005-0000-0000-0000FC080000}"/>
    <cellStyle name="Output Amounts 2" xfId="2255" xr:uid="{00000000-0005-0000-0000-0000FD080000}"/>
    <cellStyle name="Output Column Headings" xfId="2256" xr:uid="{00000000-0005-0000-0000-0000FE080000}"/>
    <cellStyle name="Output Column Headings 2" xfId="2257" xr:uid="{00000000-0005-0000-0000-0000FF080000}"/>
    <cellStyle name="Output Line Items" xfId="2258" xr:uid="{00000000-0005-0000-0000-000000090000}"/>
    <cellStyle name="Output Line Items 2" xfId="2259" xr:uid="{00000000-0005-0000-0000-000001090000}"/>
    <cellStyle name="Output Report Heading" xfId="2260" xr:uid="{00000000-0005-0000-0000-000002090000}"/>
    <cellStyle name="Output Report Heading 2" xfId="2261" xr:uid="{00000000-0005-0000-0000-000003090000}"/>
    <cellStyle name="Output Report Title" xfId="2262" xr:uid="{00000000-0005-0000-0000-000004090000}"/>
    <cellStyle name="Output Report Title 2" xfId="2263" xr:uid="{00000000-0005-0000-0000-000005090000}"/>
    <cellStyle name="p/n" xfId="2264" xr:uid="{00000000-0005-0000-0000-000006090000}"/>
    <cellStyle name="Per cent 2" xfId="2265" xr:uid="{00000000-0005-0000-0000-000007090000}"/>
    <cellStyle name="Percent" xfId="2" builtinId="5"/>
    <cellStyle name="Percent [0]" xfId="2266" xr:uid="{00000000-0005-0000-0000-000008090000}"/>
    <cellStyle name="Percent [0] 2" xfId="2267" xr:uid="{00000000-0005-0000-0000-000009090000}"/>
    <cellStyle name="Percent [0] 3" xfId="2268" xr:uid="{00000000-0005-0000-0000-00000A090000}"/>
    <cellStyle name="Percent [0] 4" xfId="2269" xr:uid="{00000000-0005-0000-0000-00000B090000}"/>
    <cellStyle name="Percent [0] 5" xfId="2270" xr:uid="{00000000-0005-0000-0000-00000C090000}"/>
    <cellStyle name="Percent [0] 6" xfId="2271" xr:uid="{00000000-0005-0000-0000-00000D090000}"/>
    <cellStyle name="Percent [0] 7" xfId="2272" xr:uid="{00000000-0005-0000-0000-00000E090000}"/>
    <cellStyle name="Percent [00]" xfId="2273" xr:uid="{00000000-0005-0000-0000-00000F090000}"/>
    <cellStyle name="Percent [00] 2" xfId="2274" xr:uid="{00000000-0005-0000-0000-000010090000}"/>
    <cellStyle name="Percent [00] 3" xfId="2275" xr:uid="{00000000-0005-0000-0000-000011090000}"/>
    <cellStyle name="Percent [00] 4" xfId="2276" xr:uid="{00000000-0005-0000-0000-000012090000}"/>
    <cellStyle name="Percent [00] 5" xfId="2277" xr:uid="{00000000-0005-0000-0000-000013090000}"/>
    <cellStyle name="Percent [00] 6" xfId="2278" xr:uid="{00000000-0005-0000-0000-000014090000}"/>
    <cellStyle name="Percent [00] 7" xfId="2279" xr:uid="{00000000-0005-0000-0000-000015090000}"/>
    <cellStyle name="Percent [2]" xfId="2280" xr:uid="{00000000-0005-0000-0000-000016090000}"/>
    <cellStyle name="Percent [2] 2" xfId="2281" xr:uid="{00000000-0005-0000-0000-000017090000}"/>
    <cellStyle name="Percent [2] 3" xfId="2282" xr:uid="{00000000-0005-0000-0000-000018090000}"/>
    <cellStyle name="Percent [2] 4" xfId="2283" xr:uid="{00000000-0005-0000-0000-000019090000}"/>
    <cellStyle name="Percent [2] 5" xfId="2284" xr:uid="{00000000-0005-0000-0000-00001A090000}"/>
    <cellStyle name="Percent [2] 6" xfId="2285" xr:uid="{00000000-0005-0000-0000-00001B090000}"/>
    <cellStyle name="Percent 10" xfId="2286" xr:uid="{00000000-0005-0000-0000-00001C090000}"/>
    <cellStyle name="Percent 10 2" xfId="2287" xr:uid="{00000000-0005-0000-0000-00001D090000}"/>
    <cellStyle name="Percent 10 2 2" xfId="2288" xr:uid="{00000000-0005-0000-0000-00001E090000}"/>
    <cellStyle name="Percent 10 2 3" xfId="2289" xr:uid="{00000000-0005-0000-0000-00001F090000}"/>
    <cellStyle name="Percent 10 3" xfId="2290" xr:uid="{00000000-0005-0000-0000-000020090000}"/>
    <cellStyle name="Percent 10 3 2" xfId="2291" xr:uid="{00000000-0005-0000-0000-000021090000}"/>
    <cellStyle name="Percent 10 3 3" xfId="2292" xr:uid="{00000000-0005-0000-0000-000022090000}"/>
    <cellStyle name="Percent 10 4" xfId="2293" xr:uid="{00000000-0005-0000-0000-000023090000}"/>
    <cellStyle name="Percent 10 4 2" xfId="2294" xr:uid="{00000000-0005-0000-0000-000024090000}"/>
    <cellStyle name="Percent 10 4 3" xfId="2295" xr:uid="{00000000-0005-0000-0000-000025090000}"/>
    <cellStyle name="Percent 10 5" xfId="2296" xr:uid="{00000000-0005-0000-0000-000026090000}"/>
    <cellStyle name="Percent 10 6" xfId="2297" xr:uid="{00000000-0005-0000-0000-000027090000}"/>
    <cellStyle name="Percent 10 7" xfId="2298" xr:uid="{00000000-0005-0000-0000-000028090000}"/>
    <cellStyle name="Percent 11" xfId="2299" xr:uid="{00000000-0005-0000-0000-000029090000}"/>
    <cellStyle name="Percent 11 2" xfId="2300" xr:uid="{00000000-0005-0000-0000-00002A090000}"/>
    <cellStyle name="Percent 11 2 2" xfId="2301" xr:uid="{00000000-0005-0000-0000-00002B090000}"/>
    <cellStyle name="Percent 11 2 3" xfId="2302" xr:uid="{00000000-0005-0000-0000-00002C090000}"/>
    <cellStyle name="Percent 11 3" xfId="2303" xr:uid="{00000000-0005-0000-0000-00002D090000}"/>
    <cellStyle name="Percent 11 3 2" xfId="2304" xr:uid="{00000000-0005-0000-0000-00002E090000}"/>
    <cellStyle name="Percent 11 3 3" xfId="2305" xr:uid="{00000000-0005-0000-0000-00002F090000}"/>
    <cellStyle name="Percent 11 4" xfId="2306" xr:uid="{00000000-0005-0000-0000-000030090000}"/>
    <cellStyle name="Percent 11 4 2" xfId="2307" xr:uid="{00000000-0005-0000-0000-000031090000}"/>
    <cellStyle name="Percent 11 4 3" xfId="2308" xr:uid="{00000000-0005-0000-0000-000032090000}"/>
    <cellStyle name="Percent 11 5" xfId="2309" xr:uid="{00000000-0005-0000-0000-000033090000}"/>
    <cellStyle name="Percent 11 6" xfId="2310" xr:uid="{00000000-0005-0000-0000-000034090000}"/>
    <cellStyle name="Percent 11 7" xfId="2311" xr:uid="{00000000-0005-0000-0000-000035090000}"/>
    <cellStyle name="Percent 12" xfId="2312" xr:uid="{00000000-0005-0000-0000-000036090000}"/>
    <cellStyle name="Percent 12 2" xfId="2313" xr:uid="{00000000-0005-0000-0000-000037090000}"/>
    <cellStyle name="Percent 12 2 2" xfId="2314" xr:uid="{00000000-0005-0000-0000-000038090000}"/>
    <cellStyle name="Percent 12 2 3" xfId="2315" xr:uid="{00000000-0005-0000-0000-000039090000}"/>
    <cellStyle name="Percent 12 3" xfId="2316" xr:uid="{00000000-0005-0000-0000-00003A090000}"/>
    <cellStyle name="Percent 12 3 2" xfId="2317" xr:uid="{00000000-0005-0000-0000-00003B090000}"/>
    <cellStyle name="Percent 12 3 3" xfId="2318" xr:uid="{00000000-0005-0000-0000-00003C090000}"/>
    <cellStyle name="Percent 12 4" xfId="2319" xr:uid="{00000000-0005-0000-0000-00003D090000}"/>
    <cellStyle name="Percent 12 4 2" xfId="2320" xr:uid="{00000000-0005-0000-0000-00003E090000}"/>
    <cellStyle name="Percent 12 4 3" xfId="2321" xr:uid="{00000000-0005-0000-0000-00003F090000}"/>
    <cellStyle name="Percent 12 5" xfId="2322" xr:uid="{00000000-0005-0000-0000-000040090000}"/>
    <cellStyle name="Percent 12 6" xfId="2323" xr:uid="{00000000-0005-0000-0000-000041090000}"/>
    <cellStyle name="Percent 12 7" xfId="2324" xr:uid="{00000000-0005-0000-0000-000042090000}"/>
    <cellStyle name="Percent 13" xfId="2325" xr:uid="{00000000-0005-0000-0000-000043090000}"/>
    <cellStyle name="Percent 13 2" xfId="2326" xr:uid="{00000000-0005-0000-0000-000044090000}"/>
    <cellStyle name="Percent 13 2 2" xfId="2327" xr:uid="{00000000-0005-0000-0000-000045090000}"/>
    <cellStyle name="Percent 13 2 3" xfId="2328" xr:uid="{00000000-0005-0000-0000-000046090000}"/>
    <cellStyle name="Percent 13 3" xfId="2329" xr:uid="{00000000-0005-0000-0000-000047090000}"/>
    <cellStyle name="Percent 13 3 2" xfId="2330" xr:uid="{00000000-0005-0000-0000-000048090000}"/>
    <cellStyle name="Percent 13 3 3" xfId="2331" xr:uid="{00000000-0005-0000-0000-000049090000}"/>
    <cellStyle name="Percent 13 4" xfId="2332" xr:uid="{00000000-0005-0000-0000-00004A090000}"/>
    <cellStyle name="Percent 13 4 2" xfId="2333" xr:uid="{00000000-0005-0000-0000-00004B090000}"/>
    <cellStyle name="Percent 13 4 3" xfId="2334" xr:uid="{00000000-0005-0000-0000-00004C090000}"/>
    <cellStyle name="Percent 13 5" xfId="2335" xr:uid="{00000000-0005-0000-0000-00004D090000}"/>
    <cellStyle name="Percent 13 6" xfId="2336" xr:uid="{00000000-0005-0000-0000-00004E090000}"/>
    <cellStyle name="Percent 14" xfId="2337" xr:uid="{00000000-0005-0000-0000-00004F090000}"/>
    <cellStyle name="Percent 14 2" xfId="2338" xr:uid="{00000000-0005-0000-0000-000050090000}"/>
    <cellStyle name="Percent 14 2 2" xfId="2339" xr:uid="{00000000-0005-0000-0000-000051090000}"/>
    <cellStyle name="Percent 14 2 3" xfId="2340" xr:uid="{00000000-0005-0000-0000-000052090000}"/>
    <cellStyle name="Percent 14 3" xfId="2341" xr:uid="{00000000-0005-0000-0000-000053090000}"/>
    <cellStyle name="Percent 14 3 2" xfId="2342" xr:uid="{00000000-0005-0000-0000-000054090000}"/>
    <cellStyle name="Percent 14 3 3" xfId="2343" xr:uid="{00000000-0005-0000-0000-000055090000}"/>
    <cellStyle name="Percent 14 4" xfId="2344" xr:uid="{00000000-0005-0000-0000-000056090000}"/>
    <cellStyle name="Percent 14 4 2" xfId="2345" xr:uid="{00000000-0005-0000-0000-000057090000}"/>
    <cellStyle name="Percent 14 4 3" xfId="2346" xr:uid="{00000000-0005-0000-0000-000058090000}"/>
    <cellStyle name="Percent 14 5" xfId="2347" xr:uid="{00000000-0005-0000-0000-000059090000}"/>
    <cellStyle name="Percent 14 6" xfId="2348" xr:uid="{00000000-0005-0000-0000-00005A090000}"/>
    <cellStyle name="Percent 15" xfId="2349" xr:uid="{00000000-0005-0000-0000-00005B090000}"/>
    <cellStyle name="Percent 15 2" xfId="2350" xr:uid="{00000000-0005-0000-0000-00005C090000}"/>
    <cellStyle name="Percent 15 2 2" xfId="2351" xr:uid="{00000000-0005-0000-0000-00005D090000}"/>
    <cellStyle name="Percent 15 2 3" xfId="2352" xr:uid="{00000000-0005-0000-0000-00005E090000}"/>
    <cellStyle name="Percent 15 3" xfId="2353" xr:uid="{00000000-0005-0000-0000-00005F090000}"/>
    <cellStyle name="Percent 15 3 2" xfId="2354" xr:uid="{00000000-0005-0000-0000-000060090000}"/>
    <cellStyle name="Percent 15 3 3" xfId="2355" xr:uid="{00000000-0005-0000-0000-000061090000}"/>
    <cellStyle name="Percent 15 4" xfId="2356" xr:uid="{00000000-0005-0000-0000-000062090000}"/>
    <cellStyle name="Percent 15 4 2" xfId="2357" xr:uid="{00000000-0005-0000-0000-000063090000}"/>
    <cellStyle name="Percent 15 4 3" xfId="2358" xr:uid="{00000000-0005-0000-0000-000064090000}"/>
    <cellStyle name="Percent 15 5" xfId="2359" xr:uid="{00000000-0005-0000-0000-000065090000}"/>
    <cellStyle name="Percent 15 6" xfId="2360" xr:uid="{00000000-0005-0000-0000-000066090000}"/>
    <cellStyle name="Percent 16" xfId="2361" xr:uid="{00000000-0005-0000-0000-000067090000}"/>
    <cellStyle name="Percent 16 2" xfId="2362" xr:uid="{00000000-0005-0000-0000-000068090000}"/>
    <cellStyle name="Percent 16 2 2" xfId="2363" xr:uid="{00000000-0005-0000-0000-000069090000}"/>
    <cellStyle name="Percent 16 2 3" xfId="2364" xr:uid="{00000000-0005-0000-0000-00006A090000}"/>
    <cellStyle name="Percent 16 3" xfId="2365" xr:uid="{00000000-0005-0000-0000-00006B090000}"/>
    <cellStyle name="Percent 16 3 2" xfId="2366" xr:uid="{00000000-0005-0000-0000-00006C090000}"/>
    <cellStyle name="Percent 16 3 3" xfId="2367" xr:uid="{00000000-0005-0000-0000-00006D090000}"/>
    <cellStyle name="Percent 16 4" xfId="2368" xr:uid="{00000000-0005-0000-0000-00006E090000}"/>
    <cellStyle name="Percent 16 4 2" xfId="2369" xr:uid="{00000000-0005-0000-0000-00006F090000}"/>
    <cellStyle name="Percent 16 4 3" xfId="2370" xr:uid="{00000000-0005-0000-0000-000070090000}"/>
    <cellStyle name="Percent 16 5" xfId="2371" xr:uid="{00000000-0005-0000-0000-000071090000}"/>
    <cellStyle name="Percent 16 6" xfId="2372" xr:uid="{00000000-0005-0000-0000-000072090000}"/>
    <cellStyle name="Percent 17" xfId="2373" xr:uid="{00000000-0005-0000-0000-000073090000}"/>
    <cellStyle name="Percent 17 2" xfId="2374" xr:uid="{00000000-0005-0000-0000-000074090000}"/>
    <cellStyle name="Percent 17 2 2" xfId="2375" xr:uid="{00000000-0005-0000-0000-000075090000}"/>
    <cellStyle name="Percent 17 2 3" xfId="2376" xr:uid="{00000000-0005-0000-0000-000076090000}"/>
    <cellStyle name="Percent 17 3" xfId="2377" xr:uid="{00000000-0005-0000-0000-000077090000}"/>
    <cellStyle name="Percent 17 3 2" xfId="2378" xr:uid="{00000000-0005-0000-0000-000078090000}"/>
    <cellStyle name="Percent 17 3 3" xfId="2379" xr:uid="{00000000-0005-0000-0000-000079090000}"/>
    <cellStyle name="Percent 17 4" xfId="2380" xr:uid="{00000000-0005-0000-0000-00007A090000}"/>
    <cellStyle name="Percent 17 4 2" xfId="2381" xr:uid="{00000000-0005-0000-0000-00007B090000}"/>
    <cellStyle name="Percent 17 4 3" xfId="2382" xr:uid="{00000000-0005-0000-0000-00007C090000}"/>
    <cellStyle name="Percent 17 5" xfId="2383" xr:uid="{00000000-0005-0000-0000-00007D090000}"/>
    <cellStyle name="Percent 17 6" xfId="2384" xr:uid="{00000000-0005-0000-0000-00007E090000}"/>
    <cellStyle name="Percent 18" xfId="2385" xr:uid="{00000000-0005-0000-0000-00007F090000}"/>
    <cellStyle name="Percent 19" xfId="2386" xr:uid="{00000000-0005-0000-0000-000080090000}"/>
    <cellStyle name="Percent 2" xfId="2387" xr:uid="{00000000-0005-0000-0000-000081090000}"/>
    <cellStyle name="Percent 2 2" xfId="2388" xr:uid="{00000000-0005-0000-0000-000082090000}"/>
    <cellStyle name="Percent 2 2 2" xfId="2389" xr:uid="{00000000-0005-0000-0000-000083090000}"/>
    <cellStyle name="Percent 2 2 3" xfId="2390" xr:uid="{00000000-0005-0000-0000-000084090000}"/>
    <cellStyle name="Percent 2 2 4" xfId="2391" xr:uid="{00000000-0005-0000-0000-000085090000}"/>
    <cellStyle name="Percent 2 3" xfId="2392" xr:uid="{00000000-0005-0000-0000-000086090000}"/>
    <cellStyle name="Percent 2 3 2" xfId="2393" xr:uid="{00000000-0005-0000-0000-000087090000}"/>
    <cellStyle name="Percent 2 4" xfId="2394" xr:uid="{00000000-0005-0000-0000-000088090000}"/>
    <cellStyle name="Percent 2 4 2" xfId="2395" xr:uid="{00000000-0005-0000-0000-000089090000}"/>
    <cellStyle name="Percent 2 5" xfId="2396" xr:uid="{00000000-0005-0000-0000-00008A090000}"/>
    <cellStyle name="Percent 2 5 2" xfId="2397" xr:uid="{00000000-0005-0000-0000-00008B090000}"/>
    <cellStyle name="Percent 2 6" xfId="2398" xr:uid="{00000000-0005-0000-0000-00008C090000}"/>
    <cellStyle name="Percent 2 7" xfId="2399" xr:uid="{00000000-0005-0000-0000-00008D090000}"/>
    <cellStyle name="Percent 2 8" xfId="2400" xr:uid="{00000000-0005-0000-0000-00008E090000}"/>
    <cellStyle name="Percent 2 9" xfId="2401" xr:uid="{00000000-0005-0000-0000-00008F090000}"/>
    <cellStyle name="Percent 20" xfId="2402" xr:uid="{00000000-0005-0000-0000-000090090000}"/>
    <cellStyle name="Percent 21" xfId="2403" xr:uid="{00000000-0005-0000-0000-000091090000}"/>
    <cellStyle name="Percent 3" xfId="2404" xr:uid="{00000000-0005-0000-0000-000092090000}"/>
    <cellStyle name="Percent 3 2" xfId="2405" xr:uid="{00000000-0005-0000-0000-000093090000}"/>
    <cellStyle name="Percent 3 2 2" xfId="2406" xr:uid="{00000000-0005-0000-0000-000094090000}"/>
    <cellStyle name="Percent 3 2 3" xfId="2407" xr:uid="{00000000-0005-0000-0000-000095090000}"/>
    <cellStyle name="Percent 3 2 4" xfId="2408" xr:uid="{00000000-0005-0000-0000-000096090000}"/>
    <cellStyle name="Percent 3 3" xfId="2409" xr:uid="{00000000-0005-0000-0000-000097090000}"/>
    <cellStyle name="Percent 3 3 2" xfId="2410" xr:uid="{00000000-0005-0000-0000-000098090000}"/>
    <cellStyle name="Percent 3 3 2 2" xfId="2411" xr:uid="{00000000-0005-0000-0000-000099090000}"/>
    <cellStyle name="Percent 3 3 2 3" xfId="2412" xr:uid="{00000000-0005-0000-0000-00009A090000}"/>
    <cellStyle name="Percent 3 3 3" xfId="2413" xr:uid="{00000000-0005-0000-0000-00009B090000}"/>
    <cellStyle name="Percent 3 4" xfId="2414" xr:uid="{00000000-0005-0000-0000-00009C090000}"/>
    <cellStyle name="Percent 3 4 2" xfId="2415" xr:uid="{00000000-0005-0000-0000-00009D090000}"/>
    <cellStyle name="Percent 3 4 3" xfId="2416" xr:uid="{00000000-0005-0000-0000-00009E090000}"/>
    <cellStyle name="Percent 3 5" xfId="2417" xr:uid="{00000000-0005-0000-0000-00009F090000}"/>
    <cellStyle name="Percent 3 6" xfId="2418" xr:uid="{00000000-0005-0000-0000-0000A0090000}"/>
    <cellStyle name="Percent 3 7" xfId="2419" xr:uid="{00000000-0005-0000-0000-0000A1090000}"/>
    <cellStyle name="Percent 30 2" xfId="2420" xr:uid="{00000000-0005-0000-0000-0000A2090000}"/>
    <cellStyle name="Percent 31 2" xfId="2421" xr:uid="{00000000-0005-0000-0000-0000A3090000}"/>
    <cellStyle name="Percent 4" xfId="2422" xr:uid="{00000000-0005-0000-0000-0000A4090000}"/>
    <cellStyle name="Percent 4 2" xfId="2423" xr:uid="{00000000-0005-0000-0000-0000A5090000}"/>
    <cellStyle name="Percent 4 2 2" xfId="2424" xr:uid="{00000000-0005-0000-0000-0000A6090000}"/>
    <cellStyle name="Percent 4 2 2 2" xfId="2425" xr:uid="{00000000-0005-0000-0000-0000A7090000}"/>
    <cellStyle name="Percent 4 2 2 3" xfId="2426" xr:uid="{00000000-0005-0000-0000-0000A8090000}"/>
    <cellStyle name="Percent 4 2 3" xfId="2427" xr:uid="{00000000-0005-0000-0000-0000A9090000}"/>
    <cellStyle name="Percent 4 2 4" xfId="2428" xr:uid="{00000000-0005-0000-0000-0000AA090000}"/>
    <cellStyle name="Percent 4 3" xfId="2429" xr:uid="{00000000-0005-0000-0000-0000AB090000}"/>
    <cellStyle name="Percent 4 3 2" xfId="2430" xr:uid="{00000000-0005-0000-0000-0000AC090000}"/>
    <cellStyle name="Percent 4 3 3" xfId="2431" xr:uid="{00000000-0005-0000-0000-0000AD090000}"/>
    <cellStyle name="Percent 4 3 4" xfId="2432" xr:uid="{00000000-0005-0000-0000-0000AE090000}"/>
    <cellStyle name="Percent 4 4" xfId="2433" xr:uid="{00000000-0005-0000-0000-0000AF090000}"/>
    <cellStyle name="Percent 4 4 2" xfId="2434" xr:uid="{00000000-0005-0000-0000-0000B0090000}"/>
    <cellStyle name="Percent 4 4 3" xfId="2435" xr:uid="{00000000-0005-0000-0000-0000B1090000}"/>
    <cellStyle name="Percent 4 4 4" xfId="2436" xr:uid="{00000000-0005-0000-0000-0000B2090000}"/>
    <cellStyle name="Percent 4 5" xfId="2437" xr:uid="{00000000-0005-0000-0000-0000B3090000}"/>
    <cellStyle name="Percent 4 6" xfId="2438" xr:uid="{00000000-0005-0000-0000-0000B4090000}"/>
    <cellStyle name="Percent 4 7" xfId="2439" xr:uid="{00000000-0005-0000-0000-0000B5090000}"/>
    <cellStyle name="Percent 5" xfId="2440" xr:uid="{00000000-0005-0000-0000-0000B6090000}"/>
    <cellStyle name="Percent 5 2" xfId="2441" xr:uid="{00000000-0005-0000-0000-0000B7090000}"/>
    <cellStyle name="Percent 5 2 2" xfId="2442" xr:uid="{00000000-0005-0000-0000-0000B8090000}"/>
    <cellStyle name="Percent 5 2 3" xfId="2443" xr:uid="{00000000-0005-0000-0000-0000B9090000}"/>
    <cellStyle name="Percent 5 3" xfId="2444" xr:uid="{00000000-0005-0000-0000-0000BA090000}"/>
    <cellStyle name="Percent 5 3 2" xfId="2445" xr:uid="{00000000-0005-0000-0000-0000BB090000}"/>
    <cellStyle name="Percent 5 3 3" xfId="2446" xr:uid="{00000000-0005-0000-0000-0000BC090000}"/>
    <cellStyle name="Percent 5 4" xfId="2447" xr:uid="{00000000-0005-0000-0000-0000BD090000}"/>
    <cellStyle name="Percent 5 4 2" xfId="2448" xr:uid="{00000000-0005-0000-0000-0000BE090000}"/>
    <cellStyle name="Percent 5 4 3" xfId="2449" xr:uid="{00000000-0005-0000-0000-0000BF090000}"/>
    <cellStyle name="Percent 5 5" xfId="2450" xr:uid="{00000000-0005-0000-0000-0000C0090000}"/>
    <cellStyle name="Percent 5 6" xfId="2451" xr:uid="{00000000-0005-0000-0000-0000C1090000}"/>
    <cellStyle name="Percent 6" xfId="2452" xr:uid="{00000000-0005-0000-0000-0000C2090000}"/>
    <cellStyle name="Percent 6 2" xfId="2453" xr:uid="{00000000-0005-0000-0000-0000C3090000}"/>
    <cellStyle name="Percent 6 2 2" xfId="2454" xr:uid="{00000000-0005-0000-0000-0000C4090000}"/>
    <cellStyle name="Percent 6 2 2 2" xfId="2455" xr:uid="{00000000-0005-0000-0000-0000C5090000}"/>
    <cellStyle name="Percent 6 2 2 3" xfId="2456" xr:uid="{00000000-0005-0000-0000-0000C6090000}"/>
    <cellStyle name="Percent 6 2 2 4" xfId="2457" xr:uid="{00000000-0005-0000-0000-0000C7090000}"/>
    <cellStyle name="Percent 6 2 3" xfId="2458" xr:uid="{00000000-0005-0000-0000-0000C8090000}"/>
    <cellStyle name="Percent 6 2 3 2" xfId="2459" xr:uid="{00000000-0005-0000-0000-0000C9090000}"/>
    <cellStyle name="Percent 6 2 3 3" xfId="2460" xr:uid="{00000000-0005-0000-0000-0000CA090000}"/>
    <cellStyle name="Percent 6 2 4" xfId="2461" xr:uid="{00000000-0005-0000-0000-0000CB090000}"/>
    <cellStyle name="Percent 6 2 4 2" xfId="2462" xr:uid="{00000000-0005-0000-0000-0000CC090000}"/>
    <cellStyle name="Percent 6 2 4 3" xfId="2463" xr:uid="{00000000-0005-0000-0000-0000CD090000}"/>
    <cellStyle name="Percent 6 2 5" xfId="2464" xr:uid="{00000000-0005-0000-0000-0000CE090000}"/>
    <cellStyle name="Percent 6 2 6" xfId="2465" xr:uid="{00000000-0005-0000-0000-0000CF090000}"/>
    <cellStyle name="Percent 6 3" xfId="2466" xr:uid="{00000000-0005-0000-0000-0000D0090000}"/>
    <cellStyle name="Percent 6 3 2" xfId="2467" xr:uid="{00000000-0005-0000-0000-0000D1090000}"/>
    <cellStyle name="Percent 6 3 3" xfId="2468" xr:uid="{00000000-0005-0000-0000-0000D2090000}"/>
    <cellStyle name="Percent 6 4" xfId="2469" xr:uid="{00000000-0005-0000-0000-0000D3090000}"/>
    <cellStyle name="Percent 6 4 2" xfId="2470" xr:uid="{00000000-0005-0000-0000-0000D4090000}"/>
    <cellStyle name="Percent 6 4 3" xfId="2471" xr:uid="{00000000-0005-0000-0000-0000D5090000}"/>
    <cellStyle name="Percent 6 5" xfId="2472" xr:uid="{00000000-0005-0000-0000-0000D6090000}"/>
    <cellStyle name="Percent 6 5 2" xfId="2473" xr:uid="{00000000-0005-0000-0000-0000D7090000}"/>
    <cellStyle name="Percent 6 5 3" xfId="2474" xr:uid="{00000000-0005-0000-0000-0000D8090000}"/>
    <cellStyle name="Percent 6 6" xfId="2475" xr:uid="{00000000-0005-0000-0000-0000D9090000}"/>
    <cellStyle name="Percent 6 7" xfId="2476" xr:uid="{00000000-0005-0000-0000-0000DA090000}"/>
    <cellStyle name="Percent 6 8" xfId="2477" xr:uid="{00000000-0005-0000-0000-0000DB090000}"/>
    <cellStyle name="Percent 7" xfId="2478" xr:uid="{00000000-0005-0000-0000-0000DC090000}"/>
    <cellStyle name="Percent 7 2" xfId="2479" xr:uid="{00000000-0005-0000-0000-0000DD090000}"/>
    <cellStyle name="Percent 7 2 2" xfId="2480" xr:uid="{00000000-0005-0000-0000-0000DE090000}"/>
    <cellStyle name="Percent 7 2 2 2" xfId="2481" xr:uid="{00000000-0005-0000-0000-0000DF090000}"/>
    <cellStyle name="Percent 7 2 2 3" xfId="2482" xr:uid="{00000000-0005-0000-0000-0000E0090000}"/>
    <cellStyle name="Percent 7 2 3" xfId="2483" xr:uid="{00000000-0005-0000-0000-0000E1090000}"/>
    <cellStyle name="Percent 7 2 4" xfId="2484" xr:uid="{00000000-0005-0000-0000-0000E2090000}"/>
    <cellStyle name="Percent 7 3" xfId="2485" xr:uid="{00000000-0005-0000-0000-0000E3090000}"/>
    <cellStyle name="Percent 7 3 2" xfId="2486" xr:uid="{00000000-0005-0000-0000-0000E4090000}"/>
    <cellStyle name="Percent 7 3 3" xfId="2487" xr:uid="{00000000-0005-0000-0000-0000E5090000}"/>
    <cellStyle name="Percent 7 3 4" xfId="2488" xr:uid="{00000000-0005-0000-0000-0000E6090000}"/>
    <cellStyle name="Percent 7 4" xfId="2489" xr:uid="{00000000-0005-0000-0000-0000E7090000}"/>
    <cellStyle name="Percent 7 4 2" xfId="2490" xr:uid="{00000000-0005-0000-0000-0000E8090000}"/>
    <cellStyle name="Percent 7 4 3" xfId="2491" xr:uid="{00000000-0005-0000-0000-0000E9090000}"/>
    <cellStyle name="Percent 7 5" xfId="2492" xr:uid="{00000000-0005-0000-0000-0000EA090000}"/>
    <cellStyle name="Percent 7 6" xfId="2493" xr:uid="{00000000-0005-0000-0000-0000EB090000}"/>
    <cellStyle name="Percent 7 7" xfId="2494" xr:uid="{00000000-0005-0000-0000-0000EC090000}"/>
    <cellStyle name="Percent 8" xfId="2495" xr:uid="{00000000-0005-0000-0000-0000ED090000}"/>
    <cellStyle name="Percent 8 2" xfId="2496" xr:uid="{00000000-0005-0000-0000-0000EE090000}"/>
    <cellStyle name="Percent 8 2 2" xfId="2497" xr:uid="{00000000-0005-0000-0000-0000EF090000}"/>
    <cellStyle name="Percent 8 2 3" xfId="2498" xr:uid="{00000000-0005-0000-0000-0000F0090000}"/>
    <cellStyle name="Percent 8 2 4" xfId="2499" xr:uid="{00000000-0005-0000-0000-0000F1090000}"/>
    <cellStyle name="Percent 8 3" xfId="2500" xr:uid="{00000000-0005-0000-0000-0000F2090000}"/>
    <cellStyle name="Percent 8 3 2" xfId="2501" xr:uid="{00000000-0005-0000-0000-0000F3090000}"/>
    <cellStyle name="Percent 8 3 3" xfId="2502" xr:uid="{00000000-0005-0000-0000-0000F4090000}"/>
    <cellStyle name="Percent 8 4" xfId="2503" xr:uid="{00000000-0005-0000-0000-0000F5090000}"/>
    <cellStyle name="Percent 8 4 2" xfId="2504" xr:uid="{00000000-0005-0000-0000-0000F6090000}"/>
    <cellStyle name="Percent 8 4 3" xfId="2505" xr:uid="{00000000-0005-0000-0000-0000F7090000}"/>
    <cellStyle name="Percent 8 5" xfId="2506" xr:uid="{00000000-0005-0000-0000-0000F8090000}"/>
    <cellStyle name="Percent 8 6" xfId="2507" xr:uid="{00000000-0005-0000-0000-0000F9090000}"/>
    <cellStyle name="Percent 9" xfId="2508" xr:uid="{00000000-0005-0000-0000-0000FA090000}"/>
    <cellStyle name="Percent 9 2" xfId="2509" xr:uid="{00000000-0005-0000-0000-0000FB090000}"/>
    <cellStyle name="Percent 9 2 2" xfId="2510" xr:uid="{00000000-0005-0000-0000-0000FC090000}"/>
    <cellStyle name="Percent 9 2 3" xfId="2511" xr:uid="{00000000-0005-0000-0000-0000FD090000}"/>
    <cellStyle name="Percent 9 2 4" xfId="2512" xr:uid="{00000000-0005-0000-0000-0000FE090000}"/>
    <cellStyle name="Percent 9 3" xfId="2513" xr:uid="{00000000-0005-0000-0000-0000FF090000}"/>
    <cellStyle name="Percent 9 3 2" xfId="2514" xr:uid="{00000000-0005-0000-0000-0000000A0000}"/>
    <cellStyle name="Percent 9 3 3" xfId="2515" xr:uid="{00000000-0005-0000-0000-0000010A0000}"/>
    <cellStyle name="Percent 9 4" xfId="2516" xr:uid="{00000000-0005-0000-0000-0000020A0000}"/>
    <cellStyle name="Percent 9 4 2" xfId="2517" xr:uid="{00000000-0005-0000-0000-0000030A0000}"/>
    <cellStyle name="Percent 9 4 3" xfId="2518" xr:uid="{00000000-0005-0000-0000-0000040A0000}"/>
    <cellStyle name="Percent 9 5" xfId="2519" xr:uid="{00000000-0005-0000-0000-0000050A0000}"/>
    <cellStyle name="Percent 9 6" xfId="2520" xr:uid="{00000000-0005-0000-0000-0000060A0000}"/>
    <cellStyle name="PERCENTAGE" xfId="2521" xr:uid="{00000000-0005-0000-0000-0000070A0000}"/>
    <cellStyle name="Pourcentage_pldt" xfId="2522" xr:uid="{00000000-0005-0000-0000-0000080A0000}"/>
    <cellStyle name="PrePop Currency (0)" xfId="2523" xr:uid="{00000000-0005-0000-0000-0000090A0000}"/>
    <cellStyle name="PrePop Currency (0) 2" xfId="2524" xr:uid="{00000000-0005-0000-0000-00000A0A0000}"/>
    <cellStyle name="PrePop Currency (0) 3" xfId="2525" xr:uid="{00000000-0005-0000-0000-00000B0A0000}"/>
    <cellStyle name="PrePop Currency (0) 4" xfId="2526" xr:uid="{00000000-0005-0000-0000-00000C0A0000}"/>
    <cellStyle name="PrePop Currency (0) 5" xfId="2527" xr:uid="{00000000-0005-0000-0000-00000D0A0000}"/>
    <cellStyle name="PrePop Currency (0) 6" xfId="2528" xr:uid="{00000000-0005-0000-0000-00000E0A0000}"/>
    <cellStyle name="PrePop Currency (0) 7" xfId="2529" xr:uid="{00000000-0005-0000-0000-00000F0A0000}"/>
    <cellStyle name="PrePop Currency (2)" xfId="2530" xr:uid="{00000000-0005-0000-0000-0000100A0000}"/>
    <cellStyle name="PrePop Currency (2) 2" xfId="2531" xr:uid="{00000000-0005-0000-0000-0000110A0000}"/>
    <cellStyle name="PrePop Units (0)" xfId="2532" xr:uid="{00000000-0005-0000-0000-0000120A0000}"/>
    <cellStyle name="PrePop Units (0) 2" xfId="2533" xr:uid="{00000000-0005-0000-0000-0000130A0000}"/>
    <cellStyle name="PrePop Units (0) 3" xfId="2534" xr:uid="{00000000-0005-0000-0000-0000140A0000}"/>
    <cellStyle name="PrePop Units (0) 4" xfId="2535" xr:uid="{00000000-0005-0000-0000-0000150A0000}"/>
    <cellStyle name="PrePop Units (0) 5" xfId="2536" xr:uid="{00000000-0005-0000-0000-0000160A0000}"/>
    <cellStyle name="PrePop Units (0) 6" xfId="2537" xr:uid="{00000000-0005-0000-0000-0000170A0000}"/>
    <cellStyle name="PrePop Units (0) 7" xfId="2538" xr:uid="{00000000-0005-0000-0000-0000180A0000}"/>
    <cellStyle name="PrePop Units (1)" xfId="2539" xr:uid="{00000000-0005-0000-0000-0000190A0000}"/>
    <cellStyle name="PrePop Units (1) 2" xfId="2540" xr:uid="{00000000-0005-0000-0000-00001A0A0000}"/>
    <cellStyle name="PrePop Units (1) 3" xfId="2541" xr:uid="{00000000-0005-0000-0000-00001B0A0000}"/>
    <cellStyle name="PrePop Units (1) 4" xfId="2542" xr:uid="{00000000-0005-0000-0000-00001C0A0000}"/>
    <cellStyle name="PrePop Units (1) 5" xfId="2543" xr:uid="{00000000-0005-0000-0000-00001D0A0000}"/>
    <cellStyle name="PrePop Units (1) 6" xfId="2544" xr:uid="{00000000-0005-0000-0000-00001E0A0000}"/>
    <cellStyle name="PrePop Units (1) 7" xfId="2545" xr:uid="{00000000-0005-0000-0000-00001F0A0000}"/>
    <cellStyle name="PrePop Units (2)" xfId="2546" xr:uid="{00000000-0005-0000-0000-0000200A0000}"/>
    <cellStyle name="PrePop Units (2) 2" xfId="2547" xr:uid="{00000000-0005-0000-0000-0000210A0000}"/>
    <cellStyle name="Product" xfId="2548" xr:uid="{00000000-0005-0000-0000-0000220A0000}"/>
    <cellStyle name="PSChar" xfId="2549" xr:uid="{00000000-0005-0000-0000-0000230A0000}"/>
    <cellStyle name="PSHeading" xfId="2550" xr:uid="{00000000-0005-0000-0000-0000240A0000}"/>
    <cellStyle name="PwC" xfId="2551" xr:uid="{00000000-0005-0000-0000-0000250A0000}"/>
    <cellStyle name="REFNO" xfId="2552" xr:uid="{00000000-0005-0000-0000-0000260A0000}"/>
    <cellStyle name="Reset  - Style4" xfId="2553" xr:uid="{00000000-0005-0000-0000-0000270A0000}"/>
    <cellStyle name="Reset  - Style7" xfId="2554" xr:uid="{00000000-0005-0000-0000-0000280A0000}"/>
    <cellStyle name="SAPBEXaggData" xfId="2555" xr:uid="{00000000-0005-0000-0000-0000290A0000}"/>
    <cellStyle name="SAPBEXaggDataEmph" xfId="2556" xr:uid="{00000000-0005-0000-0000-00002A0A0000}"/>
    <cellStyle name="SAPBEXaggItem" xfId="2557" xr:uid="{00000000-0005-0000-0000-00002B0A0000}"/>
    <cellStyle name="SAPBEXaggItemX" xfId="2558" xr:uid="{00000000-0005-0000-0000-00002C0A0000}"/>
    <cellStyle name="SAPBEXchaText" xfId="2559" xr:uid="{00000000-0005-0000-0000-00002D0A0000}"/>
    <cellStyle name="SAPBEXexcBad7" xfId="2560" xr:uid="{00000000-0005-0000-0000-00002E0A0000}"/>
    <cellStyle name="SAPBEXexcBad8" xfId="2561" xr:uid="{00000000-0005-0000-0000-00002F0A0000}"/>
    <cellStyle name="SAPBEXexcBad9" xfId="2562" xr:uid="{00000000-0005-0000-0000-0000300A0000}"/>
    <cellStyle name="SAPBEXexcCritical4" xfId="2563" xr:uid="{00000000-0005-0000-0000-0000310A0000}"/>
    <cellStyle name="SAPBEXexcCritical5" xfId="2564" xr:uid="{00000000-0005-0000-0000-0000320A0000}"/>
    <cellStyle name="SAPBEXexcCritical6" xfId="2565" xr:uid="{00000000-0005-0000-0000-0000330A0000}"/>
    <cellStyle name="SAPBEXexcGood1" xfId="2566" xr:uid="{00000000-0005-0000-0000-0000340A0000}"/>
    <cellStyle name="SAPBEXexcGood2" xfId="2567" xr:uid="{00000000-0005-0000-0000-0000350A0000}"/>
    <cellStyle name="SAPBEXexcGood3" xfId="2568" xr:uid="{00000000-0005-0000-0000-0000360A0000}"/>
    <cellStyle name="SAPBEXfilterDrill" xfId="2569" xr:uid="{00000000-0005-0000-0000-0000370A0000}"/>
    <cellStyle name="SAPBEXfilterItem" xfId="2570" xr:uid="{00000000-0005-0000-0000-0000380A0000}"/>
    <cellStyle name="SAPBEXfilterText" xfId="2571" xr:uid="{00000000-0005-0000-0000-0000390A0000}"/>
    <cellStyle name="SAPBEXformats" xfId="2572" xr:uid="{00000000-0005-0000-0000-00003A0A0000}"/>
    <cellStyle name="SAPBEXheaderItem" xfId="2573" xr:uid="{00000000-0005-0000-0000-00003B0A0000}"/>
    <cellStyle name="SAPBEXheaderText" xfId="2574" xr:uid="{00000000-0005-0000-0000-00003C0A0000}"/>
    <cellStyle name="SAPBEXHLevel0" xfId="2575" xr:uid="{00000000-0005-0000-0000-00003D0A0000}"/>
    <cellStyle name="SAPBEXHLevel0X" xfId="2576" xr:uid="{00000000-0005-0000-0000-00003E0A0000}"/>
    <cellStyle name="SAPBEXHLevel1" xfId="2577" xr:uid="{00000000-0005-0000-0000-00003F0A0000}"/>
    <cellStyle name="SAPBEXHLevel1X" xfId="2578" xr:uid="{00000000-0005-0000-0000-0000400A0000}"/>
    <cellStyle name="SAPBEXHLevel2" xfId="2579" xr:uid="{00000000-0005-0000-0000-0000410A0000}"/>
    <cellStyle name="SAPBEXHLevel2X" xfId="2580" xr:uid="{00000000-0005-0000-0000-0000420A0000}"/>
    <cellStyle name="SAPBEXHLevel3" xfId="2581" xr:uid="{00000000-0005-0000-0000-0000430A0000}"/>
    <cellStyle name="SAPBEXHLevel3X" xfId="2582" xr:uid="{00000000-0005-0000-0000-0000440A0000}"/>
    <cellStyle name="SAPBEXresData" xfId="2583" xr:uid="{00000000-0005-0000-0000-0000450A0000}"/>
    <cellStyle name="SAPBEXresDataEmph" xfId="2584" xr:uid="{00000000-0005-0000-0000-0000460A0000}"/>
    <cellStyle name="SAPBEXresItem" xfId="2585" xr:uid="{00000000-0005-0000-0000-0000470A0000}"/>
    <cellStyle name="SAPBEXresItemX" xfId="2586" xr:uid="{00000000-0005-0000-0000-0000480A0000}"/>
    <cellStyle name="SAPBEXstdData" xfId="2587" xr:uid="{00000000-0005-0000-0000-0000490A0000}"/>
    <cellStyle name="SAPBEXstdDataEmph" xfId="2588" xr:uid="{00000000-0005-0000-0000-00004A0A0000}"/>
    <cellStyle name="SAPBEXstdItem" xfId="2589" xr:uid="{00000000-0005-0000-0000-00004B0A0000}"/>
    <cellStyle name="SAPBEXstdItemX" xfId="2590" xr:uid="{00000000-0005-0000-0000-00004C0A0000}"/>
    <cellStyle name="SAPBEXtitle" xfId="2591" xr:uid="{00000000-0005-0000-0000-00004D0A0000}"/>
    <cellStyle name="SAPBEXundefined" xfId="2592" xr:uid="{00000000-0005-0000-0000-00004E0A0000}"/>
    <cellStyle name="Separador de milhares [0]_RESULTS" xfId="2593" xr:uid="{00000000-0005-0000-0000-00004F0A0000}"/>
    <cellStyle name="Separador de milhares_RESULTS" xfId="2594" xr:uid="{00000000-0005-0000-0000-0000500A0000}"/>
    <cellStyle name="Standaard_03 - Intangible assets" xfId="2595" xr:uid="{00000000-0005-0000-0000-0000510A0000}"/>
    <cellStyle name="STANDARD" xfId="2596" xr:uid="{00000000-0005-0000-0000-0000520A0000}"/>
    <cellStyle name="Style 1" xfId="2597" xr:uid="{00000000-0005-0000-0000-0000530A0000}"/>
    <cellStyle name="Style 1 2" xfId="2598" xr:uid="{00000000-0005-0000-0000-0000540A0000}"/>
    <cellStyle name="Style1" xfId="2599" xr:uid="{00000000-0005-0000-0000-0000550A0000}"/>
    <cellStyle name="Style2" xfId="2600" xr:uid="{00000000-0005-0000-0000-0000560A0000}"/>
    <cellStyle name="Style3" xfId="2601" xr:uid="{00000000-0005-0000-0000-0000570A0000}"/>
    <cellStyle name="Style4" xfId="2602" xr:uid="{00000000-0005-0000-0000-0000580A0000}"/>
    <cellStyle name="Style5" xfId="2603" xr:uid="{00000000-0005-0000-0000-0000590A0000}"/>
    <cellStyle name="Style6" xfId="2604" xr:uid="{00000000-0005-0000-0000-00005A0A0000}"/>
    <cellStyle name="Style7" xfId="2605" xr:uid="{00000000-0005-0000-0000-00005B0A0000}"/>
    <cellStyle name="Style8" xfId="2606" xr:uid="{00000000-0005-0000-0000-00005C0A0000}"/>
    <cellStyle name="sub" xfId="2607" xr:uid="{00000000-0005-0000-0000-00005D0A0000}"/>
    <cellStyle name="Sub-group Hdg" xfId="2608" xr:uid="{00000000-0005-0000-0000-00005E0A0000}"/>
    <cellStyle name="subhead" xfId="2609" xr:uid="{00000000-0005-0000-0000-00005F0A0000}"/>
    <cellStyle name="Sub-heading" xfId="2610" xr:uid="{00000000-0005-0000-0000-0000600A0000}"/>
    <cellStyle name="Tab H" xfId="2611" xr:uid="{00000000-0005-0000-0000-0000610A0000}"/>
    <cellStyle name="Table  - Style5" xfId="2612" xr:uid="{00000000-0005-0000-0000-0000620A0000}"/>
    <cellStyle name="Table  - Style6" xfId="2613" xr:uid="{00000000-0005-0000-0000-0000630A0000}"/>
    <cellStyle name="Table heading mmh" xfId="2614" xr:uid="{00000000-0005-0000-0000-0000640A0000}"/>
    <cellStyle name="Temp" xfId="2615" xr:uid="{00000000-0005-0000-0000-0000650A0000}"/>
    <cellStyle name="Text Indent A" xfId="2616" xr:uid="{00000000-0005-0000-0000-0000660A0000}"/>
    <cellStyle name="Text Indent A 2" xfId="2617" xr:uid="{00000000-0005-0000-0000-0000670A0000}"/>
    <cellStyle name="Text Indent B" xfId="2618" xr:uid="{00000000-0005-0000-0000-0000680A0000}"/>
    <cellStyle name="Text Indent B 2" xfId="2619" xr:uid="{00000000-0005-0000-0000-0000690A0000}"/>
    <cellStyle name="Text Indent C" xfId="2620" xr:uid="{00000000-0005-0000-0000-00006A0A0000}"/>
    <cellStyle name="Text Indent C 2" xfId="2621" xr:uid="{00000000-0005-0000-0000-00006B0A0000}"/>
    <cellStyle name="Text Indent C 3" xfId="2622" xr:uid="{00000000-0005-0000-0000-00006C0A0000}"/>
    <cellStyle name="Text Indent C 4" xfId="2623" xr:uid="{00000000-0005-0000-0000-00006D0A0000}"/>
    <cellStyle name="Text Indent C 5" xfId="2624" xr:uid="{00000000-0005-0000-0000-00006E0A0000}"/>
    <cellStyle name="Text Indent C 6" xfId="2625" xr:uid="{00000000-0005-0000-0000-00006F0A0000}"/>
    <cellStyle name="Text Indent C 7" xfId="2626" xr:uid="{00000000-0005-0000-0000-0000700A0000}"/>
    <cellStyle name="Times New Roman" xfId="2627" xr:uid="{00000000-0005-0000-0000-0000710A0000}"/>
    <cellStyle name="Title  - Style1" xfId="2628" xr:uid="{00000000-0005-0000-0000-0000720A0000}"/>
    <cellStyle name="Title  - Style6" xfId="2629" xr:uid="{00000000-0005-0000-0000-0000730A0000}"/>
    <cellStyle name="Title 2" xfId="2630" xr:uid="{00000000-0005-0000-0000-0000740A0000}"/>
    <cellStyle name="Title 2 2" xfId="2631" xr:uid="{00000000-0005-0000-0000-0000750A0000}"/>
    <cellStyle name="Title 3" xfId="2632" xr:uid="{00000000-0005-0000-0000-0000760A0000}"/>
    <cellStyle name="Title 4" xfId="2633" xr:uid="{00000000-0005-0000-0000-0000770A0000}"/>
    <cellStyle name="Title 5" xfId="2634" xr:uid="{00000000-0005-0000-0000-0000780A0000}"/>
    <cellStyle name="TITRE" xfId="2635" xr:uid="{00000000-0005-0000-0000-0000790A0000}"/>
    <cellStyle name="Titre Colonnes" xfId="2636" xr:uid="{00000000-0005-0000-0000-00007A0A0000}"/>
    <cellStyle name="tot" xfId="2637" xr:uid="{00000000-0005-0000-0000-00007B0A0000}"/>
    <cellStyle name="tot 2" xfId="2638" xr:uid="{00000000-0005-0000-0000-00007C0A0000}"/>
    <cellStyle name="Total 2" xfId="2639" xr:uid="{00000000-0005-0000-0000-00007D0A0000}"/>
    <cellStyle name="Total 2 2" xfId="2640" xr:uid="{00000000-0005-0000-0000-00007E0A0000}"/>
    <cellStyle name="Total 2 3" xfId="2641" xr:uid="{00000000-0005-0000-0000-00007F0A0000}"/>
    <cellStyle name="Total 2 3 2" xfId="2642" xr:uid="{00000000-0005-0000-0000-0000800A0000}"/>
    <cellStyle name="Total 2 3 2 2" xfId="2643" xr:uid="{00000000-0005-0000-0000-0000810A0000}"/>
    <cellStyle name="Total 2 4" xfId="2644" xr:uid="{00000000-0005-0000-0000-0000820A0000}"/>
    <cellStyle name="Total 3" xfId="2645" xr:uid="{00000000-0005-0000-0000-0000830A0000}"/>
    <cellStyle name="Total 3 2" xfId="2646" xr:uid="{00000000-0005-0000-0000-0000840A0000}"/>
    <cellStyle name="Total 3 2 2" xfId="2647" xr:uid="{00000000-0005-0000-0000-0000850A0000}"/>
    <cellStyle name="Total 4" xfId="2648" xr:uid="{00000000-0005-0000-0000-0000860A0000}"/>
    <cellStyle name="Total 4 2" xfId="2649" xr:uid="{00000000-0005-0000-0000-0000870A0000}"/>
    <cellStyle name="Total 4 2 2" xfId="2650" xr:uid="{00000000-0005-0000-0000-0000880A0000}"/>
    <cellStyle name="Total 5" xfId="2651" xr:uid="{00000000-0005-0000-0000-0000890A0000}"/>
    <cellStyle name="Total 5 2" xfId="2652" xr:uid="{00000000-0005-0000-0000-00008A0A0000}"/>
    <cellStyle name="Total 5 2 2" xfId="2653" xr:uid="{00000000-0005-0000-0000-00008B0A0000}"/>
    <cellStyle name="TotCol - Style5" xfId="2654" xr:uid="{00000000-0005-0000-0000-00008C0A0000}"/>
    <cellStyle name="TotCol - Style7" xfId="2655" xr:uid="{00000000-0005-0000-0000-00008D0A0000}"/>
    <cellStyle name="TotRow - Style4" xfId="2656" xr:uid="{00000000-0005-0000-0000-00008E0A0000}"/>
    <cellStyle name="TotRow - Style8" xfId="2657" xr:uid="{00000000-0005-0000-0000-00008F0A0000}"/>
    <cellStyle name="u" xfId="2658" xr:uid="{00000000-0005-0000-0000-0000900A0000}"/>
    <cellStyle name="u_~5800352" xfId="2659" xr:uid="{00000000-0005-0000-0000-0000910A0000}"/>
    <cellStyle name="u_~5988344" xfId="2660" xr:uid="{00000000-0005-0000-0000-0000920A0000}"/>
    <cellStyle name="u_AA" xfId="2661" xr:uid="{00000000-0005-0000-0000-0000930A0000}"/>
    <cellStyle name="u_ASFL June 2007" xfId="2662" xr:uid="{00000000-0005-0000-0000-0000940A0000}"/>
    <cellStyle name="u_BB 07-GNA" xfId="2663" xr:uid="{00000000-0005-0000-0000-0000950A0000}"/>
    <cellStyle name="u_BB 07-GNA -2" xfId="2664" xr:uid="{00000000-0005-0000-0000-0000960A0000}"/>
    <cellStyle name="u_Details of additions and deletions" xfId="2665" xr:uid="{00000000-0005-0000-0000-0000970A0000}"/>
    <cellStyle name="u_Insurance-Jan-June 2008 (version 1)" xfId="2666" xr:uid="{00000000-0005-0000-0000-0000980A0000}"/>
    <cellStyle name="u_Segment Note" xfId="2667" xr:uid="{00000000-0005-0000-0000-0000990A0000}"/>
    <cellStyle name="u_SML - Initialled FS - 2007-V7" xfId="2668" xr:uid="{00000000-0005-0000-0000-00009A0A0000}"/>
    <cellStyle name="u_SML Year End 2007 - 5 Columnar accounts" xfId="2669" xr:uid="{00000000-0005-0000-0000-00009B0A0000}"/>
    <cellStyle name="u_Ujala September 2008- MUZ(adjusted)" xfId="2670" xr:uid="{00000000-0005-0000-0000-00009C0A0000}"/>
    <cellStyle name="u_vouching" xfId="2671" xr:uid="{00000000-0005-0000-0000-00009D0A0000}"/>
    <cellStyle name="u_vouching_BB 07-GNA" xfId="2672" xr:uid="{00000000-0005-0000-0000-00009E0A0000}"/>
    <cellStyle name="u_vouching_BB 07-GNA -2" xfId="2673" xr:uid="{00000000-0005-0000-0000-00009F0A0000}"/>
    <cellStyle name="Undefine2" xfId="2674" xr:uid="{00000000-0005-0000-0000-0000A00A0000}"/>
    <cellStyle name="UNdefined" xfId="2675" xr:uid="{00000000-0005-0000-0000-0000A10A0000}"/>
    <cellStyle name="Währung [0]_4x4 Fast track Budget" xfId="2676" xr:uid="{00000000-0005-0000-0000-0000A20A0000}"/>
    <cellStyle name="Währung_4x4 Fast track Budget" xfId="2677" xr:uid="{00000000-0005-0000-0000-0000A30A0000}"/>
    <cellStyle name="Walutowy [0]_laroux" xfId="2678" xr:uid="{00000000-0005-0000-0000-0000A40A0000}"/>
    <cellStyle name="Walutowy_laroux" xfId="2679" xr:uid="{00000000-0005-0000-0000-0000A50A0000}"/>
    <cellStyle name="Warning Text 2" xfId="2680" xr:uid="{00000000-0005-0000-0000-0000A60A0000}"/>
    <cellStyle name="Warning Text 3" xfId="2681" xr:uid="{00000000-0005-0000-0000-0000A70A0000}"/>
    <cellStyle name="Warning Text 4" xfId="2682" xr:uid="{00000000-0005-0000-0000-0000A80A0000}"/>
    <cellStyle name="Warning Text 5" xfId="2683" xr:uid="{00000000-0005-0000-0000-0000A90A0000}"/>
    <cellStyle name="ปกติ_INV-รา~1" xfId="2684" xr:uid="{00000000-0005-0000-0000-0000AA0A0000}"/>
    <cellStyle name="常规_promote" xfId="2685" xr:uid="{00000000-0005-0000-0000-0000AB0A0000}"/>
    <cellStyle name="桁区切り [0.00]_20th" xfId="2686" xr:uid="{00000000-0005-0000-0000-0000AC0A0000}"/>
    <cellStyle name="桁区切り_COMPAQ" xfId="2687" xr:uid="{00000000-0005-0000-0000-0000AD0A0000}"/>
    <cellStyle name="標準_0407社内組織図" xfId="2688" xr:uid="{00000000-0005-0000-0000-0000AE0A0000}"/>
    <cellStyle name="通貨 [0.00]_COMPAQ" xfId="2689" xr:uid="{00000000-0005-0000-0000-0000AF0A0000}"/>
    <cellStyle name="通貨_20th" xfId="2690" xr:uid="{00000000-0005-0000-0000-0000B00A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88.xml"/><Relationship Id="rId21" Type="http://schemas.openxmlformats.org/officeDocument/2006/relationships/worksheet" Target="worksheets/sheet21.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63" Type="http://schemas.openxmlformats.org/officeDocument/2006/relationships/externalLink" Target="externalLinks/externalLink34.xml"/><Relationship Id="rId68" Type="http://schemas.openxmlformats.org/officeDocument/2006/relationships/externalLink" Target="externalLinks/externalLink39.xml"/><Relationship Id="rId84" Type="http://schemas.openxmlformats.org/officeDocument/2006/relationships/externalLink" Target="externalLinks/externalLink55.xml"/><Relationship Id="rId89" Type="http://schemas.openxmlformats.org/officeDocument/2006/relationships/externalLink" Target="externalLinks/externalLink60.xml"/><Relationship Id="rId112" Type="http://schemas.openxmlformats.org/officeDocument/2006/relationships/externalLink" Target="externalLinks/externalLink83.xml"/><Relationship Id="rId16" Type="http://schemas.openxmlformats.org/officeDocument/2006/relationships/worksheet" Target="worksheets/sheet16.xml"/><Relationship Id="rId107" Type="http://schemas.openxmlformats.org/officeDocument/2006/relationships/externalLink" Target="externalLinks/externalLink78.xml"/><Relationship Id="rId11" Type="http://schemas.openxmlformats.org/officeDocument/2006/relationships/worksheet" Target="worksheets/sheet11.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53" Type="http://schemas.openxmlformats.org/officeDocument/2006/relationships/externalLink" Target="externalLinks/externalLink24.xml"/><Relationship Id="rId58" Type="http://schemas.openxmlformats.org/officeDocument/2006/relationships/externalLink" Target="externalLinks/externalLink29.xml"/><Relationship Id="rId74" Type="http://schemas.openxmlformats.org/officeDocument/2006/relationships/externalLink" Target="externalLinks/externalLink45.xml"/><Relationship Id="rId79" Type="http://schemas.openxmlformats.org/officeDocument/2006/relationships/externalLink" Target="externalLinks/externalLink50.xml"/><Relationship Id="rId102" Type="http://schemas.openxmlformats.org/officeDocument/2006/relationships/externalLink" Target="externalLinks/externalLink73.xml"/><Relationship Id="rId123" Type="http://schemas.openxmlformats.org/officeDocument/2006/relationships/externalLink" Target="externalLinks/externalLink94.xml"/><Relationship Id="rId128" Type="http://schemas.openxmlformats.org/officeDocument/2006/relationships/externalLink" Target="externalLinks/externalLink99.xml"/><Relationship Id="rId5" Type="http://schemas.openxmlformats.org/officeDocument/2006/relationships/worksheet" Target="worksheets/sheet5.xml"/><Relationship Id="rId90" Type="http://schemas.openxmlformats.org/officeDocument/2006/relationships/externalLink" Target="externalLinks/externalLink61.xml"/><Relationship Id="rId95" Type="http://schemas.openxmlformats.org/officeDocument/2006/relationships/externalLink" Target="externalLinks/externalLink66.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64" Type="http://schemas.openxmlformats.org/officeDocument/2006/relationships/externalLink" Target="externalLinks/externalLink35.xml"/><Relationship Id="rId69" Type="http://schemas.openxmlformats.org/officeDocument/2006/relationships/externalLink" Target="externalLinks/externalLink40.xml"/><Relationship Id="rId113" Type="http://schemas.openxmlformats.org/officeDocument/2006/relationships/externalLink" Target="externalLinks/externalLink84.xml"/><Relationship Id="rId118" Type="http://schemas.openxmlformats.org/officeDocument/2006/relationships/externalLink" Target="externalLinks/externalLink89.xml"/><Relationship Id="rId80" Type="http://schemas.openxmlformats.org/officeDocument/2006/relationships/externalLink" Target="externalLinks/externalLink51.xml"/><Relationship Id="rId85" Type="http://schemas.openxmlformats.org/officeDocument/2006/relationships/externalLink" Target="externalLinks/externalLink56.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59" Type="http://schemas.openxmlformats.org/officeDocument/2006/relationships/externalLink" Target="externalLinks/externalLink30.xml"/><Relationship Id="rId103" Type="http://schemas.openxmlformats.org/officeDocument/2006/relationships/externalLink" Target="externalLinks/externalLink74.xml"/><Relationship Id="rId108" Type="http://schemas.openxmlformats.org/officeDocument/2006/relationships/externalLink" Target="externalLinks/externalLink79.xml"/><Relationship Id="rId124" Type="http://schemas.openxmlformats.org/officeDocument/2006/relationships/externalLink" Target="externalLinks/externalLink95.xml"/><Relationship Id="rId129" Type="http://schemas.openxmlformats.org/officeDocument/2006/relationships/theme" Target="theme/theme1.xml"/><Relationship Id="rId54" Type="http://schemas.openxmlformats.org/officeDocument/2006/relationships/externalLink" Target="externalLinks/externalLink25.xml"/><Relationship Id="rId70" Type="http://schemas.openxmlformats.org/officeDocument/2006/relationships/externalLink" Target="externalLinks/externalLink41.xml"/><Relationship Id="rId75" Type="http://schemas.openxmlformats.org/officeDocument/2006/relationships/externalLink" Target="externalLinks/externalLink46.xml"/><Relationship Id="rId91" Type="http://schemas.openxmlformats.org/officeDocument/2006/relationships/externalLink" Target="externalLinks/externalLink62.xml"/><Relationship Id="rId96" Type="http://schemas.openxmlformats.org/officeDocument/2006/relationships/externalLink" Target="externalLinks/externalLink67.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externalLink" Target="externalLinks/externalLink20.xml"/><Relationship Id="rId114" Type="http://schemas.openxmlformats.org/officeDocument/2006/relationships/externalLink" Target="externalLinks/externalLink85.xml"/><Relationship Id="rId119" Type="http://schemas.openxmlformats.org/officeDocument/2006/relationships/externalLink" Target="externalLinks/externalLink90.xml"/><Relationship Id="rId44" Type="http://schemas.openxmlformats.org/officeDocument/2006/relationships/externalLink" Target="externalLinks/externalLink15.xml"/><Relationship Id="rId60" Type="http://schemas.openxmlformats.org/officeDocument/2006/relationships/externalLink" Target="externalLinks/externalLink31.xml"/><Relationship Id="rId65" Type="http://schemas.openxmlformats.org/officeDocument/2006/relationships/externalLink" Target="externalLinks/externalLink36.xml"/><Relationship Id="rId81" Type="http://schemas.openxmlformats.org/officeDocument/2006/relationships/externalLink" Target="externalLinks/externalLink52.xml"/><Relationship Id="rId86" Type="http://schemas.openxmlformats.org/officeDocument/2006/relationships/externalLink" Target="externalLinks/externalLink57.xml"/><Relationship Id="rId130"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0.xml"/><Relationship Id="rId109" Type="http://schemas.openxmlformats.org/officeDocument/2006/relationships/externalLink" Target="externalLinks/externalLink80.xml"/><Relationship Id="rId34" Type="http://schemas.openxmlformats.org/officeDocument/2006/relationships/externalLink" Target="externalLinks/externalLink5.xml"/><Relationship Id="rId50" Type="http://schemas.openxmlformats.org/officeDocument/2006/relationships/externalLink" Target="externalLinks/externalLink21.xml"/><Relationship Id="rId55" Type="http://schemas.openxmlformats.org/officeDocument/2006/relationships/externalLink" Target="externalLinks/externalLink26.xml"/><Relationship Id="rId76" Type="http://schemas.openxmlformats.org/officeDocument/2006/relationships/externalLink" Target="externalLinks/externalLink47.xml"/><Relationship Id="rId97" Type="http://schemas.openxmlformats.org/officeDocument/2006/relationships/externalLink" Target="externalLinks/externalLink68.xml"/><Relationship Id="rId104" Type="http://schemas.openxmlformats.org/officeDocument/2006/relationships/externalLink" Target="externalLinks/externalLink75.xml"/><Relationship Id="rId120" Type="http://schemas.openxmlformats.org/officeDocument/2006/relationships/externalLink" Target="externalLinks/externalLink91.xml"/><Relationship Id="rId125" Type="http://schemas.openxmlformats.org/officeDocument/2006/relationships/externalLink" Target="externalLinks/externalLink96.xml"/><Relationship Id="rId7" Type="http://schemas.openxmlformats.org/officeDocument/2006/relationships/worksheet" Target="worksheets/sheet7.xml"/><Relationship Id="rId71" Type="http://schemas.openxmlformats.org/officeDocument/2006/relationships/externalLink" Target="externalLinks/externalLink42.xml"/><Relationship Id="rId92" Type="http://schemas.openxmlformats.org/officeDocument/2006/relationships/externalLink" Target="externalLinks/externalLink6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66" Type="http://schemas.openxmlformats.org/officeDocument/2006/relationships/externalLink" Target="externalLinks/externalLink37.xml"/><Relationship Id="rId87" Type="http://schemas.openxmlformats.org/officeDocument/2006/relationships/externalLink" Target="externalLinks/externalLink58.xml"/><Relationship Id="rId110" Type="http://schemas.openxmlformats.org/officeDocument/2006/relationships/externalLink" Target="externalLinks/externalLink81.xml"/><Relationship Id="rId115" Type="http://schemas.openxmlformats.org/officeDocument/2006/relationships/externalLink" Target="externalLinks/externalLink86.xml"/><Relationship Id="rId131" Type="http://schemas.openxmlformats.org/officeDocument/2006/relationships/sharedStrings" Target="sharedStrings.xml"/><Relationship Id="rId61" Type="http://schemas.openxmlformats.org/officeDocument/2006/relationships/externalLink" Target="externalLinks/externalLink32.xml"/><Relationship Id="rId82" Type="http://schemas.openxmlformats.org/officeDocument/2006/relationships/externalLink" Target="externalLinks/externalLink5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56" Type="http://schemas.openxmlformats.org/officeDocument/2006/relationships/externalLink" Target="externalLinks/externalLink27.xml"/><Relationship Id="rId77" Type="http://schemas.openxmlformats.org/officeDocument/2006/relationships/externalLink" Target="externalLinks/externalLink48.xml"/><Relationship Id="rId100" Type="http://schemas.openxmlformats.org/officeDocument/2006/relationships/externalLink" Target="externalLinks/externalLink71.xml"/><Relationship Id="rId105" Type="http://schemas.openxmlformats.org/officeDocument/2006/relationships/externalLink" Target="externalLinks/externalLink76.xml"/><Relationship Id="rId126" Type="http://schemas.openxmlformats.org/officeDocument/2006/relationships/externalLink" Target="externalLinks/externalLink97.xml"/><Relationship Id="rId8" Type="http://schemas.openxmlformats.org/officeDocument/2006/relationships/worksheet" Target="worksheets/sheet8.xml"/><Relationship Id="rId51" Type="http://schemas.openxmlformats.org/officeDocument/2006/relationships/externalLink" Target="externalLinks/externalLink22.xml"/><Relationship Id="rId72" Type="http://schemas.openxmlformats.org/officeDocument/2006/relationships/externalLink" Target="externalLinks/externalLink43.xml"/><Relationship Id="rId93" Type="http://schemas.openxmlformats.org/officeDocument/2006/relationships/externalLink" Target="externalLinks/externalLink64.xml"/><Relationship Id="rId98" Type="http://schemas.openxmlformats.org/officeDocument/2006/relationships/externalLink" Target="externalLinks/externalLink69.xml"/><Relationship Id="rId121" Type="http://schemas.openxmlformats.org/officeDocument/2006/relationships/externalLink" Target="externalLinks/externalLink9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externalLink" Target="externalLinks/externalLink17.xml"/><Relationship Id="rId67" Type="http://schemas.openxmlformats.org/officeDocument/2006/relationships/externalLink" Target="externalLinks/externalLink38.xml"/><Relationship Id="rId116" Type="http://schemas.openxmlformats.org/officeDocument/2006/relationships/externalLink" Target="externalLinks/externalLink87.xml"/><Relationship Id="rId20" Type="http://schemas.openxmlformats.org/officeDocument/2006/relationships/worksheet" Target="worksheets/sheet20.xml"/><Relationship Id="rId41" Type="http://schemas.openxmlformats.org/officeDocument/2006/relationships/externalLink" Target="externalLinks/externalLink12.xml"/><Relationship Id="rId62" Type="http://schemas.openxmlformats.org/officeDocument/2006/relationships/externalLink" Target="externalLinks/externalLink33.xml"/><Relationship Id="rId83" Type="http://schemas.openxmlformats.org/officeDocument/2006/relationships/externalLink" Target="externalLinks/externalLink54.xml"/><Relationship Id="rId88" Type="http://schemas.openxmlformats.org/officeDocument/2006/relationships/externalLink" Target="externalLinks/externalLink59.xml"/><Relationship Id="rId111" Type="http://schemas.openxmlformats.org/officeDocument/2006/relationships/externalLink" Target="externalLinks/externalLink82.xml"/><Relationship Id="rId132"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externalLink" Target="externalLinks/externalLink7.xml"/><Relationship Id="rId57" Type="http://schemas.openxmlformats.org/officeDocument/2006/relationships/externalLink" Target="externalLinks/externalLink28.xml"/><Relationship Id="rId106" Type="http://schemas.openxmlformats.org/officeDocument/2006/relationships/externalLink" Target="externalLinks/externalLink77.xml"/><Relationship Id="rId127" Type="http://schemas.openxmlformats.org/officeDocument/2006/relationships/externalLink" Target="externalLinks/externalLink98.xml"/><Relationship Id="rId10" Type="http://schemas.openxmlformats.org/officeDocument/2006/relationships/worksheet" Target="worksheets/sheet10.xml"/><Relationship Id="rId31" Type="http://schemas.openxmlformats.org/officeDocument/2006/relationships/externalLink" Target="externalLinks/externalLink2.xml"/><Relationship Id="rId52" Type="http://schemas.openxmlformats.org/officeDocument/2006/relationships/externalLink" Target="externalLinks/externalLink23.xml"/><Relationship Id="rId73" Type="http://schemas.openxmlformats.org/officeDocument/2006/relationships/externalLink" Target="externalLinks/externalLink44.xml"/><Relationship Id="rId78" Type="http://schemas.openxmlformats.org/officeDocument/2006/relationships/externalLink" Target="externalLinks/externalLink49.xml"/><Relationship Id="rId94" Type="http://schemas.openxmlformats.org/officeDocument/2006/relationships/externalLink" Target="externalLinks/externalLink65.xml"/><Relationship Id="rId99" Type="http://schemas.openxmlformats.org/officeDocument/2006/relationships/externalLink" Target="externalLinks/externalLink70.xml"/><Relationship Id="rId101" Type="http://schemas.openxmlformats.org/officeDocument/2006/relationships/externalLink" Target="externalLinks/externalLink72.xml"/><Relationship Id="rId122" Type="http://schemas.openxmlformats.org/officeDocument/2006/relationships/externalLink" Target="externalLinks/externalLink9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s>
</file>

<file path=xl/drawings/_rels/drawing1.x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16</xdr:col>
          <xdr:colOff>333375</xdr:colOff>
          <xdr:row>162</xdr:row>
          <xdr:rowOff>0</xdr:rowOff>
        </xdr:from>
        <xdr:to>
          <xdr:col>22</xdr:col>
          <xdr:colOff>333375</xdr:colOff>
          <xdr:row>162</xdr:row>
          <xdr:rowOff>0</xdr:rowOff>
        </xdr:to>
        <xdr:pic>
          <xdr:nvPicPr>
            <xdr:cNvPr id="58103" name="Picture 8">
              <a:extLst>
                <a:ext uri="{FF2B5EF4-FFF2-40B4-BE49-F238E27FC236}">
                  <a16:creationId xmlns:a16="http://schemas.microsoft.com/office/drawing/2014/main" id="{00000000-0008-0000-0A00-0000F7E20000}"/>
                </a:ext>
              </a:extLst>
            </xdr:cNvPr>
            <xdr:cNvPicPr>
              <a:picLocks noChangeAspect="1" noChangeArrowheads="1"/>
              <a:extLst>
                <a:ext uri="{84589F7E-364E-4C9E-8A38-B11213B215E9}">
                  <a14:cameraTool cellRange="#REF!" spid="_x0000_s83985"/>
                </a:ext>
              </a:extLst>
            </xdr:cNvPicPr>
          </xdr:nvPicPr>
          <xdr:blipFill>
            <a:blip xmlns:r="http://schemas.openxmlformats.org/officeDocument/2006/relationships" r:embed="rId1">
              <a:extLst>
                <a:ext uri="{28A0092B-C50C-407E-A947-70E740481C1C}">
                  <a14:useLocalDpi val="0"/>
                </a:ext>
              </a:extLst>
            </a:blip>
            <a:srcRect/>
            <a:stretch>
              <a:fillRect/>
            </a:stretch>
          </xdr:blipFill>
          <xdr:spPr>
            <a:xfrm>
              <a:off x="10609580" y="23367365"/>
              <a:ext cx="6490335" cy="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mac/Downloads/Server2/Clients/share/miscellaneous/Month%20and%20department%20wise%20financials/Post%20BRM/Budget2005_221204.xls" TargetMode="External"/><Relationship Id="rId1" Type="http://schemas.openxmlformats.org/officeDocument/2006/relationships/externalLinkPath" Target="/Users/mac/Downloads/Server2/Clients/share/miscellaneous/Month%20and%20department%20wise%20financials/Post%20BRM/Budget2005_221204.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mac/Downloads/fin-kp-22/Deferred%20Tax/Documents%20and%20Settings/ather.s/Local%20Settings/Temporary%20Internet%20Files/OLK175/OA%20Add%20Jan-Mar%202002.xls" TargetMode="External"/><Relationship Id="rId1" Type="http://schemas.openxmlformats.org/officeDocument/2006/relationships/externalLinkPath" Target="/Users/mac/Downloads/fin-kp-22/Deferred%20Tax/Documents%20and%20Settings/ather.s/Local%20Settings/Temporary%20Internet%20Files/OLK175/OA%20Add%20Jan-Mar%202002.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ac/Downloads/hr-intern/Zainab/my%20work/National%20Human%20Resource%20Management/HRMIS/pakistan%20programme%20consolidated%20hr/HR%20Reports%20and%20Updates/HRMIS%20Mar%20-07.xls" TargetMode="External"/><Relationship Id="rId1" Type="http://schemas.openxmlformats.org/officeDocument/2006/relationships/externalLinkPath" Target="/Users/mac/Downloads/hr-intern/Zainab/my%20work/National%20Human%20Resource%20Management/HRMIS/pakistan%20programme%20consolidated%20hr/HR%20Reports%20and%20Updates/HRMIS%20Mar%20-07.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mac/Downloads/Pittress/Sabah%20Pakistan/abid%20raza/accounts/ashfaq%20textile.XLS" TargetMode="External"/><Relationship Id="rId1" Type="http://schemas.openxmlformats.org/officeDocument/2006/relationships/externalLinkPath" Target="/Users/mac/Downloads/Pittress/Sabah%20Pakistan/abid%20raza/accounts/ashfaq%20textile.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Project%20Cost%201991-92%20to%202000-2001.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n-kp-22/Deferred%20Tax/Documents%20and%20Settings/ather.s/Local%20Settings/Temporary%20Internet%20Files/OLK175/OA%20Add%20Jan-Mar%202002.xls" TargetMode="External"/><Relationship Id="rId1" Type="http://schemas.openxmlformats.org/officeDocument/2006/relationships/externalLinkPath" Target="/fin-kp-22/Deferred%20Tax/Documents%20and%20Settings/ather.s/Local%20Settings/Temporary%20Internet%20Files/OLK175/OA%20Add%20Jan-Mar%202002.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mac/Downloads/Pk-isbadtstd03/share%20std3/Documents%20and%20Settings/aamerjamal/Local%20Settings/Temporary%20Internet%20Files/OLK62/FCCL-Financial%20statements-%20updated%20(2).xls" TargetMode="External"/><Relationship Id="rId1" Type="http://schemas.openxmlformats.org/officeDocument/2006/relationships/externalLinkPath" Target="/Users/mac/Downloads/Pk-isbadtstd03/share%20std3/Documents%20and%20Settings/aamerjamal/Local%20Settings/Temporary%20Internet%20Files/OLK62/FCCL-Financial%20statements-%20updated%20(2).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partment%20wise-Exp.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mac/Downloads/D:/bilal/Bilal/Audit%20Data/TF%20Pipes%202009/Bilal/Accounts/Book1.xls" TargetMode="External"/><Relationship Id="rId1" Type="http://schemas.openxmlformats.org/officeDocument/2006/relationships/externalLinkPath" Target="/Users/mac/Downloads/D:/bilal/Bilal/Audit%20Data/TF%20Pipes%202009/Bilal/Accounts/Book1.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mac/Downloads/PITTRES/Documents%20and%20Settings/TaimoorPervaiz/Local%20Settings/Temporary%20Internet%20Files/Content.Outlook/JDZIXMF6/Audit00/Book1.xls" TargetMode="External"/><Relationship Id="rId1" Type="http://schemas.openxmlformats.org/officeDocument/2006/relationships/externalLinkPath" Target="/Users/mac/Downloads/PITTRES/Documents%20and%20Settings/TaimoorPervaiz/Local%20Settings/Temporary%20Internet%20Files/Content.Outlook/JDZIXMF6/Audit00/Book1.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riaz/E/AUDIT/DGKHAN/DG%20Khan%20Accounts%20forthe%20year%202004/DG%20accounts%202004.xls" TargetMode="External"/><Relationship Id="rId1" Type="http://schemas.openxmlformats.org/officeDocument/2006/relationships/externalLinkPath" Target="/riaz/E/AUDIT/DGKHAN/DG%20Khan%20Accounts%20forthe%20year%202004/DG%20accounts%202004.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Audit-1/my%20documents/Syed%20Farhan%20Ali/CTM-2001/Y-004-01.xls" TargetMode="External"/><Relationship Id="rId1" Type="http://schemas.openxmlformats.org/officeDocument/2006/relationships/externalLinkPath" Target="/Audit-1/my%20documents/Syed%20Farhan%20Ali/CTM-2001/Y-004-01.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Raheel/e/Audit/LAST%2013%20YEARS%20DATA/AUDIT-2005/audits/ABID%20AUDIT2004/4444GONDAAAAAL/G-017-200444.xls" TargetMode="External"/><Relationship Id="rId1" Type="http://schemas.openxmlformats.org/officeDocument/2006/relationships/externalLinkPath" Target="/Raheel/e/Audit/LAST%2013%20YEARS%20DATA/AUDIT-2005/audits/ABID%20AUDIT2004/4444GONDAAAAAL/G-017-200444.xls"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mac/Downloads/Pittress-gill/Hillview%20Builders/abid%20raza/accounts/ishaq%20textile.xls" TargetMode="External"/><Relationship Id="rId1" Type="http://schemas.openxmlformats.org/officeDocument/2006/relationships/externalLinkPath" Target="/Users/mac/Downloads/Pittress-gill/Hillview%20Builders/abid%20raza/accounts/ishaq%20textile.xls"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aisal/d/Office%20Document%202001/Office%20Document%20(2000)/Excel%20Work/Accounts%20Statements%201999.xls" TargetMode="External"/><Relationship Id="rId1" Type="http://schemas.openxmlformats.org/officeDocument/2006/relationships/externalLinkPath" Target="/Faisal/d/Office%20Document%202001/Office%20Document%20(2000)/Excel%20Work/Accounts%20Statements%201999.xls"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USMANI/C/WINDOWS/TEMP/Y-004-2002.xls" TargetMode="External"/><Relationship Id="rId1" Type="http://schemas.openxmlformats.org/officeDocument/2006/relationships/externalLinkPath" Target="/USMANI/C/WINDOWS/TEMP/Y-004-2002.xls"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USMANI/C/My%20Documents/AAK%20&amp;%20CO/My%20Music/Y-004-2002.xls" TargetMode="External"/><Relationship Id="rId1" Type="http://schemas.openxmlformats.org/officeDocument/2006/relationships/externalLinkPath" Target="/USMANI/C/My%20Documents/AAK%20&amp;%20CO/My%20Music/Y-004-2002.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mac/Downloads/Storageserver/Budget/Links.xls" TargetMode="External"/><Relationship Id="rId1" Type="http://schemas.openxmlformats.org/officeDocument/2006/relationships/externalLinkPath" Target="/Users/mac/Downloads/Storageserver/Budget/Links.xls"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mac/Downloads/Server/clients/JAQ%20Trust/JAQ%202006/2004-2005.xls" TargetMode="External"/><Relationship Id="rId1" Type="http://schemas.openxmlformats.org/officeDocument/2006/relationships/externalLinkPath" Target="/Users/mac/Downloads/Server/clients/JAQ%20Trust/JAQ%202006/2004-2005.xl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Budget2005-VAS%20Inputs.xls"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Affserver/D%20on%20Akbar/Documents%20and%20Settings/audit/My%20Documents/Colligo%20Received%20Files/Fst/desktop/Hashim/Accounts/FMC2004%20linked-UK.xls" TargetMode="External"/><Relationship Id="rId1" Type="http://schemas.openxmlformats.org/officeDocument/2006/relationships/externalLinkPath" Target="/Affserver/D%20on%20Akbar/Documents%20and%20Settings/audit/My%20Documents/Colligo%20Received%20Files/Fst/desktop/Hashim/Accounts/FMC2004%20linked-UK.xls"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mac/Downloads/Server2/Clients/share/miscellaneous/Month%20and%20department%20wise%20financials/Documents%20and%20Settings/munawar.s/Desktop/Accounts/Accounts/PMCL%20Accounts/Pl%20%20Jun%202005.xls" TargetMode="External"/><Relationship Id="rId1" Type="http://schemas.openxmlformats.org/officeDocument/2006/relationships/externalLinkPath" Target="/Users/mac/Downloads/Server2/Clients/share/miscellaneous/Month%20and%20department%20wise%20financials/Documents%20and%20Settings/munawar.s/Desktop/Accounts/Accounts/PMCL%20Accounts/Pl%20%20Jun%202005.xls" TargetMode="External"/></Relationships>
</file>

<file path=xl/externalLinks/_rels/externalLink23.xml.rels><?xml version="1.0" encoding="UTF-8" standalone="yes"?>
<Relationships xmlns="http://schemas.openxmlformats.org/package/2006/relationships"><Relationship Id="rId3" Type="http://schemas.openxmlformats.org/officeDocument/2006/relationships/externalLinkPath" Target="../../mac/Downloads/J:/Audit%20Data/Education/Awais'%20Data/FLASH%20DRIVE'S%20DATA/HLB%20KABUL/HLB%20Formats/Format%20by%20Ehtisham/IJAZ%20TABUSSUM/Final%20accounts-TARIQ/Back%20up/WEEKLY%20SALES%20SUMMARY/Sales%20Report-07-08/FEB--08/27-02-08/YEAR%202006-2007/Sales%20Report%202005-06%20(D--L).xls" TargetMode="External"/><Relationship Id="rId2" Type="http://schemas.microsoft.com/office/2019/04/relationships/externalLinkLongPath" Target="/Users/mac/Downloads/J:/Audit%20Data/Education/Awais'%20Data/FLASH%20DRIVE'S%20DATA/HLB%20KABUL/HLB%20Formats/Format%20by%20Ehtisham/IJAZ%20TABUSSUM/Final%20accounts-TARIQ/Back%20up/WEEKLY%20SALES%20SUMMARY/Sales%20Report-07-08/FEB--08/27-02-08/YEAR%202006-2007/Sales%20Report%202005-06%20(D--L).xls?365B3556" TargetMode="External"/><Relationship Id="rId1" Type="http://schemas.openxmlformats.org/officeDocument/2006/relationships/externalLinkPath" Target="file:///\\365B3556\Sales%20Report%202005-06%20(D--L).xls"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mac/Downloads/Storageserver/budget/Year%202003/Y%202003_3+9/Collect_03%203+9/Collect_03%20Bdg%203+9.xls" TargetMode="External"/><Relationship Id="rId1" Type="http://schemas.openxmlformats.org/officeDocument/2006/relationships/externalLinkPath" Target="/Users/mac/Downloads/Storageserver/budget/Year%202003/Y%202003_3+9/Collect_03%203+9/Collect_03%20Bdg%203+9.xls"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mac/Downloads/Finkabul/SHARED%20Guillaume%20Farid/Mes%20documents/COORDO_ADMIN/1%20ADMIN/03%20PROJECTS%20EN%20COURS/DG%20582/Audit/2008/preparation/THAILANDE%20EXEMPLE/Working%20doc%201st%20AUDIT%2007DG581.xls" TargetMode="External"/><Relationship Id="rId1" Type="http://schemas.openxmlformats.org/officeDocument/2006/relationships/externalLinkPath" Target="/Users/mac/Downloads/Finkabul/SHARED%20Guillaume%20Farid/Mes%20documents/COORDO_ADMIN/1%20ADMIN/03%20PROJECTS%20EN%20COURS/DG%20582/Audit/2008/preparation/THAILANDE%20EXEMPLE/Working%20doc%201st%20AUDIT%2007DG581.xls"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Fixed%20Assets%202004%20(1ST%20ADJ).xls"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mac/Downloads/J:/BankeMilli/Afghan%20Land/Khiam%20Qasimi%20LTD/financial%201392-Khiam.xlsx" TargetMode="External"/><Relationship Id="rId1" Type="http://schemas.openxmlformats.org/officeDocument/2006/relationships/externalLinkPath" Target="/Users/mac/Downloads/J:/BankeMilli/Afghan%20Land/Khiam%20Qasimi%20LTD/financial%201392-Khiam.xlsx"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Riaz/E/afferguson%20&amp;%20co/SV-varioline.XLS" TargetMode="External"/><Relationship Id="rId1" Type="http://schemas.openxmlformats.org/officeDocument/2006/relationships/externalLinkPath" Target="/Riaz/E/afferguson%20&amp;%20co/SV-varioline.XLS"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mac/Downloads/finkp-123/share/Documents%20and%20Settings/jawad.z/Local%20Settings/Temporary%20Internet%20Files/OLK198E/New%20Folder/Budget.xls" TargetMode="External"/><Relationship Id="rId1" Type="http://schemas.openxmlformats.org/officeDocument/2006/relationships/externalLinkPath" Target="/Users/mac/Downloads/finkp-123/share/Documents%20and%20Settings/jawad.z/Local%20Settings/Temporary%20Internet%20Files/OLK198E/New%20Folder/Budget.xls"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finkp-123/share/Documents%20and%20Settings/jawad.z/Local%20Settings/Temporary%20Internet%20Files/OLK198E/New%20Folder/Budget.xls" TargetMode="External"/><Relationship Id="rId1" Type="http://schemas.openxmlformats.org/officeDocument/2006/relationships/externalLinkPath" Target="/finkp-123/share/Documents%20and%20Settings/jawad.z/Local%20Settings/Temporary%20Internet%20Files/OLK198E/New%20Folder/Budget.xls" TargetMode="External"/></Relationships>
</file>

<file path=xl/externalLinks/_rels/externalLink31.xml.rels><?xml version="1.0" encoding="UTF-8" standalone="yes"?>
<Relationships xmlns="http://schemas.openxmlformats.org/package/2006/relationships"><Relationship Id="rId2" Type="http://schemas.openxmlformats.org/officeDocument/2006/relationships/externalLinkPath" Target="../../mac/Downloads/PITTRES/PMCL/Accounts/Quarterly%20accounts/2009/1st%20qtr/Quarterly%20accounts/IFRS%20FS/PMCL%20YTD%20-%20Mar09%20IFRS%20(Loans).xls" TargetMode="External"/><Relationship Id="rId1" Type="http://schemas.openxmlformats.org/officeDocument/2006/relationships/externalLinkPath" Target="/Users/mac/Downloads/PITTRES/PMCL/Accounts/Quarterly%20accounts/2009/1st%20qtr/Quarterly%20accounts/IFRS%20FS/PMCL%20YTD%20-%20Mar09%20IFRS%20(Loans).xls"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mac/Downloads/D:/PMCL/Accounts/Quarterly%20accounts/2009/1st%20qtr/Quarterly%20accounts/IFRS%20FS/PMCL%20YTD%20-%20Mar09%20IFRS%20(Loans).xls" TargetMode="External"/><Relationship Id="rId1" Type="http://schemas.openxmlformats.org/officeDocument/2006/relationships/externalLinkPath" Target="/Users/mac/Downloads/D:/PMCL/Accounts/Quarterly%20accounts/2009/1st%20qtr/Quarterly%20accounts/IFRS%20FS/PMCL%20YTD%20-%20Mar09%20IFRS%20(Loans).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Loan%20split.xls"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Mobilink%20BP%20V.9%20April%202003%201.66M%20Subs.xls" TargetMode="External"/></Relationships>
</file>

<file path=xl/externalLinks/_rels/externalLink35.xml.rels><?xml version="1.0" encoding="UTF-8" standalone="yes"?>
<Relationships xmlns="http://schemas.openxmlformats.org/package/2006/relationships"><Relationship Id="rId2" Type="http://schemas.openxmlformats.org/officeDocument/2006/relationships/externalLinkPath" Target="../../mac/Downloads/F:/Lok%20Sanjh%20Projects/Central%20Punjab/Period%20ended%2030-06-09/Final%20Accounts%2028-09-09.xls" TargetMode="External"/><Relationship Id="rId1" Type="http://schemas.openxmlformats.org/officeDocument/2006/relationships/externalLinkPath" Target="/Users/mac/Downloads/F:/Lok%20Sanjh%20Projects/Central%20Punjab/Period%20ended%2030-06-09/Final%20Accounts%2028-09-09.xls" TargetMode="External"/></Relationships>
</file>

<file path=xl/externalLinks/_rels/externalLink36.xml.rels><?xml version="1.0" encoding="UTF-8" standalone="yes"?>
<Relationships xmlns="http://schemas.openxmlformats.org/package/2006/relationships"><Relationship Id="rId2" Type="http://schemas.openxmlformats.org/officeDocument/2006/relationships/externalLinkPath" Target="../../mac/Downloads/D:/Lok%20Sanjh%20Projects/Central%20Punjab/Period%20ended%2030-06-09/Final%20Accounts%2028-09-09.xls" TargetMode="External"/><Relationship Id="rId1" Type="http://schemas.openxmlformats.org/officeDocument/2006/relationships/externalLinkPath" Target="/Users/mac/Downloads/D:/Lok%20Sanjh%20Projects/Central%20Punjab/Period%20ended%2030-06-09/Final%20Accounts%2028-09-09.xls"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mac/Downloads/Pc3/c/WINDOWS/Desktop/last%20year%20audit%20working/AASC/trail/TRIL9900.XLS" TargetMode="External"/><Relationship Id="rId1" Type="http://schemas.openxmlformats.org/officeDocument/2006/relationships/externalLinkPath" Target="/Users/mac/Downloads/Pc3/c/WINDOWS/Desktop/last%20year%20audit%20working/AASC/trail/TRIL9900.XLS"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Pc3/c/WINDOWS/Desktop/last%20year%20audit%20working/AASC/trail/TRIL9900.XLS" TargetMode="External"/><Relationship Id="rId1" Type="http://schemas.openxmlformats.org/officeDocument/2006/relationships/externalLinkPath" Target="/Pc3/c/WINDOWS/Desktop/last%20year%20audit%20working/AASC/trail/TRIL9900.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mac/Downloads/J:/Consolidation%202001/AffUa/Reports/Package2000.xls" TargetMode="External"/><Relationship Id="rId1" Type="http://schemas.openxmlformats.org/officeDocument/2006/relationships/externalLinkPath" Target="/Users/mac/Downloads/J:/Consolidation%202001/AffUa/Reports/Package2000.xls"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SIRS.xls" TargetMode="External"/></Relationships>
</file>

<file path=xl/externalLinks/_rels/externalLink41.xml.rels><?xml version="1.0" encoding="UTF-8" standalone="yes"?>
<Relationships xmlns="http://schemas.openxmlformats.org/package/2006/relationships"><Relationship Id="rId1" Type="http://schemas.microsoft.com/office/2006/relationships/xlExternalLinkPath/xlPathMissing" Target="Dashboard%20Feb%2004.xls"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mac/Downloads/F:/auditwork/My%20Documents/Ali's%20Work/Accounts%202004-2005/Lease%20Amortization.xlt" TargetMode="External"/><Relationship Id="rId1" Type="http://schemas.openxmlformats.org/officeDocument/2006/relationships/externalLinkPath" Target="/Users/mac/Downloads/F:/auditwork/My%20Documents/Ali's%20Work/Accounts%202004-2005/Lease%20Amortization.xlt"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Server/auditwork/My%20Documents/Ali's%20Work/Accounts%202004-2005/Lease%20Amortization.xlt" TargetMode="External"/><Relationship Id="rId1" Type="http://schemas.openxmlformats.org/officeDocument/2006/relationships/externalLinkPath" Target="/Server/auditwork/My%20Documents/Ali's%20Work/Accounts%202004-2005/Lease%20Amortization.xlt"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mac/Downloads/PITTRES/KMR%20Audit%202005/Comsats%20Audt%202005/Working%20Paper/Liabilities/lease%20amortization/Loan%20Amortization1--2%20SINGLE%20CABINS%20FOR%20LTE%20FROM%20BANK%20AL-FALH%20ON%20LEASE.xls" TargetMode="External"/><Relationship Id="rId1" Type="http://schemas.openxmlformats.org/officeDocument/2006/relationships/externalLinkPath" Target="/Users/mac/Downloads/PITTRES/KMR%20Audit%202005/Comsats%20Audt%202005/Working%20Paper/Liabilities/lease%20amortization/Loan%20Amortization1--2%20SINGLE%20CABINS%20FOR%20LTE%20FROM%20BANK%20AL-FALH%20ON%20LEASE.xls" TargetMode="External"/></Relationships>
</file>

<file path=xl/externalLinks/_rels/externalLink45.xml.rels><?xml version="1.0" encoding="UTF-8" standalone="yes"?>
<Relationships xmlns="http://schemas.openxmlformats.org/package/2006/relationships"><Relationship Id="rId2" Type="http://schemas.openxmlformats.org/officeDocument/2006/relationships/externalLinkPath" Target="../../mac/Downloads/Z:/My%20Documents/Ali's%20Work/Accounts%202004-2005/Lease%20Amortization.xlt" TargetMode="External"/><Relationship Id="rId1" Type="http://schemas.openxmlformats.org/officeDocument/2006/relationships/externalLinkPath" Target="/Users/mac/Downloads/Z:/My%20Documents/Ali's%20Work/Accounts%202004-2005/Lease%20Amortization.xlt" TargetMode="External"/></Relationships>
</file>

<file path=xl/externalLinks/_rels/externalLink46.xml.rels><?xml version="1.0" encoding="UTF-8" standalone="yes"?>
<Relationships xmlns="http://schemas.openxmlformats.org/package/2006/relationships"><Relationship Id="rId2" Type="http://schemas.openxmlformats.org/officeDocument/2006/relationships/externalLinkPath" Target="../../mac/Downloads/J:/Accounts/Unibro/Unibro/2005/UNIBRO%20LEAD/Backup%20of%20Unibro_Lead_05.xlk" TargetMode="External"/><Relationship Id="rId1" Type="http://schemas.openxmlformats.org/officeDocument/2006/relationships/externalLinkPath" Target="/Users/mac/Downloads/J:/Accounts/Unibro/Unibro/2005/UNIBRO%20LEAD/Backup%20of%20Unibro_Lead_05.xlk" TargetMode="External"/></Relationships>
</file>

<file path=xl/externalLinks/_rels/externalLink47.xml.rels><?xml version="1.0" encoding="UTF-8" standalone="yes"?>
<Relationships xmlns="http://schemas.openxmlformats.org/package/2006/relationships"><Relationship Id="rId1" Type="http://schemas.microsoft.com/office/2006/relationships/xlExternalLinkPath/xlPathMissing" Target="INITIALLED%20ACCOUNTS-2005(updated%2018-10-05).xls" TargetMode="External"/></Relationships>
</file>

<file path=xl/externalLinks/_rels/externalLink48.xml.rels><?xml version="1.0" encoding="UTF-8" standalone="yes"?>
<Relationships xmlns="http://schemas.openxmlformats.org/package/2006/relationships"><Relationship Id="rId2" Type="http://schemas.openxmlformats.org/officeDocument/2006/relationships/externalLinkPath" Target="../../mac/Downloads/Server/f/My%20Documents/data%20a/RETURN%20FORM.xls" TargetMode="External"/><Relationship Id="rId1" Type="http://schemas.openxmlformats.org/officeDocument/2006/relationships/externalLinkPath" Target="/Users/mac/Downloads/Server/f/My%20Documents/data%20a/RETURN%20FORM.xls" TargetMode="External"/></Relationships>
</file>

<file path=xl/externalLinks/_rels/externalLink49.xml.rels><?xml version="1.0" encoding="UTF-8" standalone="yes"?>
<Relationships xmlns="http://schemas.openxmlformats.org/package/2006/relationships"><Relationship Id="rId2" Type="http://schemas.openxmlformats.org/officeDocument/2006/relationships/externalLinkPath" Target="../../mac/Downloads/fin-kp-49/Shared%20Folder/Pl%20%20Jun%202005.xls" TargetMode="External"/><Relationship Id="rId1" Type="http://schemas.openxmlformats.org/officeDocument/2006/relationships/externalLinkPath" Target="/Users/mac/Downloads/fin-kp-49/Shared%20Folder/Pl%20%20Jun%202005.xls"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fin-kp-49/Shared%20Folder/Pl%20%20Jun%202005.xls" TargetMode="External"/><Relationship Id="rId1" Type="http://schemas.openxmlformats.org/officeDocument/2006/relationships/externalLinkPath" Target="/fin-kp-49/Shared%20Folder/Pl%20%20Jun%202005.xls" TargetMode="External"/></Relationships>
</file>

<file path=xl/externalLinks/_rels/externalLink51.xml.rels><?xml version="1.0" encoding="UTF-8" standalone="yes"?>
<Relationships xmlns="http://schemas.openxmlformats.org/package/2006/relationships"><Relationship Id="rId1" Type="http://schemas.microsoft.com/office/2006/relationships/xlExternalLinkPath/xlPathMissing" Target="Back%20up%20==%20%20Sales%20June%2030,%20%202004.xls" TargetMode="External"/></Relationships>
</file>

<file path=xl/externalLinks/_rels/externalLink52.xml.rels><?xml version="1.0" encoding="UTF-8" standalone="yes"?>
<Relationships xmlns="http://schemas.openxmlformats.org/package/2006/relationships"><Relationship Id="rId2" Type="http://schemas.openxmlformats.org/officeDocument/2006/relationships/externalLinkPath" Target="../../mac/Downloads/J:/Users/Fakoor/Downloads/Finance/CAF-Finance/1-CAF-Finance/5-2011/New-CAF%20Chart%20of%20Account/1-Admin/1-PPG%20Project/1-ADMIN%20REPORT/PHILIPPE/MATIN/ADMIN/APLICANT.XLS" TargetMode="External"/><Relationship Id="rId1" Type="http://schemas.openxmlformats.org/officeDocument/2006/relationships/externalLinkPath" Target="/Users/mac/Downloads/J:/Users/Fakoor/Downloads/Finance/CAF-Finance/1-CAF-Finance/5-2011/New-CAF%20Chart%20of%20Account/1-Admin/1-PPG%20Project/1-ADMIN%20REPORT/PHILIPPE/MATIN/ADMIN/APLICANT.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Server/f/My%20Documents/data%20a/RETURN%20FORM.xls" TargetMode="External"/><Relationship Id="rId1" Type="http://schemas.openxmlformats.org/officeDocument/2006/relationships/externalLinkPath" Target="/Server/f/My%20Documents/data%20a/RETURN%20FORM.xls" TargetMode="External"/></Relationships>
</file>

<file path=xl/externalLinks/_rels/externalLink54.xml.rels><?xml version="1.0" encoding="UTF-8" standalone="yes"?>
<Relationships xmlns="http://schemas.openxmlformats.org/package/2006/relationships"><Relationship Id="rId2" Type="http://schemas.openxmlformats.org/officeDocument/2006/relationships/externalLinkPath" Target="../../ATEEQ/Documents/Loan%20Amortisation%20Sshedule.xlsx" TargetMode="External"/><Relationship Id="rId1" Type="http://schemas.openxmlformats.org/officeDocument/2006/relationships/externalLinkPath" Target="/Users/ATEEQ/Documents/Loan%20Amortisation%20Sshedule.xlsx" TargetMode="External"/></Relationships>
</file>

<file path=xl/externalLinks/_rels/externalLink55.xml.rels><?xml version="1.0" encoding="UTF-8" standalone="yes"?>
<Relationships xmlns="http://schemas.openxmlformats.org/package/2006/relationships"><Relationship Id="rId2" Type="http://schemas.openxmlformats.org/officeDocument/2006/relationships/externalLinkPath" Target="../../mac/Downloads/Q:/HCPU017/KHAWAR/LCRG-FS.xls" TargetMode="External"/><Relationship Id="rId1" Type="http://schemas.openxmlformats.org/officeDocument/2006/relationships/externalLinkPath" Target="/Users/mac/Downloads/Q:/HCPU017/KHAWAR/LCRG-FS.xls" TargetMode="External"/></Relationships>
</file>

<file path=xl/externalLinks/_rels/externalLink56.xml.rels><?xml version="1.0" encoding="UTF-8" standalone="yes"?>
<Relationships xmlns="http://schemas.openxmlformats.org/package/2006/relationships"><Relationship Id="rId2" Type="http://schemas.openxmlformats.org/officeDocument/2006/relationships/externalLinkPath" Target="../../../Server/share%20folder/OGRA/KMR%20Audit%202005/Comsats%20Audt%202005/Working%20Paper/Liabilities/lease%20amortization/Loan%20Amortization1--2%20SINGLE%20CABINS%20FOR%20LTE%20FROM%20BANK%20AL-FALH%20ON%20LEASE.xls" TargetMode="External"/><Relationship Id="rId1" Type="http://schemas.openxmlformats.org/officeDocument/2006/relationships/externalLinkPath" Target="/Server/share%20folder/OGRA/KMR%20Audit%202005/Comsats%20Audt%202005/Working%20Paper/Liabilities/lease%20amortization/Loan%20Amortization1--2%20SINGLE%20CABINS%20FOR%20LTE%20FROM%20BANK%20AL-FALH%20ON%20LEASE.xls"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Documents%20and%20Settings/Pia%20Chesnais/My%20Documents/Afghanistan/PPG/WHO/Work%20Plans/PPG%20Master%20Work%20Plan%20-%20BPHS%20and%20EPHS%20-%2013%20Aug%202006.xls" TargetMode="External"/><Relationship Id="rId1" Type="http://schemas.openxmlformats.org/officeDocument/2006/relationships/externalLinkPath" Target="/Documents%20and%20Settings/Pia%20Chesnais/My%20Documents/Afghanistan/PPG/WHO/Work%20Plans/PPG%20Master%20Work%20Plan%20-%20BPHS%20and%20EPHS%20-%2013%20Aug%202006.xls" TargetMode="External"/></Relationships>
</file>

<file path=xl/externalLinks/_rels/externalLink58.xml.rels><?xml version="1.0" encoding="UTF-8" standalone="yes"?>
<Relationships xmlns="http://schemas.openxmlformats.org/package/2006/relationships"><Relationship Id="rId2" Type="http://schemas.openxmlformats.org/officeDocument/2006/relationships/externalLinkPath" Target="../../mac/Downloads/G:/Documents%20and%20Settings/Pia%20Chesnais/My%20Documents/Afghanistan/PPG/WHO/Work%20Plans/PPG%20Master%20Work%20Plan%20-%20BPHS%20and%20EPHS%20-%2013%20Aug%202006.xls" TargetMode="External"/><Relationship Id="rId1" Type="http://schemas.openxmlformats.org/officeDocument/2006/relationships/externalLinkPath" Target="/Users/mac/Downloads/G:/Documents%20and%20Settings/Pia%20Chesnais/My%20Documents/Afghanistan/PPG/WHO/Work%20Plans/PPG%20Master%20Work%20Plan%20-%20BPHS%20and%20EPHS%20-%2013%20Aug%202006.xls" TargetMode="External"/></Relationships>
</file>

<file path=xl/externalLinks/_rels/externalLink59.xml.rels><?xml version="1.0" encoding="UTF-8" standalone="yes"?>
<Relationships xmlns="http://schemas.openxmlformats.org/package/2006/relationships"><Relationship Id="rId2" Type="http://schemas.openxmlformats.org/officeDocument/2006/relationships/externalLinkPath" Target="../../mac/Downloads/J:/new%20NRTC/06%20-%20Weather/Application/Metadata/Orascom_security_v1.1%20(modified%20by%20Nabil).xls" TargetMode="External"/><Relationship Id="rId1" Type="http://schemas.openxmlformats.org/officeDocument/2006/relationships/externalLinkPath" Target="/Users/mac/Downloads/J:/new%20NRTC/06%20-%20Weather/Application/Metadata/Orascom_security_v1.1%20(modified%20by%20Nabil).xls" TargetMode="External"/></Relationships>
</file>

<file path=xl/externalLinks/_rels/externalLink60.xml.rels><?xml version="1.0" encoding="UTF-8" standalone="yes"?>
<Relationships xmlns="http://schemas.openxmlformats.org/package/2006/relationships"><Relationship Id="rId2" Type="http://schemas.openxmlformats.org/officeDocument/2006/relationships/externalLinkPath" Target="../../mac/Downloads/F:/06%20-%20Weather/Application/Metadata/Orascom_security_v1.1%20(modified%20by%20Nabil).xls" TargetMode="External"/><Relationship Id="rId1" Type="http://schemas.openxmlformats.org/officeDocument/2006/relationships/externalLinkPath" Target="/Users/mac/Downloads/F:/06%20-%20Weather/Application/Metadata/Orascom_security_v1.1%20(modified%20by%20Nabil).xls" TargetMode="External"/></Relationships>
</file>

<file path=xl/externalLinks/_rels/externalLink61.xml.rels><?xml version="1.0" encoding="UTF-8" standalone="yes"?>
<Relationships xmlns="http://schemas.openxmlformats.org/package/2006/relationships"><Relationship Id="rId2" Type="http://schemas.openxmlformats.org/officeDocument/2006/relationships/externalLinkPath" Target="../../mac/Downloads/PITTRES/Zarghun/Zarghun%20South/Zarghun%20South/Audit/Zarghun%20Acc%202011/Fixed%20asset%20depreciation%202007-08%20%203rd%20Q%20for%20Auditors.xls" TargetMode="External"/><Relationship Id="rId1" Type="http://schemas.openxmlformats.org/officeDocument/2006/relationships/externalLinkPath" Target="/Users/mac/Downloads/PITTRES/Zarghun/Zarghun%20South/Zarghun%20South/Audit/Zarghun%20Acc%202011/Fixed%20asset%20depreciation%202007-08%20%203rd%20Q%20for%20Auditors.xls" TargetMode="External"/></Relationships>
</file>

<file path=xl/externalLinks/_rels/externalLink62.xml.rels><?xml version="1.0" encoding="UTF-8" standalone="yes"?>
<Relationships xmlns="http://schemas.openxmlformats.org/package/2006/relationships"><Relationship Id="rId2" Type="http://schemas.openxmlformats.org/officeDocument/2006/relationships/externalLinkPath" Target="../../mac/Downloads/fin-kp-22/Deferred%20Tax/Documents%20and%20Settings/qaiser.s/Local%20Settings/Temporary%20Internet%20Files/OLK2F/All%20Data/TAX%20DATA/c/Desktop/Dtax/DTax%20April-June%2003%20Aman.xls" TargetMode="External"/><Relationship Id="rId1" Type="http://schemas.openxmlformats.org/officeDocument/2006/relationships/externalLinkPath" Target="/Users/mac/Downloads/fin-kp-22/Deferred%20Tax/Documents%20and%20Settings/qaiser.s/Local%20Settings/Temporary%20Internet%20Files/OLK2F/All%20Data/TAX%20DATA/c/Desktop/Dtax/DTax%20April-June%2003%20Aman.xls" TargetMode="External"/></Relationships>
</file>

<file path=xl/externalLinks/_rels/externalLink63.xml.rels><?xml version="1.0" encoding="UTF-8" standalone="yes"?>
<Relationships xmlns="http://schemas.openxmlformats.org/package/2006/relationships"><Relationship Id="rId2" Type="http://schemas.openxmlformats.org/officeDocument/2006/relationships/externalLinkPath" Target="../../../fin-kp-22/Deferred%20Tax/Documents%20and%20Settings/qaiser.s/Local%20Settings/Temporary%20Internet%20Files/OLK2F/All%20Data/TAX%20DATA/c/Desktop/Dtax/DTax%20April-June%2003%20Aman.xls" TargetMode="External"/><Relationship Id="rId1" Type="http://schemas.openxmlformats.org/officeDocument/2006/relationships/externalLinkPath" Target="/fin-kp-22/Deferred%20Tax/Documents%20and%20Settings/qaiser.s/Local%20Settings/Temporary%20Internet%20Files/OLK2F/All%20Data/TAX%20DATA/c/Desktop/Dtax/DTax%20April-June%2003%20Aman.xls" TargetMode="External"/></Relationships>
</file>

<file path=xl/externalLinks/_rels/externalLink64.xml.rels><?xml version="1.0" encoding="UTF-8" standalone="yes"?>
<Relationships xmlns="http://schemas.openxmlformats.org/package/2006/relationships"><Relationship Id="rId2" Type="http://schemas.openxmlformats.org/officeDocument/2006/relationships/externalLinkPath" Target="../../mac/Downloads/Fileserver/Departments/Documents%20and%20Settings/pbornet/My%20Documents/01%20-%20Missions/00-%20Casino/R2F/Gestion/RETRIEVE%20FRANCE/AFFILIES2004.xls" TargetMode="External"/><Relationship Id="rId1" Type="http://schemas.openxmlformats.org/officeDocument/2006/relationships/externalLinkPath" Target="/Users/mac/Downloads/Fileserver/Departments/Documents%20and%20Settings/pbornet/My%20Documents/01%20-%20Missions/00-%20Casino/R2F/Gestion/RETRIEVE%20FRANCE/AFFILIES2004.xls" TargetMode="External"/></Relationships>
</file>

<file path=xl/externalLinks/_rels/externalLink65.xml.rels><?xml version="1.0" encoding="UTF-8" standalone="yes"?>
<Relationships xmlns="http://schemas.openxmlformats.org/package/2006/relationships"><Relationship Id="rId1" Type="http://schemas.microsoft.com/office/2006/relationships/xlExternalLinkPath/xlPathMissing" Target="MAy%2007,%202004.xls" TargetMode="External"/></Relationships>
</file>

<file path=xl/externalLinks/_rels/externalLink66.xml.rels><?xml version="1.0" encoding="UTF-8" standalone="yes"?>
<Relationships xmlns="http://schemas.openxmlformats.org/package/2006/relationships"><Relationship Id="rId2" Type="http://schemas.openxmlformats.org/officeDocument/2006/relationships/externalLinkPath" Target="../../mac/Downloads/J:/Bank%20clients/Bakhtar%20solars/projected%20financial%202015-2017.xlsx" TargetMode="External"/><Relationship Id="rId1" Type="http://schemas.openxmlformats.org/officeDocument/2006/relationships/externalLinkPath" Target="/Users/mac/Downloads/J:/Bank%20clients/Bakhtar%20solars/projected%20financial%202015-2017.xlsx" TargetMode="External"/></Relationships>
</file>

<file path=xl/externalLinks/_rels/externalLink67.xml.rels><?xml version="1.0" encoding="UTF-8" standalone="yes"?>
<Relationships xmlns="http://schemas.openxmlformats.org/package/2006/relationships"><Relationship Id="rId2" Type="http://schemas.openxmlformats.org/officeDocument/2006/relationships/externalLinkPath" Target="../../../Auditor-1/aff/Javed/Audit%20December%202004/Note%20of%20Deletions%20December%202004.xls" TargetMode="External"/><Relationship Id="rId1" Type="http://schemas.openxmlformats.org/officeDocument/2006/relationships/externalLinkPath" Target="/Auditor-1/aff/Javed/Audit%20December%202004/Note%20of%20Deletions%20December%202004.xls" TargetMode="External"/></Relationships>
</file>

<file path=xl/externalLinks/_rels/externalLink68.xml.rels><?xml version="1.0" encoding="UTF-8" standalone="yes"?>
<Relationships xmlns="http://schemas.openxmlformats.org/package/2006/relationships"><Relationship Id="rId2" Type="http://schemas.openxmlformats.org/officeDocument/2006/relationships/externalLinkPath" Target="../../mac/Downloads/Stcompta/ALI/Year%202004/Y%2004_Act/Alg/Servitec_04/Servitec_04%203+9.xls" TargetMode="External"/><Relationship Id="rId1" Type="http://schemas.openxmlformats.org/officeDocument/2006/relationships/externalLinkPath" Target="/Users/mac/Downloads/Stcompta/ALI/Year%202004/Y%2004_Act/Alg/Servitec_04/Servitec_04%203+9.xls" TargetMode="External"/></Relationships>
</file>

<file path=xl/externalLinks/_rels/externalLink69.xml.rels><?xml version="1.0" encoding="UTF-8" standalone="yes"?>
<Relationships xmlns="http://schemas.openxmlformats.org/package/2006/relationships"><Relationship Id="rId2" Type="http://schemas.openxmlformats.org/officeDocument/2006/relationships/externalLinkPath" Target="../../mac/Downloads/PITTRES/Users/Taimoor/AppData/Local/Temp/Rar$DI00.600/MSU%20Accounts%20Sep-14.xlsx" TargetMode="External"/><Relationship Id="rId1" Type="http://schemas.openxmlformats.org/officeDocument/2006/relationships/externalLinkPath" Target="/Users/mac/Downloads/PITTRES/Users/Taimoor/AppData/Local/Temp/Rar$DI00.600/MSU%20Accounts%20Sep-14.xlsx" TargetMode="External"/></Relationships>
</file>

<file path=xl/externalLinks/_rels/externalLink70.xml.rels><?xml version="1.0" encoding="UTF-8" standalone="yes"?>
<Relationships xmlns="http://schemas.openxmlformats.org/package/2006/relationships"><Relationship Id="rId2" Type="http://schemas.openxmlformats.org/officeDocument/2006/relationships/externalLinkPath" Target="../../../Saleem/office/Office/Excel/IT368.xls" TargetMode="External"/><Relationship Id="rId1" Type="http://schemas.openxmlformats.org/officeDocument/2006/relationships/externalLinkPath" Target="/Saleem/office/Office/Excel/IT368.xls" TargetMode="External"/></Relationships>
</file>

<file path=xl/externalLinks/_rels/externalLink71.xml.rels><?xml version="1.0" encoding="UTF-8" standalone="yes"?>
<Relationships xmlns="http://schemas.openxmlformats.org/package/2006/relationships"><Relationship Id="rId2" Type="http://schemas.openxmlformats.org/officeDocument/2006/relationships/externalLinkPath" Target="../../../Auditor-1/aff/Documents%20and%20Settings/Javed/Desktop/Deferred%20Tax/Deff.%20tax%20as%20on%20October%202004.xls" TargetMode="External"/><Relationship Id="rId1" Type="http://schemas.openxmlformats.org/officeDocument/2006/relationships/externalLinkPath" Target="/Auditor-1/aff/Documents%20and%20Settings/Javed/Desktop/Deferred%20Tax/Deff.%20tax%20as%20on%20October%202004.xls" TargetMode="External"/></Relationships>
</file>

<file path=xl/externalLinks/_rels/externalLink72.xml.rels><?xml version="1.0" encoding="UTF-8" standalone="yes"?>
<Relationships xmlns="http://schemas.openxmlformats.org/package/2006/relationships"><Relationship Id="rId2" Type="http://schemas.openxmlformats.org/officeDocument/2006/relationships/externalLinkPath" Target="../../mac/Downloads/E:/Users/afzal/Desktop/Bakhtar%20University/Trail%20Balance/R&amp;P.xls" TargetMode="External"/><Relationship Id="rId1" Type="http://schemas.openxmlformats.org/officeDocument/2006/relationships/externalLinkPath" Target="/Users/mac/Downloads/E:/Users/afzal/Desktop/Bakhtar%20University/Trail%20Balance/R&amp;P.xls" TargetMode="External"/></Relationships>
</file>

<file path=xl/externalLinks/_rels/externalLink73.xml.rels><?xml version="1.0" encoding="UTF-8" standalone="yes"?>
<Relationships xmlns="http://schemas.openxmlformats.org/package/2006/relationships"><Relationship Id="rId2" Type="http://schemas.openxmlformats.org/officeDocument/2006/relationships/externalLinkPath" Target="../../../NADIRJAMIL/SharedDocs/AUDIT/NESTLE/accounts2004/1%20%20FINAL%20DRAFT%20Dec'2004%20Acoounts/Final%20%20dec%202004.xls" TargetMode="External"/><Relationship Id="rId1" Type="http://schemas.openxmlformats.org/officeDocument/2006/relationships/externalLinkPath" Target="/NADIRJAMIL/SharedDocs/AUDIT/NESTLE/accounts2004/1%20%20FINAL%20DRAFT%20Dec'2004%20Acoounts/Final%20%20dec%202004.xls" TargetMode="External"/></Relationships>
</file>

<file path=xl/externalLinks/_rels/externalLink74.xml.rels><?xml version="1.0" encoding="UTF-8" standalone="yes"?>
<Relationships xmlns="http://schemas.openxmlformats.org/package/2006/relationships"><Relationship Id="rId2" Type="http://schemas.openxmlformats.org/officeDocument/2006/relationships/externalLinkPath" Target="../../mac/Downloads/A:/AdminKit/kitcompt/Missions/WINDOWS/TEMP/MULTIBUD/CHANGE96.XLS" TargetMode="External"/><Relationship Id="rId1" Type="http://schemas.openxmlformats.org/officeDocument/2006/relationships/externalLinkPath" Target="/Users/mac/Downloads/A:/AdminKit/kitcompt/Missions/WINDOWS/TEMP/MULTIBUD/CHANGE96.XLS" TargetMode="External"/></Relationships>
</file>

<file path=xl/externalLinks/_rels/externalLink75.xml.rels><?xml version="1.0" encoding="UTF-8" standalone="yes"?>
<Relationships xmlns="http://schemas.openxmlformats.org/package/2006/relationships"><Relationship Id="rId2" Type="http://schemas.openxmlformats.org/officeDocument/2006/relationships/externalLinkPath" Target="../../mac/Downloads/fileserver/Departments/Documents%20and%20Settings/mahmoud_gamal/Local%20Settings/Temporary%20Internet%20Files/OLKA9/Subs%20Report-smanoudi-v1.xls" TargetMode="External"/><Relationship Id="rId1" Type="http://schemas.openxmlformats.org/officeDocument/2006/relationships/externalLinkPath" Target="/Users/mac/Downloads/fileserver/Departments/Documents%20and%20Settings/mahmoud_gamal/Local%20Settings/Temporary%20Internet%20Files/OLKA9/Subs%20Report-smanoudi-v1.xls" TargetMode="External"/></Relationships>
</file>

<file path=xl/externalLinks/_rels/externalLink76.xml.rels><?xml version="1.0" encoding="UTF-8" standalone="yes"?>
<Relationships xmlns="http://schemas.openxmlformats.org/package/2006/relationships"><Relationship Id="rId2" Type="http://schemas.openxmlformats.org/officeDocument/2006/relationships/externalLinkPath" Target="../../mac/Downloads/PITTRES/documents-new/Documents%20and%20Settings/hroffr-2/Local%20Settings/Temporary%20Internet%20Files/OLK1C6/HR%20Reporting%20sheet.xls" TargetMode="External"/><Relationship Id="rId1" Type="http://schemas.openxmlformats.org/officeDocument/2006/relationships/externalLinkPath" Target="/Users/mac/Downloads/PITTRES/documents-new/Documents%20and%20Settings/hroffr-2/Local%20Settings/Temporary%20Internet%20Files/OLK1C6/HR%20Reporting%20sheet.xls" TargetMode="External"/></Relationships>
</file>

<file path=xl/externalLinks/_rels/externalLink77.xml.rels><?xml version="1.0" encoding="UTF-8" standalone="yes"?>
<Relationships xmlns="http://schemas.openxmlformats.org/package/2006/relationships"><Relationship Id="rId2" Type="http://schemas.openxmlformats.org/officeDocument/2006/relationships/externalLinkPath" Target="../../mac/Downloads/D:/documents-new/Documents%20and%20Settings/hroffr-2/Local%20Settings/Temporary%20Internet%20Files/OLK1C6/HR%20Reporting%20sheet.xls" TargetMode="External"/><Relationship Id="rId1" Type="http://schemas.openxmlformats.org/officeDocument/2006/relationships/externalLinkPath" Target="/Users/mac/Downloads/D:/documents-new/Documents%20and%20Settings/hroffr-2/Local%20Settings/Temporary%20Internet%20Files/OLK1C6/HR%20Reporting%20sheet.xls" TargetMode="External"/></Relationships>
</file>

<file path=xl/externalLinks/_rels/externalLink78.xml.rels><?xml version="1.0" encoding="UTF-8" standalone="yes"?>
<Relationships xmlns="http://schemas.openxmlformats.org/package/2006/relationships"><Relationship Id="rId2" Type="http://schemas.openxmlformats.org/officeDocument/2006/relationships/externalLinkPath" Target="../../mac/Downloads/112.0.0.109/auditor/Humayun/5602%20Debtors%20Confirmation.xls" TargetMode="External"/><Relationship Id="rId1" Type="http://schemas.openxmlformats.org/officeDocument/2006/relationships/externalLinkPath" Target="/Users/mac/Downloads/112.0.0.109/auditor/Humayun/5602%20Debtors%20Confirmation.xls" TargetMode="External"/></Relationships>
</file>

<file path=xl/externalLinks/_rels/externalLink79.xml.rels><?xml version="1.0" encoding="UTF-8" standalone="yes"?>
<Relationships xmlns="http://schemas.openxmlformats.org/package/2006/relationships"><Relationship Id="rId1" Type="http://schemas.microsoft.com/office/2006/relationships/xlExternalLinkPath/xlPathMissing" Target="Worksheet%20in%205202%20Detail%20of%20non-operating%20land" TargetMode="External"/></Relationships>
</file>

<file path=xl/externalLinks/_rels/externalLink80.xml.rels><?xml version="1.0" encoding="UTF-8" standalone="yes"?>
<Relationships xmlns="http://schemas.openxmlformats.org/package/2006/relationships"><Relationship Id="rId2" Type="http://schemas.openxmlformats.org/officeDocument/2006/relationships/externalLinkPath" Target="../../mac/Downloads/Server/audit/Documents%20and%20Settings/Administrator/Desktop/STOCK%20VALUATION/2006%20VALAUATION.xls" TargetMode="External"/><Relationship Id="rId1" Type="http://schemas.openxmlformats.org/officeDocument/2006/relationships/externalLinkPath" Target="/Users/mac/Downloads/Server/audit/Documents%20and%20Settings/Administrator/Desktop/STOCK%20VALUATION/2006%20VALAUATION.xls" TargetMode="External"/></Relationships>
</file>

<file path=xl/externalLinks/_rels/externalLink81.xml.rels><?xml version="1.0" encoding="UTF-8" standalone="yes"?>
<Relationships xmlns="http://schemas.openxmlformats.org/package/2006/relationships"><Relationship Id="rId2" Type="http://schemas.openxmlformats.org/officeDocument/2006/relationships/externalLinkPath" Target="../../mac/Downloads/kashifraza/Audit%20Accounts%202006%202007/5530%20Working%20of%20Stock%20in%20tade-Spinning%20Unit.xls" TargetMode="External"/><Relationship Id="rId1" Type="http://schemas.openxmlformats.org/officeDocument/2006/relationships/externalLinkPath" Target="/Users/mac/Downloads/kashifraza/Audit%20Accounts%202006%202007/5530%20Working%20of%20Stock%20in%20tade-Spinning%20Unit.xls" TargetMode="External"/></Relationships>
</file>

<file path=xl/externalLinks/_rels/externalLink82.xml.rels><?xml version="1.0" encoding="UTF-8" standalone="yes"?>
<Relationships xmlns="http://schemas.openxmlformats.org/package/2006/relationships"><Relationship Id="rId1" Type="http://schemas.microsoft.com/office/2006/relationships/xlExternalLinkPath/xlPathMissing" Target="Worksheet%20in%204315.1%20%20%20Examination%20of%20Documents%20-%20Revenue%20Cycle" TargetMode="External"/></Relationships>
</file>

<file path=xl/externalLinks/_rels/externalLink83.xml.rels><?xml version="1.0" encoding="UTF-8" standalone="yes"?>
<Relationships xmlns="http://schemas.openxmlformats.org/package/2006/relationships"><Relationship Id="rId1" Type="http://schemas.microsoft.com/office/2006/relationships/xlExternalLinkPath/xlPathMissing" Target="Worksheet%20in%204311.1%20Examination%20of%20Documentation" TargetMode="External"/></Relationships>
</file>

<file path=xl/externalLinks/_rels/externalLink84.xml.rels><?xml version="1.0" encoding="UTF-8" standalone="yes"?>
<Relationships xmlns="http://schemas.openxmlformats.org/package/2006/relationships"><Relationship Id="rId2" Type="http://schemas.openxmlformats.org/officeDocument/2006/relationships/externalLinkPath" Target="../../mac/Downloads/Pittress/Squares-Distb/abid%20raza%20on%20Manager/accounts/ishaq%20textile%20(version%202).xls" TargetMode="External"/><Relationship Id="rId1" Type="http://schemas.openxmlformats.org/officeDocument/2006/relationships/externalLinkPath" Target="/Users/mac/Downloads/Pittress/Squares-Distb/abid%20raza%20on%20Manager/accounts/ishaq%20textile%20(version%202).xls" TargetMode="External"/></Relationships>
</file>

<file path=xl/externalLinks/_rels/externalLink85.xml.rels><?xml version="1.0" encoding="UTF-8" standalone="yes"?>
<Relationships xmlns="http://schemas.openxmlformats.org/package/2006/relationships"><Relationship Id="rId2" Type="http://schemas.openxmlformats.org/officeDocument/2006/relationships/externalLinkPath" Target="../../mac/Downloads/J:/mesdocs/Mes%20documents/10%20OUTILS%20DE%20GESTION/BUDGET%20FOLLOW%20UPS/2009%2004/Version%20Coordination/Version%20pour%20HQ/BF%20PHDP%20582%20200904.xls" TargetMode="External"/><Relationship Id="rId1" Type="http://schemas.openxmlformats.org/officeDocument/2006/relationships/externalLinkPath" Target="/Users/mac/Downloads/J:/mesdocs/Mes%20documents/10%20OUTILS%20DE%20GESTION/BUDGET%20FOLLOW%20UPS/2009%2004/Version%20Coordination/Version%20pour%20HQ/BF%20PHDP%20582%20200904.xls" TargetMode="External"/></Relationships>
</file>

<file path=xl/externalLinks/_rels/externalLink86.xml.rels><?xml version="1.0" encoding="UTF-8" standalone="yes"?>
<Relationships xmlns="http://schemas.openxmlformats.org/package/2006/relationships"><Relationship Id="rId1" Type="http://schemas.microsoft.com/office/2006/relationships/xlExternalLinkPath/xlPathMissing" Target="final%2035ef%20tax%20working%202005.xls" TargetMode="External"/></Relationships>
</file>

<file path=xl/externalLinks/_rels/externalLink87.xml.rels><?xml version="1.0" encoding="UTF-8" standalone="yes"?>
<Relationships xmlns="http://schemas.openxmlformats.org/package/2006/relationships"><Relationship Id="rId2" Type="http://schemas.openxmlformats.org/officeDocument/2006/relationships/externalLinkPath" Target="../../mac/Downloads/10.0.0.189/audit/01%20Audit/01%20Companies/Accounts%202009/SYMBIA%202009/Symbia%20(Private)%20Limited_30Jun2009/fINAL%20WORK%20BOOKS/Revenue%20Workbook.xls" TargetMode="External"/><Relationship Id="rId1" Type="http://schemas.openxmlformats.org/officeDocument/2006/relationships/externalLinkPath" Target="/Users/mac/Downloads/10.0.0.189/audit/01%20Audit/01%20Companies/Accounts%202009/SYMBIA%202009/Symbia%20(Private)%20Limited_30Jun2009/fINAL%20WORK%20BOOKS/Revenue%20Workbook.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PathMissing" Target="D%20Tax%202003d%20-1%20subsequent%20corrections%20RETURN.xls" TargetMode="External"/></Relationships>
</file>

<file path=xl/externalLinks/_rels/externalLink89.xml.rels><?xml version="1.0" encoding="UTF-8" standalone="yes"?>
<Relationships xmlns="http://schemas.openxmlformats.org/package/2006/relationships"><Relationship Id="rId2" Type="http://schemas.openxmlformats.org/officeDocument/2006/relationships/externalLinkPath" Target="../../../192.168.0.243/Share%20Folder/AUDIT/NESTLE/accounts2004/1%20%20FINAL%20DRAFT%20Dec'2004%20Acoounts/Final%20%20dec%202004.xls" TargetMode="External"/><Relationship Id="rId1" Type="http://schemas.openxmlformats.org/officeDocument/2006/relationships/externalLinkPath" Target="/192.168.0.243/Share%20Folder/AUDIT/NESTLE/accounts2004/1%20%20FINAL%20DRAFT%20Dec'2004%20Acoounts/Final%20%20dec%202004.xls" TargetMode="External"/></Relationships>
</file>

<file path=xl/externalLinks/_rels/externalLink90.xml.rels><?xml version="1.0" encoding="UTF-8" standalone="yes"?>
<Relationships xmlns="http://schemas.openxmlformats.org/package/2006/relationships"><Relationship Id="rId2" Type="http://schemas.openxmlformats.org/officeDocument/2006/relationships/externalLinkPath" Target="../../mac/Downloads/Z:/Work%202008%20to%202020/Work%202014%20to%202020/Work%202019/Swiftmovers/audit/Accounts%20-2018%20final%20(2).xlsx" TargetMode="External"/><Relationship Id="rId1" Type="http://schemas.openxmlformats.org/officeDocument/2006/relationships/externalLinkPath" Target="/Users/mac/Downloads/Z:/Work%202008%20to%202020/Work%202014%20to%202020/Work%202019/Swiftmovers/audit/Accounts%20-2018%20final%20(2).xlsx" TargetMode="External"/></Relationships>
</file>

<file path=xl/externalLinks/_rels/externalLink91.xml.rels><?xml version="1.0" encoding="UTF-8" standalone="yes"?>
<Relationships xmlns="http://schemas.openxmlformats.org/package/2006/relationships"><Relationship Id="rId2" Type="http://schemas.openxmlformats.org/officeDocument/2006/relationships/externalLinkPath" Target="../../mac/Downloads/Z:/Users/anum%20zahid/Desktop/Work%20At%20Hyder%20Bhimji/Sir%20Engineering/SIR%20Engineering%20Audit%202015/Accounts%202015/Final%20Accounts%202015.xlsx" TargetMode="External"/><Relationship Id="rId1" Type="http://schemas.openxmlformats.org/officeDocument/2006/relationships/externalLinkPath" Target="/Users/mac/Downloads/Z:/Users/anum%20zahid/Desktop/Work%20At%20Hyder%20Bhimji/Sir%20Engineering/SIR%20Engineering%20Audit%202015/Accounts%202015/Final%20Accounts%202015.xlsx" TargetMode="External"/></Relationships>
</file>

<file path=xl/externalLinks/_rels/externalLink92.xml.rels><?xml version="1.0" encoding="UTF-8" standalone="yes"?>
<Relationships xmlns="http://schemas.openxmlformats.org/package/2006/relationships"><Relationship Id="rId2" Type="http://schemas.openxmlformats.org/officeDocument/2006/relationships/externalLinkPath" Target="../../mac/Downloads/Z:/Users/anum%20zahid/Desktop/Work%20At%20Hyder%20Bhimji/Sir%20Engineering/SIR%20Engineering%20Audit%202016/Accounts%202016/Final%20Accounts%202016.xlsx" TargetMode="External"/><Relationship Id="rId1" Type="http://schemas.openxmlformats.org/officeDocument/2006/relationships/externalLinkPath" Target="/Users/mac/Downloads/Z:/Users/anum%20zahid/Desktop/Work%20At%20Hyder%20Bhimji/Sir%20Engineering/SIR%20Engineering%20Audit%202016/Accounts%202016/Final%20Accounts%202016.xlsx" TargetMode="External"/></Relationships>
</file>

<file path=xl/externalLinks/_rels/externalLink93.xml.rels><?xml version="1.0" encoding="UTF-8" standalone="yes"?>
<Relationships xmlns="http://schemas.openxmlformats.org/package/2006/relationships"><Relationship Id="rId2" Type="http://schemas.openxmlformats.org/officeDocument/2006/relationships/externalLinkPath" Target="../../mac/Downloads/Z:/Users/anum%20zahid/Desktop/Work%20At%20Hyder%20Bhimji/Sir%20Engineering/SIR%20Engineering%20Audit%202014/Accounts%202014/Final%20Accounts%202014.xlsx" TargetMode="External"/><Relationship Id="rId1" Type="http://schemas.openxmlformats.org/officeDocument/2006/relationships/externalLinkPath" Target="/Users/mac/Downloads/Z:/Users/anum%20zahid/Desktop/Work%20At%20Hyder%20Bhimji/Sir%20Engineering/SIR%20Engineering%20Audit%202014/Accounts%202014/Final%20Accounts%202014.xlsx" TargetMode="External"/></Relationships>
</file>

<file path=xl/externalLinks/_rels/externalLink94.xml.rels><?xml version="1.0" encoding="UTF-8" standalone="yes"?>
<Relationships xmlns="http://schemas.openxmlformats.org/package/2006/relationships"><Relationship Id="rId2" Type="http://schemas.openxmlformats.org/officeDocument/2006/relationships/externalLinkPath" Target="../../mac/Downloads/Z:/Users/anum%20zahid/Desktop/SIR%20Engineering%20Audit%202014/Previous%20Years%20Data%20&amp;%20Data%20From%20Office/SIR%20Engineering/Accounts%202014/Final%20Accounts%202014.xlsx" TargetMode="External"/><Relationship Id="rId1" Type="http://schemas.openxmlformats.org/officeDocument/2006/relationships/externalLinkPath" Target="/Users/mac/Downloads/Z:/Users/anum%20zahid/Desktop/SIR%20Engineering%20Audit%202014/Previous%20Years%20Data%20&amp;%20Data%20From%20Office/SIR%20Engineering/Accounts%202014/Final%20Accounts%202014.xlsx" TargetMode="External"/></Relationships>
</file>

<file path=xl/externalLinks/_rels/externalLink95.xml.rels><?xml version="1.0" encoding="UTF-8" standalone="yes"?>
<Relationships xmlns="http://schemas.openxmlformats.org/package/2006/relationships"><Relationship Id="rId2" Type="http://schemas.openxmlformats.org/officeDocument/2006/relationships/externalLinkPath" Target="../../mac/Downloads/Z:/Users/anum%20zahid/Desktop/SIR%20Engineering%20Audit%202014/Previous%20Years%20Data%20&amp;%20Data%20From%20Office/SIR%20Engineering/Accounts%202013/Final%20Accounts%202013.xlsx" TargetMode="External"/><Relationship Id="rId1" Type="http://schemas.openxmlformats.org/officeDocument/2006/relationships/externalLinkPath" Target="/Users/mac/Downloads/Z:/Users/anum%20zahid/Desktop/SIR%20Engineering%20Audit%202014/Previous%20Years%20Data%20&amp;%20Data%20From%20Office/SIR%20Engineering/Accounts%202013/Final%20Accounts%202013.xlsx" TargetMode="External"/></Relationships>
</file>

<file path=xl/externalLinks/_rels/externalLink96.xml.rels><?xml version="1.0" encoding="UTF-8" standalone="yes"?>
<Relationships xmlns="http://schemas.openxmlformats.org/package/2006/relationships"><Relationship Id="rId2" Type="http://schemas.openxmlformats.org/officeDocument/2006/relationships/externalLinkPath" Target="../../mac/Downloads/F:/Tariq%20Aleem%20and%20company/Audit%202019/Raaziq%20Group%20of%20Companies/TS%20&amp;%20TS/TS%20AND%20TS%2027-12-2019%20June%20-2019.xlsx" TargetMode="External"/><Relationship Id="rId1" Type="http://schemas.openxmlformats.org/officeDocument/2006/relationships/externalLinkPath" Target="/Users/mac/Downloads/F:/Tariq%20Aleem%20and%20company/Audit%202019/Raaziq%20Group%20of%20Companies/TS%20&amp;%20TS/TS%20AND%20TS%2027-12-2019%20June%20-2019.xlsx" TargetMode="External"/></Relationships>
</file>

<file path=xl/externalLinks/_rels/externalLink97.xml.rels><?xml version="1.0" encoding="UTF-8" standalone="yes"?>
<Relationships xmlns="http://schemas.openxmlformats.org/package/2006/relationships"><Relationship Id="rId2" Type="http://schemas.openxmlformats.org/officeDocument/2006/relationships/externalLinkPath" Target="../../mac/Downloads/F:/Users/HAFIZ%20MOHAMMAD/Documents/Consulting/Fablous/Accounts/Assets%20Machinery%2030.09.2021.xlsx" TargetMode="External"/><Relationship Id="rId1" Type="http://schemas.openxmlformats.org/officeDocument/2006/relationships/externalLinkPath" Target="/Users/mac/Downloads/F:/Users/HAFIZ%20MOHAMMAD/Documents/Consulting/Fablous/Accounts/Assets%20Machinery%2030.09.2021.xlsx" TargetMode="External"/></Relationships>
</file>

<file path=xl/externalLinks/_rels/externalLink98.xml.rels><?xml version="1.0" encoding="UTF-8" standalone="yes"?>
<Relationships xmlns="http://schemas.openxmlformats.org/package/2006/relationships"><Relationship Id="rId2" Type="http://schemas.openxmlformats.org/officeDocument/2006/relationships/externalLinkPath" Target="../../mac/Downloads/Z:/Users/anum%20zahid/AppData/Local/Temp/Temp1_Swift%20movers%202012.zip/Swift%20movers%202012/Accounts/Accounts%202012.xlsx" TargetMode="External"/><Relationship Id="rId1" Type="http://schemas.openxmlformats.org/officeDocument/2006/relationships/externalLinkPath" Target="/Users/mac/Downloads/Z:/Users/anum%20zahid/AppData/Local/Temp/Temp1_Swift%20movers%202012.zip/Swift%20movers%202012/Accounts/Accounts%202012.xlsx" TargetMode="External"/></Relationships>
</file>

<file path=xl/externalLinks/_rels/externalLink99.xml.rels><?xml version="1.0" encoding="UTF-8" standalone="yes"?>
<Relationships xmlns="http://schemas.openxmlformats.org/package/2006/relationships"><Relationship Id="rId2" Type="http://schemas.openxmlformats.org/officeDocument/2006/relationships/externalLinkPath" Target="../../mac/Downloads/F:/Tariq%20Aleem%20and%20company/Audit%202020/HM%20Holdings%20Group/HM%20Holding%20(private)%20Limited/HM%20Holding%20Draft%20Financials%20(R+T+W+M).xlsx" TargetMode="External"/><Relationship Id="rId1" Type="http://schemas.openxmlformats.org/officeDocument/2006/relationships/externalLinkPath" Target="/Users/mac/Downloads/F:/Tariq%20Aleem%20and%20company/Audit%202020/HM%20Holdings%20Group/HM%20Holding%20(private)%20Limited/HM%20Holding%20Draft%20Financials%20(R+T+W+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esentation"/>
      <sheetName val="Financial Dashboard"/>
      <sheetName val="ES"/>
      <sheetName val="RS"/>
      <sheetName val="PL"/>
      <sheetName val="CP"/>
      <sheetName val="CF"/>
      <sheetName val="BS"/>
      <sheetName val="indicators"/>
      <sheetName val="check"/>
      <sheetName val="Scenario 9 M"/>
      <sheetName val="Technical"/>
      <sheetName val="Additional"/>
      <sheetName val="PP"/>
      <sheetName val="Assumptions"/>
      <sheetName val="RP"/>
      <sheetName val="RW"/>
      <sheetName val="Financing"/>
      <sheetName val="Sheet2"/>
      <sheetName val="Admn 2005"/>
      <sheetName val="Staffing2"/>
      <sheetName val="parameters"/>
      <sheetName val="HR info"/>
      <sheetName val="Average Salary Working"/>
      <sheetName val="Average"/>
      <sheetName val="Head Count Working"/>
      <sheetName val="IT capex"/>
      <sheetName val="IT opex"/>
      <sheetName val="CS"/>
      <sheetName val="HR"/>
      <sheetName val="Info for Finance - 1 (2)"/>
      <sheetName val="Info for finance - 2 (2)"/>
      <sheetName val="Info for finance - 3 (2)"/>
      <sheetName val="Loan Balances"/>
      <sheetName val="Summ. P&amp;L"/>
      <sheetName val="Revenue ($)"/>
      <sheetName val="C.Flow"/>
      <sheetName val="dashboard"/>
      <sheetName val="Base figures"/>
      <sheetName val="Budget2005_221204"/>
      <sheetName val="Head Count Wmrking"/>
      <sheetName val="Top trav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XXXX"/>
      <sheetName val="B"/>
      <sheetName val="F&amp;F"/>
      <sheetName val="CS"/>
      <sheetName val="LI"/>
      <sheetName val="OE"/>
      <sheetName val="CH"/>
      <sheetName val="RS"/>
      <sheetName val="BS"/>
      <sheetName val="Sheet1"/>
      <sheetName val="Template inputs "/>
      <sheetName val="Revenue ($)"/>
      <sheetName val="Parameters"/>
      <sheetName val="MA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1. Employmee Information"/>
      <sheetName val="2. Staff Profile Information"/>
      <sheetName val="3. Performance Management"/>
      <sheetName val="4. Leave Record Data 2007"/>
      <sheetName val="4. Leave Record Data 2006"/>
      <sheetName val="Employmee Information (A)"/>
      <sheetName val="Monthly Leave Report"/>
      <sheetName val="Monthly Leaves Analysis"/>
      <sheetName val="Quarterly Leave Report"/>
      <sheetName val="Quarterly Leaves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S"/>
      <sheetName val="PL"/>
      <sheetName val="cash flow"/>
      <sheetName val="Equity"/>
      <sheetName val="Notes"/>
      <sheetName val="fixed assets FINAL"/>
      <sheetName val="F.Insrmnt"/>
      <sheetName val="Incremental Dep"/>
      <sheetName val="Depreciation"/>
      <sheetName val="WORKING"/>
      <sheetName val="Disposal"/>
      <sheetName val="Raw material"/>
      <sheetName val="work in process"/>
      <sheetName val="finished goods"/>
      <sheetName val="Perfmnc analysis"/>
      <sheetName val="H&amp;V"/>
      <sheetName val="Notes0.1"/>
      <sheetName val="f statments"/>
      <sheetName val="reclassifications"/>
      <sheetName val="Financials (Old)"/>
      <sheetName val="lease"/>
      <sheetName val="fixed assets"/>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t. Chg"/>
      <sheetName val="Graph"/>
      <sheetName val="PC-I as per Budget by HQ"/>
      <sheetName val="Revised Budget Notified by HQ"/>
      <sheetName val="Revised Budget as per CNPP"/>
      <sheetName val="Budget Difference"/>
      <sheetName val="Sheet1"/>
      <sheetName val="Report to NIPRA"/>
      <sheetName val="Intervals"/>
      <sheetName val="Project Cost 1991-92 to 2000-20"/>
      <sheetName val="Rates"/>
      <sheetName val="Kenya details"/>
      <sheetName val="Estt__Chg1"/>
      <sheetName val="PC-I_as_per_Budget_by_HQ1"/>
      <sheetName val="Revised_Budget_Notified_by_HQ1"/>
      <sheetName val="Revised_Budget_as_per_CNPP1"/>
      <sheetName val="Budget_Difference1"/>
      <sheetName val="Report_to_NIPRA1"/>
      <sheetName val="Project_Cost_1991-92_to_2000-21"/>
      <sheetName val="Estt__Chg"/>
      <sheetName val="PC-I_as_per_Budget_by_HQ"/>
      <sheetName val="Revised_Budget_Notified_by_HQ"/>
      <sheetName val="Revised_Budget_as_per_CNPP"/>
      <sheetName val="Budget_Difference"/>
      <sheetName val="Report_to_NIPRA"/>
      <sheetName val="Project_Cost_1991-92_to_2000-20"/>
      <sheetName val="TRIL9900"/>
      <sheetName val="Estt__Chg2"/>
      <sheetName val="PC-I_as_per_Budget_by_HQ2"/>
      <sheetName val="Revised_Budget_Notified_by_HQ2"/>
      <sheetName val="Revised_Budget_as_per_CNPP2"/>
      <sheetName val="Budget_Difference2"/>
      <sheetName val="Report_to_NIPRA2"/>
      <sheetName val="Project_Cost_1991-92_to_2000-22"/>
      <sheetName val="Estt__Chg3"/>
      <sheetName val="PC-I_as_per_Budget_by_HQ3"/>
      <sheetName val="Revised_Budget_Notified_by_HQ3"/>
      <sheetName val="Revised_Budget_as_per_CNPP3"/>
      <sheetName val="Budget_Difference3"/>
      <sheetName val="Report_to_NIPRA3"/>
      <sheetName val="Project_Cost_1991-92_to_2000-23"/>
      <sheetName val="lc921471"/>
      <sheetName val="Revenue-Fire-Marine-Motor"/>
      <sheetName val="Technical"/>
      <sheetName val="Others"/>
      <sheetName val="Stancom 29"/>
      <sheetName val="SS other sampled items"/>
      <sheetName val="BS"/>
      <sheetName val="Rev"/>
      <sheetName val="Kenya_details"/>
      <sheetName val="CHALLAN"/>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XXXX"/>
      <sheetName val="B"/>
      <sheetName val="F&amp;F"/>
      <sheetName val="CS"/>
      <sheetName val="LI"/>
      <sheetName val="OE"/>
      <sheetName val="CH"/>
      <sheetName val="RS"/>
      <sheetName val="BS"/>
      <sheetName val="Sheet1"/>
      <sheetName val="Template inputs "/>
      <sheetName val="Revenue ($)"/>
      <sheetName val="Parameters"/>
      <sheetName val="MAIN"/>
      <sheetName val="Template_inputs_"/>
      <sheetName val="Revenue_($)"/>
      <sheetName val="Template_inputs_1"/>
      <sheetName val="Revenue_($)1"/>
      <sheetName val="Template_inputs_2"/>
      <sheetName val="Revenue_($)2"/>
      <sheetName val="Template_inputs_3"/>
      <sheetName val="Revenue_($)3"/>
      <sheetName val="Template_inputs_4"/>
      <sheetName val="Revenue_($)4"/>
      <sheetName val="Template_inputs_5"/>
      <sheetName val="Revenue_($)5"/>
      <sheetName val="Template_inputs_6"/>
      <sheetName val="Revenue_($)6"/>
      <sheetName val="Template_inputs_8"/>
      <sheetName val="Revenue_($)8"/>
      <sheetName val="Template_inputs_7"/>
      <sheetName val="Revenue_($)7"/>
      <sheetName val="Template_inputs_9"/>
      <sheetName val="Revenue_($)9"/>
      <sheetName val="Template_inputs_10"/>
      <sheetName val="Revenue_($)10"/>
      <sheetName val="CFC"/>
      <sheetName val="PLC"/>
      <sheetName val="Template_inputs_12"/>
      <sheetName val="Revenue_($)12"/>
      <sheetName val="Template_inputs_11"/>
      <sheetName val="Revenue_($)11"/>
      <sheetName val="Data Validation"/>
      <sheetName val="Definitions"/>
      <sheetName val="Key"/>
      <sheetName val="Dropdown"/>
      <sheetName val="Data_Validation"/>
      <sheetName val="Data_Validation1"/>
      <sheetName val="Data_Validation2"/>
      <sheetName val="Data_Validation3"/>
      <sheetName val="EurotoolsXRates"/>
      <sheetName val="Sublead (2)"/>
      <sheetName val="MUS  YARN Export"/>
      <sheetName val="Template_inputs_13"/>
      <sheetName val="Revenue_($)13"/>
      <sheetName val="Data_Validation4"/>
      <sheetName val="Sublead_(2)"/>
      <sheetName val="MUS__YARN_Export"/>
      <sheetName val="Template_inputs_15"/>
      <sheetName val="Revenue_($)15"/>
      <sheetName val="Template_inputs_14"/>
      <sheetName val="Revenue_($)14"/>
      <sheetName val="Template_inputs_16"/>
      <sheetName val="Revenue_($)16"/>
      <sheetName val="Data_Validation5"/>
      <sheetName val="Sublead_(2)1"/>
      <sheetName val="MUS__YARN_Export1"/>
      <sheetName val="Template_inputs_20"/>
      <sheetName val="Revenue_($)20"/>
      <sheetName val="Template_inputs_19"/>
      <sheetName val="Revenue_($)19"/>
      <sheetName val="Template_inputs_18"/>
      <sheetName val="Revenue_($)18"/>
      <sheetName val="Template_inputs_17"/>
      <sheetName val="Revenue_($)17"/>
      <sheetName val="Template_inputs_21"/>
      <sheetName val="Revenue_($)21"/>
      <sheetName val="Data_Validation6"/>
      <sheetName val="Sublead_(2)2"/>
      <sheetName val="MUS__YARN_Export2"/>
      <sheetName val="Template_inputs_22"/>
      <sheetName val="Revenue_($)22"/>
      <sheetName val="Data_Validation7"/>
      <sheetName val="Sublead_(2)3"/>
      <sheetName val="MUS__YARN_Export3"/>
      <sheetName val="Template_inputs_23"/>
      <sheetName val="Revenue_($)23"/>
      <sheetName val="Data_Validation8"/>
      <sheetName val="Sublead_(2)4"/>
      <sheetName val="MUS__YARN_Export4"/>
      <sheetName val="Template_inputs_25"/>
      <sheetName val="Revenue_($)25"/>
      <sheetName val="Template_inputs_24"/>
      <sheetName val="Revenue_($)24"/>
      <sheetName val="Data_Validation9"/>
      <sheetName val="Sublead_(2)5"/>
      <sheetName val="MUS__YARN_Export5"/>
      <sheetName val="Data_Validation10"/>
      <sheetName val="Sublead_(2)6"/>
      <sheetName val="MUS__YARN_Export6"/>
      <sheetName val="2005 Budget currencies - Bangla"/>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refreshError="1"/>
      <sheetData sheetId="27" refreshError="1"/>
      <sheetData sheetId="28"/>
      <sheetData sheetId="29"/>
      <sheetData sheetId="30"/>
      <sheetData sheetId="31"/>
      <sheetData sheetId="32"/>
      <sheetData sheetId="33"/>
      <sheetData sheetId="34" refreshError="1"/>
      <sheetData sheetId="35" refreshError="1"/>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ge 1 _ 2"/>
      <sheetName val="Page 1 _ 3"/>
      <sheetName val="Page 1 _ 4"/>
      <sheetName val="Balance Sheet"/>
      <sheetName val="Profit _ Loss"/>
      <sheetName val="Cash Flow"/>
      <sheetName val="Equity"/>
      <sheetName val="loan new"/>
      <sheetName val="Creditors"/>
      <sheetName val="Actuarial"/>
      <sheetName val="fixed assets"/>
      <sheetName val="assets notes"/>
      <sheetName val="Assets notes 2 amended tax rec"/>
      <sheetName val="Assets notes 2"/>
      <sheetName val="Risk managment"/>
      <sheetName val="Risk managmen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xed Assets Department wise"/>
      <sheetName val="Fin"/>
      <sheetName val="Operation"/>
      <sheetName val="Technical"/>
      <sheetName val="Marketing"/>
      <sheetName val="Administration"/>
      <sheetName val="Note 1-4.3"/>
    </sheetNames>
    <sheetDataSet>
      <sheetData sheetId="0"/>
      <sheetData sheetId="1"/>
      <sheetData sheetId="2"/>
      <sheetData sheetId="3"/>
      <sheetData sheetId="4"/>
      <sheetData sheetId="5"/>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fit _ Loss"/>
      <sheetName val="fixed assets"/>
    </sheetNames>
    <sheetDataSet>
      <sheetData sheetId="0" refreshError="1"/>
      <sheetData sheetId="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fit _ Loss"/>
      <sheetName val="fixed assets"/>
    </sheetNames>
    <sheetDataSet>
      <sheetData sheetId="0"/>
      <sheetData sheetId="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djustments"/>
      <sheetName val="Copy note"/>
      <sheetName val="Acct"/>
      <sheetName val="Equity"/>
      <sheetName val="6"/>
      <sheetName val="15"/>
      <sheetName val="16"/>
      <sheetName val="40"/>
      <sheetName val="C.Flow"/>
      <sheetName val="sub"/>
      <sheetName val="ratios"/>
      <sheetName val="CWIP-restated1"/>
      <sheetName val="DG accounts 2004"/>
      <sheetName val="Copy_note"/>
      <sheetName val="C_Flow"/>
      <sheetName val="DG_accounts_2004"/>
      <sheetName val="Plan"/>
      <sheetName val="Cutt"/>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S"/>
      <sheetName val="MAIN"/>
      <sheetName val="TRIAL"/>
      <sheetName val="Con-Leads"/>
      <sheetName val="STOCK"/>
      <sheetName val="C.TAX"/>
      <sheetName val="D.TAX"/>
      <sheetName val="C.FLOW"/>
      <sheetName val="ASSO"/>
      <sheetName val="LetterHead"/>
      <sheetName val="ASSO (2)"/>
      <sheetName val="Sheet1"/>
      <sheetName val="ADJUSTMENTS"/>
      <sheetName val="For Chart of Account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port"/>
      <sheetName val="Sheet1"/>
      <sheetName val="G-017-01"/>
      <sheetName val="T.B."/>
      <sheetName val="DEP"/>
      <sheetName val="cash flow"/>
      <sheetName val="TAXATION"/>
      <sheetName val="Accounts 2012"/>
      <sheetName val="PROVISION FOR TAXATION"/>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consolidation"/>
      <sheetName val="Balance Sheet"/>
      <sheetName val="P &amp; L"/>
      <sheetName val="Cash Flow"/>
      <sheetName val="Changes in Equity"/>
      <sheetName val="Notes"/>
      <sheetName val="Policies-fin"/>
      <sheetName val="Operating Assets"/>
      <sheetName val="lease"/>
      <sheetName val="Financial instrument"/>
      <sheetName val="DEF TAX FIN"/>
      <sheetName val="Yarn"/>
      <sheetName val="CONVERTED 20-S"/>
      <sheetName val="Finished goods"/>
      <sheetName val="Work in process"/>
      <sheetName val="profit onY.trans.to wvg"/>
      <sheetName val="WEAVING"/>
      <sheetName val="DEPRECIATION"/>
      <sheetName val="DELETION (SPIN)"/>
      <sheetName val="DELETION (WEAV)"/>
      <sheetName val="TRADING"/>
      <sheetName val="SPINN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3)"/>
      <sheetName val="Sheet1 (2)"/>
      <sheetName val="Petrol"/>
      <sheetName val="Office Equipments"/>
      <sheetName val="Furniture &amp; Fixture"/>
      <sheetName val="Chart of Accounts"/>
      <sheetName val="Petty_Cash"/>
      <sheetName val="TB (Jan-Sep 99)"/>
      <sheetName val="Petty_Cash_Bookl"/>
      <sheetName val="CASH-BOOK"/>
      <sheetName val="G-L (Oct-Dec 99)"/>
      <sheetName val="J (O-D 99)"/>
      <sheetName val="J (J-S 99)"/>
      <sheetName val="G-L (Jan-Sep 99)"/>
      <sheetName val="2327-7"/>
      <sheetName val="Reconc."/>
      <sheetName val="Payable 1998"/>
      <sheetName val="Receivable 1998"/>
      <sheetName val="Jan-June"/>
      <sheetName val="GENERAL-JOURNAL"/>
      <sheetName val="BUDGET-99 (Revised)"/>
      <sheetName val="BUDGET-99"/>
      <sheetName val="Bank Reconcilation"/>
      <sheetName val="Chq. Statement (operational)"/>
      <sheetName val="Conversion"/>
      <sheetName val="monthly expenses"/>
      <sheetName val="Delegation Fee"/>
      <sheetName val="Visa Services Fee (2)"/>
      <sheetName val="Visa Services Fee"/>
      <sheetName val="RJ-Exp Jan-May 99 (2)"/>
      <sheetName val="TB (Oct-Dec 99)"/>
      <sheetName val="Printing &amp; Statioenery"/>
      <sheetName val="Sheet1"/>
      <sheetName val="Rates"/>
      <sheetName val="G-L (Oct-Dec 99) "/>
      <sheetName val="G-L (Oct-Dec 99)  (2)"/>
      <sheetName val="Sub HMC"/>
      <sheetName val="Budget RS"/>
      <sheetName val="Sheet1_(3)"/>
      <sheetName val="Sheet1_(2)"/>
      <sheetName val="Office_Equipments"/>
      <sheetName val="Furniture_&amp;_Fixture"/>
      <sheetName val="Chart_of_Accounts"/>
      <sheetName val="TB_(Jan-Sep_99)"/>
      <sheetName val="G-L_(Oct-Dec_99)"/>
      <sheetName val="J_(O-D_99)"/>
      <sheetName val="J_(J-S_99)"/>
      <sheetName val="G-L_(Jan-Sep_99)"/>
      <sheetName val="Reconc_"/>
      <sheetName val="Payable_1998"/>
      <sheetName val="Receivable_1998"/>
      <sheetName val="BUDGET-99_(Revised)"/>
      <sheetName val="Bank_Reconcilation"/>
      <sheetName val="Chq__Statement_(operational)"/>
      <sheetName val="monthly_expenses"/>
      <sheetName val="Delegation_Fee"/>
      <sheetName val="Visa_Services_Fee_(2)"/>
      <sheetName val="Visa_Services_Fee"/>
      <sheetName val="RJ-Exp_Jan-May_99_(2)"/>
      <sheetName val="TB_(Oct-Dec_99)"/>
      <sheetName val="Printing_&amp;_Statioenery"/>
      <sheetName val="G-L_(Oct-Dec_99)_"/>
      <sheetName val="G-L_(Oct-Dec_99)__(2)"/>
      <sheetName val="Sub_HMC"/>
      <sheetName val="Sheet1_(3)1"/>
      <sheetName val="Sheet1_(2)1"/>
      <sheetName val="Office_Equipments1"/>
      <sheetName val="Furniture_&amp;_Fixture1"/>
      <sheetName val="Chart_of_Accounts1"/>
      <sheetName val="TB_(Jan-Sep_99)1"/>
      <sheetName val="G-L_(Oct-Dec_99)1"/>
      <sheetName val="J_(O-D_99)1"/>
      <sheetName val="J_(J-S_99)1"/>
      <sheetName val="G-L_(Jan-Sep_99)1"/>
      <sheetName val="Reconc_1"/>
      <sheetName val="Payable_19981"/>
      <sheetName val="Receivable_19981"/>
      <sheetName val="BUDGET-99_(Revised)1"/>
      <sheetName val="Bank_Reconcilation1"/>
      <sheetName val="Chq__Statement_(operational)1"/>
      <sheetName val="monthly_expenses1"/>
      <sheetName val="Delegation_Fee1"/>
      <sheetName val="Visa_Services_Fee_(2)1"/>
      <sheetName val="Visa_Services_Fee1"/>
      <sheetName val="RJ-Exp_Jan-May_99_(2)1"/>
      <sheetName val="TB_(Oct-Dec_99)1"/>
      <sheetName val="Printing_&amp;_Statioenery1"/>
      <sheetName val="G-L_(Oct-Dec_99)_1"/>
      <sheetName val="G-L_(Oct-Dec_99)__(2)1"/>
      <sheetName val="Sub_HMC1"/>
      <sheetName val="Sheet1_(3)2"/>
      <sheetName val="Sheet1_(2)2"/>
      <sheetName val="Office_Equipments2"/>
      <sheetName val="Furniture_&amp;_Fixture2"/>
      <sheetName val="Chart_of_Accounts2"/>
      <sheetName val="TB_(Jan-Sep_99)2"/>
      <sheetName val="G-L_(Oct-Dec_99)2"/>
      <sheetName val="J_(O-D_99)2"/>
      <sheetName val="J_(J-S_99)2"/>
      <sheetName val="G-L_(Jan-Sep_99)2"/>
      <sheetName val="Reconc_2"/>
      <sheetName val="Payable_19982"/>
      <sheetName val="Receivable_19982"/>
      <sheetName val="BUDGET-99_(Revised)2"/>
      <sheetName val="Bank_Reconcilation2"/>
      <sheetName val="Chq__Statement_(operational)2"/>
      <sheetName val="monthly_expenses2"/>
      <sheetName val="Delegation_Fee2"/>
      <sheetName val="Visa_Services_Fee_(2)2"/>
      <sheetName val="Visa_Services_Fee2"/>
      <sheetName val="RJ-Exp_Jan-May_99_(2)2"/>
      <sheetName val="TB_(Oct-Dec_99)2"/>
      <sheetName val="Printing_&amp;_Statioenery2"/>
      <sheetName val="G-L_(Oct-Dec_99)_2"/>
      <sheetName val="G-L_(Oct-Dec_99)__(2)2"/>
      <sheetName val="Sub_HMC2"/>
      <sheetName val="Sheet1_(3)3"/>
      <sheetName val="Sheet1_(2)3"/>
      <sheetName val="Office_Equipments3"/>
      <sheetName val="Furniture_&amp;_Fixture3"/>
      <sheetName val="Chart_of_Accounts3"/>
      <sheetName val="TB_(Jan-Sep_99)3"/>
      <sheetName val="G-L_(Oct-Dec_99)3"/>
      <sheetName val="J_(O-D_99)3"/>
      <sheetName val="J_(J-S_99)3"/>
      <sheetName val="G-L_(Jan-Sep_99)3"/>
      <sheetName val="Reconc_3"/>
      <sheetName val="Payable_19983"/>
      <sheetName val="Receivable_19983"/>
      <sheetName val="BUDGET-99_(Revised)3"/>
      <sheetName val="Bank_Reconcilation3"/>
      <sheetName val="Chq__Statement_(operational)3"/>
      <sheetName val="monthly_expenses3"/>
      <sheetName val="Delegation_Fee3"/>
      <sheetName val="Visa_Services_Fee_(2)3"/>
      <sheetName val="Visa_Services_Fee3"/>
      <sheetName val="RJ-Exp_Jan-May_99_(2)3"/>
      <sheetName val="TB_(Oct-Dec_99)3"/>
      <sheetName val="Printing_&amp;_Statioenery3"/>
      <sheetName val="G-L_(Oct-Dec_99)_3"/>
      <sheetName val="G-L_(Oct-Dec_99)__(2)3"/>
      <sheetName val="Sub_HMC3"/>
      <sheetName val="Sheet1_(3)4"/>
      <sheetName val="Sheet1_(2)4"/>
      <sheetName val="Office_Equipments4"/>
      <sheetName val="Furniture_&amp;_Fixture4"/>
      <sheetName val="Chart_of_Accounts4"/>
      <sheetName val="TB_(Jan-Sep_99)4"/>
      <sheetName val="G-L_(Oct-Dec_99)4"/>
      <sheetName val="J_(O-D_99)4"/>
      <sheetName val="J_(J-S_99)4"/>
      <sheetName val="G-L_(Jan-Sep_99)4"/>
      <sheetName val="Reconc_4"/>
      <sheetName val="Payable_19984"/>
      <sheetName val="Receivable_19984"/>
      <sheetName val="BUDGET-99_(Revised)4"/>
      <sheetName val="Bank_Reconcilation4"/>
      <sheetName val="Chq__Statement_(operational)4"/>
      <sheetName val="monthly_expenses4"/>
      <sheetName val="Delegation_Fee4"/>
      <sheetName val="Visa_Services_Fee_(2)4"/>
      <sheetName val="Visa_Services_Fee4"/>
      <sheetName val="RJ-Exp_Jan-May_99_(2)4"/>
      <sheetName val="TB_(Oct-Dec_99)4"/>
      <sheetName val="Printing_&amp;_Statioenery4"/>
      <sheetName val="G-L_(Oct-Dec_99)_4"/>
      <sheetName val="G-L_(Oct-Dec_99)__(2)4"/>
      <sheetName val="Sub_HMC4"/>
      <sheetName val="Sheet1_(3)5"/>
      <sheetName val="Sheet1_(2)5"/>
      <sheetName val="Office_Equipments5"/>
      <sheetName val="Furniture_&amp;_Fixture5"/>
      <sheetName val="Chart_of_Accounts5"/>
      <sheetName val="TB_(Jan-Sep_99)5"/>
      <sheetName val="G-L_(Oct-Dec_99)5"/>
      <sheetName val="J_(O-D_99)5"/>
      <sheetName val="J_(J-S_99)5"/>
      <sheetName val="G-L_(Jan-Sep_99)5"/>
      <sheetName val="Reconc_5"/>
      <sheetName val="Payable_19985"/>
      <sheetName val="Receivable_19985"/>
      <sheetName val="BUDGET-99_(Revised)5"/>
      <sheetName val="Bank_Reconcilation5"/>
      <sheetName val="Chq__Statement_(operational)5"/>
      <sheetName val="monthly_expenses5"/>
      <sheetName val="Delegation_Fee5"/>
      <sheetName val="Visa_Services_Fee_(2)5"/>
      <sheetName val="Visa_Services_Fee5"/>
      <sheetName val="RJ-Exp_Jan-May_99_(2)5"/>
      <sheetName val="TB_(Oct-Dec_99)5"/>
      <sheetName val="Printing_&amp;_Statioenery5"/>
      <sheetName val="G-L_(Oct-Dec_99)_5"/>
      <sheetName val="G-L_(Oct-Dec_99)__(2)5"/>
      <sheetName val="Sub_HMC5"/>
      <sheetName val="Sheet1_(3)7"/>
      <sheetName val="Sheet1_(2)7"/>
      <sheetName val="Office_Equipments7"/>
      <sheetName val="Furniture_&amp;_Fixture7"/>
      <sheetName val="Chart_of_Accounts7"/>
      <sheetName val="TB_(Jan-Sep_99)7"/>
      <sheetName val="G-L_(Oct-Dec_99)7"/>
      <sheetName val="J_(O-D_99)7"/>
      <sheetName val="J_(J-S_99)7"/>
      <sheetName val="G-L_(Jan-Sep_99)7"/>
      <sheetName val="Reconc_7"/>
      <sheetName val="Payable_19987"/>
      <sheetName val="Receivable_19987"/>
      <sheetName val="BUDGET-99_(Revised)7"/>
      <sheetName val="Bank_Reconcilation7"/>
      <sheetName val="Chq__Statement_(operational)7"/>
      <sheetName val="monthly_expenses7"/>
      <sheetName val="Delegation_Fee7"/>
      <sheetName val="Visa_Services_Fee_(2)7"/>
      <sheetName val="Visa_Services_Fee7"/>
      <sheetName val="RJ-Exp_Jan-May_99_(2)7"/>
      <sheetName val="TB_(Oct-Dec_99)7"/>
      <sheetName val="Printing_&amp;_Statioenery7"/>
      <sheetName val="G-L_(Oct-Dec_99)_7"/>
      <sheetName val="G-L_(Oct-Dec_99)__(2)7"/>
      <sheetName val="Sub_HMC7"/>
      <sheetName val="Sheet1_(3)6"/>
      <sheetName val="Sheet1_(2)6"/>
      <sheetName val="Office_Equipments6"/>
      <sheetName val="Furniture_&amp;_Fixture6"/>
      <sheetName val="Chart_of_Accounts6"/>
      <sheetName val="TB_(Jan-Sep_99)6"/>
      <sheetName val="G-L_(Oct-Dec_99)6"/>
      <sheetName val="J_(O-D_99)6"/>
      <sheetName val="J_(J-S_99)6"/>
      <sheetName val="G-L_(Jan-Sep_99)6"/>
      <sheetName val="Reconc_6"/>
      <sheetName val="Payable_19986"/>
      <sheetName val="Receivable_19986"/>
      <sheetName val="BUDGET-99_(Revised)6"/>
      <sheetName val="Bank_Reconcilation6"/>
      <sheetName val="Chq__Statement_(operational)6"/>
      <sheetName val="monthly_expenses6"/>
      <sheetName val="Delegation_Fee6"/>
      <sheetName val="Visa_Services_Fee_(2)6"/>
      <sheetName val="Visa_Services_Fee6"/>
      <sheetName val="RJ-Exp_Jan-May_99_(2)6"/>
      <sheetName val="TB_(Oct-Dec_99)6"/>
      <sheetName val="Printing_&amp;_Statioenery6"/>
      <sheetName val="G-L_(Oct-Dec_99)_6"/>
      <sheetName val="G-L_(Oct-Dec_99)__(2)6"/>
      <sheetName val="Sub_HMC6"/>
      <sheetName val="Sheet1_(3)8"/>
      <sheetName val="Sheet1_(2)8"/>
      <sheetName val="Office_Equipments8"/>
      <sheetName val="Furniture_&amp;_Fixture8"/>
      <sheetName val="Chart_of_Accounts8"/>
      <sheetName val="TB_(Jan-Sep_99)8"/>
      <sheetName val="G-L_(Oct-Dec_99)8"/>
      <sheetName val="J_(O-D_99)8"/>
      <sheetName val="J_(J-S_99)8"/>
      <sheetName val="G-L_(Jan-Sep_99)8"/>
      <sheetName val="Reconc_8"/>
      <sheetName val="Payable_19988"/>
      <sheetName val="Receivable_19988"/>
      <sheetName val="BUDGET-99_(Revised)8"/>
      <sheetName val="Bank_Reconcilation8"/>
      <sheetName val="Chq__Statement_(operational)8"/>
      <sheetName val="monthly_expenses8"/>
      <sheetName val="Delegation_Fee8"/>
      <sheetName val="Visa_Services_Fee_(2)8"/>
      <sheetName val="Visa_Services_Fee8"/>
      <sheetName val="RJ-Exp_Jan-May_99_(2)8"/>
      <sheetName val="TB_(Oct-Dec_99)8"/>
      <sheetName val="Printing_&amp;_Statioenery8"/>
      <sheetName val="G-L_(Oct-Dec_99)_8"/>
      <sheetName val="G-L_(Oct-Dec_99)__(2)8"/>
      <sheetName val="Sub_HMC8"/>
      <sheetName val="Sheet1_(3)9"/>
      <sheetName val="Sheet1_(2)9"/>
      <sheetName val="Office_Equipments9"/>
      <sheetName val="Furniture_&amp;_Fixture9"/>
      <sheetName val="Chart_of_Accounts9"/>
      <sheetName val="TB_(Jan-Sep_99)9"/>
      <sheetName val="G-L_(Oct-Dec_99)9"/>
      <sheetName val="J_(O-D_99)9"/>
      <sheetName val="J_(J-S_99)9"/>
      <sheetName val="G-L_(Jan-Sep_99)9"/>
      <sheetName val="Reconc_9"/>
      <sheetName val="Payable_19989"/>
      <sheetName val="Receivable_19989"/>
      <sheetName val="BUDGET-99_(Revised)9"/>
      <sheetName val="Bank_Reconcilation9"/>
      <sheetName val="Chq__Statement_(operational)9"/>
      <sheetName val="monthly_expenses9"/>
      <sheetName val="Delegation_Fee9"/>
      <sheetName val="Visa_Services_Fee_(2)9"/>
      <sheetName val="Visa_Services_Fee9"/>
      <sheetName val="RJ-Exp_Jan-May_99_(2)9"/>
      <sheetName val="TB_(Oct-Dec_99)9"/>
      <sheetName val="Printing_&amp;_Statioenery9"/>
      <sheetName val="G-L_(Oct-Dec_99)_9"/>
      <sheetName val="G-L_(Oct-Dec_99)__(2)9"/>
      <sheetName val="Sub_HMC9"/>
      <sheetName val="WOPROXY"/>
      <sheetName val="JDE"/>
      <sheetName val="Balance Sheet"/>
      <sheetName val="D-11 Bank and Cash"/>
      <sheetName val="C-1 Fixed Assets"/>
      <sheetName val="C-6 Long term deposits"/>
      <sheetName val="D-4Trade &amp; Other 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ONT PAGE"/>
      <sheetName val="BS"/>
      <sheetName val="MAIN"/>
      <sheetName val="TRIAL"/>
      <sheetName val="C.FLOW"/>
      <sheetName val="STOCK"/>
      <sheetName val="Con-Leads"/>
      <sheetName val="C.TAX"/>
      <sheetName val="D.TAX"/>
      <sheetName val="D&amp;E REMUNERATION"/>
      <sheetName val="CAPACITY"/>
      <sheetName val="EPS"/>
      <sheetName val="ASSO"/>
      <sheetName val="Sheet1"/>
      <sheetName val="ADJUSTMENTS"/>
      <sheetName val="ACC POLICIES"/>
      <sheetName val="CASH-BOOK"/>
      <sheetName val="REPORT"/>
      <sheetName val="L.R.SCHEDULE"/>
      <sheetName val="L.R.SCHEDULE (2)"/>
      <sheetName val="Data"/>
      <sheetName val="FRONT_PAGE"/>
      <sheetName val="C_FLOW"/>
      <sheetName val="C_TAX"/>
      <sheetName val="D_TAX"/>
      <sheetName val="D&amp;E_REMUNERATION"/>
      <sheetName val="ACC_POLICIES"/>
      <sheetName val="FRONT_PAGE1"/>
      <sheetName val="C_FLOW1"/>
      <sheetName val="C_TAX1"/>
      <sheetName val="D_TAX1"/>
      <sheetName val="D&amp;E_REMUNERATION1"/>
      <sheetName val="ACC_POLICIES1"/>
      <sheetName val="FRONT_PAGE2"/>
      <sheetName val="C_FLOW2"/>
      <sheetName val="C_TAX2"/>
      <sheetName val="D_TAX2"/>
      <sheetName val="D&amp;E_REMUNERATION2"/>
      <sheetName val="ACC_POLICIES2"/>
      <sheetName val="FRONT_PAGE3"/>
      <sheetName val="C_FLOW3"/>
      <sheetName val="C_TAX3"/>
      <sheetName val="D_TAX3"/>
      <sheetName val="D&amp;E_REMUNERATION3"/>
      <sheetName val="ACC_POLICIES3"/>
      <sheetName val="FRONT_PAGE4"/>
      <sheetName val="C_FLOW4"/>
      <sheetName val="C_TAX4"/>
      <sheetName val="D_TAX4"/>
      <sheetName val="D&amp;E_REMUNERATION4"/>
      <sheetName val="ACC_POLICIES4"/>
      <sheetName val="FRONT_PAGE5"/>
      <sheetName val="C_FLOW5"/>
      <sheetName val="C_TAX5"/>
      <sheetName val="D_TAX5"/>
      <sheetName val="D&amp;E_REMUNERATION5"/>
      <sheetName val="ACC_POLICIES5"/>
      <sheetName val="FRONT_PAGE6"/>
      <sheetName val="C_FLOW6"/>
      <sheetName val="C_TAX6"/>
      <sheetName val="D_TAX6"/>
      <sheetName val="D&amp;E_REMUNERATION6"/>
      <sheetName val="ACC_POLICIES6"/>
      <sheetName val="FRONT_PAGE8"/>
      <sheetName val="C_FLOW8"/>
      <sheetName val="C_TAX8"/>
      <sheetName val="D_TAX8"/>
      <sheetName val="D&amp;E_REMUNERATION8"/>
      <sheetName val="ACC_POLICIES8"/>
      <sheetName val="FRONT_PAGE7"/>
      <sheetName val="C_FLOW7"/>
      <sheetName val="C_TAX7"/>
      <sheetName val="D_TAX7"/>
      <sheetName val="D&amp;E_REMUNERATION7"/>
      <sheetName val="ACC_POLICIES7"/>
      <sheetName val="FRONT_PAGE9"/>
      <sheetName val="C_FLOW9"/>
      <sheetName val="C_TAX9"/>
      <sheetName val="D_TAX9"/>
      <sheetName val="D&amp;E_REMUNERATION9"/>
      <sheetName val="ACC_POLICIES9"/>
      <sheetName val="FRONT_PAGE10"/>
      <sheetName val="C_FLOW10"/>
      <sheetName val="C_TAX10"/>
      <sheetName val="D_TAX10"/>
      <sheetName val="D&amp;E_REMUNERATION10"/>
      <sheetName val="ACC_POLICIES10"/>
      <sheetName val="FRONT_PAGE12"/>
      <sheetName val="C_FLOW12"/>
      <sheetName val="C_TAX12"/>
      <sheetName val="D_TAX12"/>
      <sheetName val="D&amp;E_REMUNERATION12"/>
      <sheetName val="ACC_POLICIES12"/>
      <sheetName val="FRONT_PAGE11"/>
      <sheetName val="C_FLOW11"/>
      <sheetName val="C_TAX11"/>
      <sheetName val="D_TAX11"/>
      <sheetName val="D&amp;E_REMUNERATION11"/>
      <sheetName val="ACC_POLICIES11"/>
      <sheetName val="CHALLAN"/>
      <sheetName val="TRIL9900"/>
      <sheetName val="Balance Sheet"/>
      <sheetName val="FRONT_PAGE17"/>
      <sheetName val="C_FLOW17"/>
      <sheetName val="C_TAX17"/>
      <sheetName val="D_TAX17"/>
      <sheetName val="D&amp;E_REMUNERATION17"/>
      <sheetName val="ACC_POLICIES17"/>
      <sheetName val="FRONT_PAGE13"/>
      <sheetName val="C_FLOW13"/>
      <sheetName val="C_TAX13"/>
      <sheetName val="D_TAX13"/>
      <sheetName val="D&amp;E_REMUNERATION13"/>
      <sheetName val="ACC_POLICIES13"/>
      <sheetName val="FRONT_PAGE14"/>
      <sheetName val="C_FLOW14"/>
      <sheetName val="C_TAX14"/>
      <sheetName val="D_TAX14"/>
      <sheetName val="D&amp;E_REMUNERATION14"/>
      <sheetName val="ACC_POLICIES14"/>
      <sheetName val="FRONT_PAGE15"/>
      <sheetName val="C_FLOW15"/>
      <sheetName val="C_TAX15"/>
      <sheetName val="D_TAX15"/>
      <sheetName val="D&amp;E_REMUNERATION15"/>
      <sheetName val="ACC_POLICIES15"/>
      <sheetName val="FRONT_PAGE16"/>
      <sheetName val="C_FLOW16"/>
      <sheetName val="C_TAX16"/>
      <sheetName val="D_TAX16"/>
      <sheetName val="D&amp;E_REMUNERATION16"/>
      <sheetName val="ACC_POLICIES16"/>
      <sheetName val="FRONT_PAGE18"/>
      <sheetName val="C_FLOW18"/>
      <sheetName val="C_TAX18"/>
      <sheetName val="D_TAX18"/>
      <sheetName val="D&amp;E_REMUNERATION18"/>
      <sheetName val="ACC_POLICIES18"/>
      <sheetName val="TRans"/>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ONT PAGE"/>
      <sheetName val="REPORT"/>
      <sheetName val="BS"/>
      <sheetName val="MAIN"/>
      <sheetName val="TRIAL"/>
      <sheetName val="C.FLOW"/>
      <sheetName val="STOCK"/>
      <sheetName val="Con-Leads"/>
      <sheetName val="C.TAX"/>
      <sheetName val="D.TAX"/>
      <sheetName val="D&amp;E REMUNERATION"/>
      <sheetName val="CAPACITY"/>
      <sheetName val="EPS"/>
      <sheetName val="ASSO"/>
      <sheetName val="L.R.SCHEDULE"/>
      <sheetName val="L.R.SCHEDULE (2)"/>
      <sheetName val="ADJUSTMENTS"/>
      <sheetName val="ACC POLICIES"/>
      <sheetName val="Sheet1"/>
      <sheetName val="CASH-BOOK"/>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Sheet2"/>
      <sheetName val="Sheet3"/>
      <sheetName val="Links"/>
      <sheetName val="#REF"/>
      <sheetName val="P &amp; L"/>
      <sheetName val="Staff Count"/>
      <sheetName val="Assumptions"/>
      <sheetName val="Cash Flow Direct Year 2002"/>
      <sheetName val="Operation Var"/>
      <sheetName val="Total By Category"/>
      <sheetName val="General Manager Dep"/>
      <sheetName val="A&amp;G Expenses"/>
      <sheetName val="Sold Assets Sheet"/>
      <sheetName val="Staff"/>
      <sheetName val="Balance Sheet"/>
      <sheetName val="Delivery Cost Assumption"/>
      <sheetName val="Bass Curve Calibration"/>
      <sheetName val="P_&amp;_L"/>
      <sheetName val="Staff_Count"/>
      <sheetName val="Cash_Flow_Direct_Year_2002"/>
      <sheetName val="Operation_Var"/>
      <sheetName val="Total_By_Category"/>
      <sheetName val="General_Manager_Dep"/>
      <sheetName val="A&amp;G_Expenses"/>
      <sheetName val="Sold_Assets_Sheet"/>
      <sheetName val="Balance_Sheet"/>
      <sheetName val="Delivery_Cost_Assum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S"/>
      <sheetName val="Income &amp; Expenditure"/>
      <sheetName val="notes"/>
      <sheetName val="TRIAL"/>
      <sheetName val="Trust"/>
      <sheetName val="WORKING"/>
      <sheetName val="LEDGER"/>
      <sheetName val="exchange loss"/>
      <sheetName val="donations"/>
      <sheetName val="SUDBASE"/>
      <sheetName val="2004-2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kt Scenario"/>
      <sheetName val="Summary"/>
      <sheetName val="Costs Estimate"/>
      <sheetName val="Summary for Distribution"/>
      <sheetName val="Citywise Sales Split"/>
      <sheetName val="Projections"/>
      <sheetName val="Tariff Effect on ARPU"/>
      <sheetName val="Tariffs"/>
      <sheetName val="Tariff  Usage Scenarios"/>
      <sheetName val="historic sales"/>
      <sheetName val="6+6 Forecast"/>
      <sheetName val="Voice"/>
      <sheetName val="VAS"/>
      <sheetName val="IR"/>
      <sheetName val="Cost Analysis"/>
      <sheetName val="Budget RS"/>
      <sheetName val="CDVB"/>
      <sheetName val="D.S"/>
      <sheetName val="Tax Calculation"/>
      <sheetName val="Charging"/>
      <sheetName val="pkage01"/>
      <sheetName val="مصنع السادة"/>
      <sheetName val="Work Area"/>
      <sheetName val="Sub HMC"/>
      <sheetName val="Sales"/>
      <sheetName val="Easy Call 2"/>
      <sheetName val="Mkt_Scenario"/>
      <sheetName val="Costs_Estimate"/>
      <sheetName val="Summary_for_Distribution"/>
      <sheetName val="Citywise_Sales_Split"/>
      <sheetName val="Tariff_Effect_on_ARPU"/>
      <sheetName val="Tariff__Usage_Scenarios"/>
      <sheetName val="historic_sales"/>
      <sheetName val="6+6_Forecast"/>
      <sheetName val="Cost_Analysis"/>
      <sheetName val="D_S"/>
      <sheetName val="Tax_Calculation"/>
      <sheetName val="Budget_RS"/>
      <sheetName val="مصنع_السادة"/>
      <sheetName val="Work_Area"/>
      <sheetName val="Sub_HMC"/>
      <sheetName val="SH___No_Match_on_PO."/>
      <sheetName val="Index"/>
      <sheetName val="Easy_Call_2"/>
      <sheetName val="Mkt_Scenario1"/>
      <sheetName val="Costs_Estimate1"/>
      <sheetName val="Summary_for_Distribution1"/>
      <sheetName val="Citywise_Sales_Split1"/>
      <sheetName val="Tariff_Effect_on_ARPU1"/>
      <sheetName val="Tariff__Usage_Scenarios1"/>
      <sheetName val="historic_sales1"/>
      <sheetName val="6+6_Forecast1"/>
      <sheetName val="Cost_Analysis1"/>
      <sheetName val="D_S1"/>
      <sheetName val="Tax_Calculation1"/>
      <sheetName val="Budget_RS1"/>
      <sheetName val="مصنع_السادة1"/>
      <sheetName val="Work_Area1"/>
      <sheetName val="Sub_HMC1"/>
      <sheetName val="Easy_Call_21"/>
      <sheetName val="Mkt_Scenario2"/>
      <sheetName val="Costs_Estimate2"/>
      <sheetName val="Summary_for_Distribution2"/>
      <sheetName val="Citywise_Sales_Split2"/>
      <sheetName val="Tariff_Effect_on_ARPU2"/>
      <sheetName val="Tariff__Usage_Scenarios2"/>
      <sheetName val="historic_sales2"/>
      <sheetName val="6+6_Forecast2"/>
      <sheetName val="Cost_Analysis2"/>
      <sheetName val="D_S2"/>
      <sheetName val="Tax_Calculation2"/>
      <sheetName val="Budget_RS2"/>
      <sheetName val="مصنع_السادة2"/>
      <sheetName val="Work_Area2"/>
      <sheetName val="Sub_HMC2"/>
      <sheetName val="Easy_Call_22"/>
      <sheetName val="Mkt_Scenario3"/>
      <sheetName val="Costs_Estimate3"/>
      <sheetName val="Summary_for_Distribution3"/>
      <sheetName val="Citywise_Sales_Split3"/>
      <sheetName val="Tariff_Effect_on_ARPU3"/>
      <sheetName val="Tariff__Usage_Scenarios3"/>
      <sheetName val="historic_sales3"/>
      <sheetName val="6+6_Forecast3"/>
      <sheetName val="Cost_Analysis3"/>
      <sheetName val="D_S3"/>
      <sheetName val="Tax_Calculation3"/>
      <sheetName val="Budget_RS3"/>
      <sheetName val="مصنع_السادة3"/>
      <sheetName val="Work_Area3"/>
      <sheetName val="Sub_HMC3"/>
      <sheetName val="Easy_Call_23"/>
      <sheetName val="Mkt_Scenario4"/>
      <sheetName val="Costs_Estimate4"/>
      <sheetName val="Summary_for_Distribution4"/>
      <sheetName val="Citywise_Sales_Split4"/>
      <sheetName val="Tariff_Effect_on_ARPU4"/>
      <sheetName val="Tariff__Usage_Scenarios4"/>
      <sheetName val="historic_sales4"/>
      <sheetName val="6+6_Forecast4"/>
      <sheetName val="Cost_Analysis4"/>
      <sheetName val="D_S4"/>
      <sheetName val="Tax_Calculation4"/>
      <sheetName val="Budget_RS4"/>
      <sheetName val="مصنع_السادة4"/>
      <sheetName val="Work_Area4"/>
      <sheetName val="Sub_HMC4"/>
      <sheetName val="Easy_Call_24"/>
      <sheetName val="Mkt_Scenario5"/>
      <sheetName val="Costs_Estimate5"/>
      <sheetName val="Summary_for_Distribution5"/>
      <sheetName val="Citywise_Sales_Split5"/>
      <sheetName val="Tariff_Effect_on_ARPU5"/>
      <sheetName val="Tariff__Usage_Scenarios5"/>
      <sheetName val="historic_sales5"/>
      <sheetName val="6+6_Forecast5"/>
      <sheetName val="Cost_Analysis5"/>
      <sheetName val="D_S5"/>
      <sheetName val="Tax_Calculation5"/>
      <sheetName val="Budget_RS5"/>
      <sheetName val="مصنع_السادة5"/>
      <sheetName val="Work_Area5"/>
      <sheetName val="Sub_HMC5"/>
      <sheetName val="Easy_Call_25"/>
      <sheetName val="Mkt_Scenario6"/>
      <sheetName val="Costs_Estimate6"/>
      <sheetName val="Summary_for_Distribution6"/>
      <sheetName val="Citywise_Sales_Split6"/>
      <sheetName val="Tariff_Effect_on_ARPU6"/>
      <sheetName val="Tariff__Usage_Scenarios6"/>
      <sheetName val="historic_sales6"/>
      <sheetName val="6+6_Forecast6"/>
      <sheetName val="Cost_Analysis6"/>
      <sheetName val="D_S6"/>
      <sheetName val="Tax_Calculation6"/>
      <sheetName val="Budget_RS6"/>
      <sheetName val="مصنع_السادة6"/>
      <sheetName val="Work_Area6"/>
      <sheetName val="Sub_HMC6"/>
      <sheetName val="Easy_Call_26"/>
      <sheetName val="Mkt_Scenario8"/>
      <sheetName val="Costs_Estimate8"/>
      <sheetName val="Summary_for_Distribution8"/>
      <sheetName val="Citywise_Sales_Split8"/>
      <sheetName val="Tariff_Effect_on_ARPU8"/>
      <sheetName val="Tariff__Usage_Scenarios8"/>
      <sheetName val="historic_sales8"/>
      <sheetName val="6+6_Forecast8"/>
      <sheetName val="Cost_Analysis8"/>
      <sheetName val="D_S8"/>
      <sheetName val="Tax_Calculation8"/>
      <sheetName val="Budget_RS8"/>
      <sheetName val="مصنع_السادة8"/>
      <sheetName val="Work_Area8"/>
      <sheetName val="Sub_HMC8"/>
      <sheetName val="Easy_Call_28"/>
      <sheetName val="Mkt_Scenario7"/>
      <sheetName val="Costs_Estimate7"/>
      <sheetName val="Summary_for_Distribution7"/>
      <sheetName val="Citywise_Sales_Split7"/>
      <sheetName val="Tariff_Effect_on_ARPU7"/>
      <sheetName val="Tariff__Usage_Scenarios7"/>
      <sheetName val="historic_sales7"/>
      <sheetName val="6+6_Forecast7"/>
      <sheetName val="Cost_Analysis7"/>
      <sheetName val="D_S7"/>
      <sheetName val="Tax_Calculation7"/>
      <sheetName val="Budget_RS7"/>
      <sheetName val="مصنع_السادة7"/>
      <sheetName val="Work_Area7"/>
      <sheetName val="Sub_HMC7"/>
      <sheetName val="Easy_Call_27"/>
      <sheetName val="Mkt_Scenario9"/>
      <sheetName val="Costs_Estimate9"/>
      <sheetName val="Summary_for_Distribution9"/>
      <sheetName val="Citywise_Sales_Split9"/>
      <sheetName val="Tariff_Effect_on_ARPU9"/>
      <sheetName val="Tariff__Usage_Scenarios9"/>
      <sheetName val="historic_sales9"/>
      <sheetName val="6+6_Forecast9"/>
      <sheetName val="Cost_Analysis9"/>
      <sheetName val="D_S9"/>
      <sheetName val="Tax_Calculation9"/>
      <sheetName val="Budget_RS9"/>
      <sheetName val="مصنع_السادة9"/>
      <sheetName val="Work_Area9"/>
      <sheetName val="Sub_HMC9"/>
      <sheetName val="Easy_Call_29"/>
      <sheetName val="Mkt_Scenario10"/>
      <sheetName val="Costs_Estimate10"/>
      <sheetName val="Summary_for_Distribution10"/>
      <sheetName val="Citywise_Sales_Split10"/>
      <sheetName val="Tariff_Effect_on_ARPU10"/>
      <sheetName val="Tariff__Usage_Scenarios10"/>
      <sheetName val="historic_sales10"/>
      <sheetName val="6+6_Forecast10"/>
      <sheetName val="Cost_Analysis10"/>
      <sheetName val="D_S10"/>
      <sheetName val="Tax_Calculation10"/>
      <sheetName val="Budget_RS10"/>
      <sheetName val="مصنع_السادة10"/>
      <sheetName val="Work_Area10"/>
      <sheetName val="Sub_HMC10"/>
      <sheetName val="Easy_Call_210"/>
      <sheetName val="JDE"/>
      <sheetName val="Mkt_Scenario12"/>
      <sheetName val="Costs_Estimate12"/>
      <sheetName val="Summary_for_Distribution12"/>
      <sheetName val="Citywise_Sales_Split12"/>
      <sheetName val="Tariff_Effect_on_ARPU12"/>
      <sheetName val="Tariff__Usage_Scenarios12"/>
      <sheetName val="historic_sales12"/>
      <sheetName val="6+6_Forecast12"/>
      <sheetName val="Cost_Analysis12"/>
      <sheetName val="D_S12"/>
      <sheetName val="Tax_Calculation12"/>
      <sheetName val="Budget_RS12"/>
      <sheetName val="مصنع_السادة12"/>
      <sheetName val="Work_Area12"/>
      <sheetName val="Sub_HMC12"/>
      <sheetName val="Easy_Call_212"/>
      <sheetName val="Mkt_Scenario11"/>
      <sheetName val="Costs_Estimate11"/>
      <sheetName val="Summary_for_Distribution11"/>
      <sheetName val="Citywise_Sales_Split11"/>
      <sheetName val="Tariff_Effect_on_ARPU11"/>
      <sheetName val="Tariff__Usage_Scenarios11"/>
      <sheetName val="historic_sales11"/>
      <sheetName val="6+6_Forecast11"/>
      <sheetName val="Cost_Analysis11"/>
      <sheetName val="D_S11"/>
      <sheetName val="Tax_Calculation11"/>
      <sheetName val="Budget_RS11"/>
      <sheetName val="مصنع_السادة11"/>
      <sheetName val="Work_Area11"/>
      <sheetName val="Sub_HMC11"/>
      <sheetName val="Easy_Call_211"/>
      <sheetName val="CASH-BOOK"/>
      <sheetName val="SH___No_Match_on_PO_"/>
      <sheetName val="Storage"/>
      <sheetName val="Requirements"/>
      <sheetName val="Financial"/>
      <sheetName val="Mkt_Scenario13"/>
      <sheetName val="Costs_Estimate13"/>
      <sheetName val="Summary_for_Distribution13"/>
      <sheetName val="Citywise_Sales_Split13"/>
      <sheetName val="Tariff_Effect_on_ARPU13"/>
      <sheetName val="Tariff__Usage_Scenarios13"/>
      <sheetName val="historic_sales13"/>
      <sheetName val="6+6_Forecast13"/>
      <sheetName val="Cost_Analysis13"/>
      <sheetName val="D_S13"/>
      <sheetName val="Tax_Calculation13"/>
      <sheetName val="Budget_RS13"/>
      <sheetName val="مصنع_السادة13"/>
      <sheetName val="Work_Area13"/>
      <sheetName val="Sub_HMC13"/>
      <sheetName val="Easy_Call_213"/>
      <sheetName val="SH___No_Match_on_PO_1"/>
      <sheetName val="Mkt_Scenario15"/>
      <sheetName val="Costs_Estimate15"/>
      <sheetName val="Summary_for_Distribution15"/>
      <sheetName val="Citywise_Sales_Split15"/>
      <sheetName val="Tariff_Effect_on_ARPU15"/>
      <sheetName val="Tariff__Usage_Scenarios15"/>
      <sheetName val="historic_sales15"/>
      <sheetName val="6+6_Forecast15"/>
      <sheetName val="Cost_Analysis15"/>
      <sheetName val="D_S15"/>
      <sheetName val="Tax_Calculation15"/>
      <sheetName val="Budget_RS15"/>
      <sheetName val="مصنع_السادة15"/>
      <sheetName val="Work_Area15"/>
      <sheetName val="Sub_HMC15"/>
      <sheetName val="Easy_Call_215"/>
      <sheetName val="SH___No_Match_on_PO_3"/>
      <sheetName val="Mkt_Scenario14"/>
      <sheetName val="Costs_Estimate14"/>
      <sheetName val="Summary_for_Distribution14"/>
      <sheetName val="Citywise_Sales_Split14"/>
      <sheetName val="Tariff_Effect_on_ARPU14"/>
      <sheetName val="Tariff__Usage_Scenarios14"/>
      <sheetName val="historic_sales14"/>
      <sheetName val="6+6_Forecast14"/>
      <sheetName val="Cost_Analysis14"/>
      <sheetName val="D_S14"/>
      <sheetName val="Tax_Calculation14"/>
      <sheetName val="Budget_RS14"/>
      <sheetName val="مصنع_السادة14"/>
      <sheetName val="Work_Area14"/>
      <sheetName val="Sub_HMC14"/>
      <sheetName val="Easy_Call_214"/>
      <sheetName val="SH___No_Match_on_PO_2"/>
      <sheetName val="Mkt_Scenario16"/>
      <sheetName val="Costs_Estimate16"/>
      <sheetName val="Summary_for_Distribution16"/>
      <sheetName val="Citywise_Sales_Split16"/>
      <sheetName val="Tariff_Effect_on_ARPU16"/>
      <sheetName val="Tariff__Usage_Scenarios16"/>
      <sheetName val="historic_sales16"/>
      <sheetName val="6+6_Forecast16"/>
      <sheetName val="Cost_Analysis16"/>
      <sheetName val="D_S16"/>
      <sheetName val="Tax_Calculation16"/>
      <sheetName val="Budget_RS16"/>
      <sheetName val="مصنع_السادة16"/>
      <sheetName val="Work_Area16"/>
      <sheetName val="Sub_HMC16"/>
      <sheetName val="Easy_Call_216"/>
      <sheetName val="SH___No_Match_on_PO_4"/>
      <sheetName val="Mkt_Scenario20"/>
      <sheetName val="Costs_Estimate20"/>
      <sheetName val="Summary_for_Distribution20"/>
      <sheetName val="Citywise_Sales_Split20"/>
      <sheetName val="Tariff_Effect_on_ARPU20"/>
      <sheetName val="Tariff__Usage_Scenarios20"/>
      <sheetName val="historic_sales20"/>
      <sheetName val="6+6_Forecast20"/>
      <sheetName val="Cost_Analysis20"/>
      <sheetName val="D_S20"/>
      <sheetName val="Tax_Calculation20"/>
      <sheetName val="Budget_RS20"/>
      <sheetName val="مصنع_السادة20"/>
      <sheetName val="Work_Area20"/>
      <sheetName val="Sub_HMC20"/>
      <sheetName val="Easy_Call_220"/>
      <sheetName val="SH___No_Match_on_PO_8"/>
      <sheetName val="Mkt_Scenario19"/>
      <sheetName val="Costs_Estimate19"/>
      <sheetName val="Summary_for_Distribution19"/>
      <sheetName val="Citywise_Sales_Split19"/>
      <sheetName val="Tariff_Effect_on_ARPU19"/>
      <sheetName val="Tariff__Usage_Scenarios19"/>
      <sheetName val="historic_sales19"/>
      <sheetName val="6+6_Forecast19"/>
      <sheetName val="Cost_Analysis19"/>
      <sheetName val="D_S19"/>
      <sheetName val="Tax_Calculation19"/>
      <sheetName val="Budget_RS19"/>
      <sheetName val="مصنع_السادة19"/>
      <sheetName val="Work_Area19"/>
      <sheetName val="Sub_HMC19"/>
      <sheetName val="Easy_Call_219"/>
      <sheetName val="SH___No_Match_on_PO_7"/>
      <sheetName val="Mkt_Scenario18"/>
      <sheetName val="Costs_Estimate18"/>
      <sheetName val="Summary_for_Distribution18"/>
      <sheetName val="Citywise_Sales_Split18"/>
      <sheetName val="Tariff_Effect_on_ARPU18"/>
      <sheetName val="Tariff__Usage_Scenarios18"/>
      <sheetName val="historic_sales18"/>
      <sheetName val="6+6_Forecast18"/>
      <sheetName val="Cost_Analysis18"/>
      <sheetName val="D_S18"/>
      <sheetName val="Tax_Calculation18"/>
      <sheetName val="Budget_RS18"/>
      <sheetName val="مصنع_السادة18"/>
      <sheetName val="Work_Area18"/>
      <sheetName val="Sub_HMC18"/>
      <sheetName val="Easy_Call_218"/>
      <sheetName val="SH___No_Match_on_PO_6"/>
      <sheetName val="Mkt_Scenario17"/>
      <sheetName val="Costs_Estimate17"/>
      <sheetName val="Summary_for_Distribution17"/>
      <sheetName val="Citywise_Sales_Split17"/>
      <sheetName val="Tariff_Effect_on_ARPU17"/>
      <sheetName val="Tariff__Usage_Scenarios17"/>
      <sheetName val="historic_sales17"/>
      <sheetName val="6+6_Forecast17"/>
      <sheetName val="Cost_Analysis17"/>
      <sheetName val="D_S17"/>
      <sheetName val="Tax_Calculation17"/>
      <sheetName val="Budget_RS17"/>
      <sheetName val="مصنع_السادة17"/>
      <sheetName val="Work_Area17"/>
      <sheetName val="Sub_HMC17"/>
      <sheetName val="Easy_Call_217"/>
      <sheetName val="SH___No_Match_on_PO_5"/>
      <sheetName val="Mkt_Scenario21"/>
      <sheetName val="Costs_Estimate21"/>
      <sheetName val="Summary_for_Distribution21"/>
      <sheetName val="Citywise_Sales_Split21"/>
      <sheetName val="Tariff_Effect_on_ARPU21"/>
      <sheetName val="Tariff__Usage_Scenarios21"/>
      <sheetName val="historic_sales21"/>
      <sheetName val="6+6_Forecast21"/>
      <sheetName val="Cost_Analysis21"/>
      <sheetName val="D_S21"/>
      <sheetName val="Tax_Calculation21"/>
      <sheetName val="Budget_RS21"/>
      <sheetName val="مصنع_السادة21"/>
      <sheetName val="Work_Area21"/>
      <sheetName val="Sub_HMC21"/>
      <sheetName val="Easy_Call_221"/>
      <sheetName val="SH___No_Match_on_PO_9"/>
      <sheetName val="Mkt_Scenario22"/>
      <sheetName val="Costs_Estimate22"/>
      <sheetName val="Summary_for_Distribution22"/>
      <sheetName val="Citywise_Sales_Split22"/>
      <sheetName val="Tariff_Effect_on_ARPU22"/>
      <sheetName val="Tariff__Usage_Scenarios22"/>
      <sheetName val="historic_sales22"/>
      <sheetName val="6+6_Forecast22"/>
      <sheetName val="Cost_Analysis22"/>
      <sheetName val="D_S22"/>
      <sheetName val="Tax_Calculation22"/>
      <sheetName val="Budget_RS22"/>
      <sheetName val="مصنع_السادة22"/>
      <sheetName val="Work_Area22"/>
      <sheetName val="Sub_HMC22"/>
      <sheetName val="Easy_Call_222"/>
      <sheetName val="SH___No_Match_on_PO_10"/>
      <sheetName val="Mkt_Scenario23"/>
      <sheetName val="Costs_Estimate23"/>
      <sheetName val="Summary_for_Distribution23"/>
      <sheetName val="Citywise_Sales_Split23"/>
      <sheetName val="Tariff_Effect_on_ARPU23"/>
      <sheetName val="Tariff__Usage_Scenarios23"/>
      <sheetName val="historic_sales23"/>
      <sheetName val="6+6_Forecast23"/>
      <sheetName val="Cost_Analysis23"/>
      <sheetName val="D_S23"/>
      <sheetName val="Tax_Calculation23"/>
      <sheetName val="Budget_RS23"/>
      <sheetName val="مصنع_السادة23"/>
      <sheetName val="Work_Area23"/>
      <sheetName val="Sub_HMC23"/>
      <sheetName val="Easy_Call_223"/>
      <sheetName val="SH___No_Match_on_PO_11"/>
      <sheetName val="Mkt_Scenario25"/>
      <sheetName val="Costs_Estimate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XXXXXX"/>
      <sheetName val="Sheet2"/>
      <sheetName val="Accts"/>
      <sheetName val="Note29"/>
      <sheetName val="Control sheet"/>
      <sheetName val="8,9"/>
      <sheetName val="SV"/>
      <sheetName val="OS entries"/>
      <sheetName val="Total Detail"/>
      <sheetName val="FMC2004 linked-UK"/>
      <sheetName val="Grmt Ord"/>
      <sheetName val="Accounts"/>
      <sheetName val="Control_sheet"/>
      <sheetName val="OS_entries"/>
      <sheetName val="Total_Detail"/>
      <sheetName val="Grmt_Ord"/>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nual"/>
      <sheetName val="Budget BS"/>
      <sheetName val="Budget RS"/>
      <sheetName val="Budget PL"/>
      <sheetName val="3+9 Forecast"/>
      <sheetName val="TB"/>
      <sheetName val="Grouping"/>
      <sheetName val="P&amp;L Bgt"/>
      <sheetName val="P&amp;L Proj"/>
      <sheetName val="Summ. P&amp;L"/>
      <sheetName val="Revenue ($)"/>
      <sheetName val="Revenue forecast"/>
      <sheetName val="P&amp;L Account"/>
      <sheetName val="N.New B.S"/>
      <sheetName val="Income Statement"/>
      <sheetName val="Notes FA"/>
      <sheetName val="N.New Notes"/>
      <sheetName val="C.Flow"/>
      <sheetName val="Sum.P&amp;L(Rs)"/>
      <sheetName val="Revenue (Rs)"/>
      <sheetName val="P&amp;L Bgt(Rs)"/>
      <sheetName val="C.F.Wor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Dais Perdais"/>
      <sheetName val="Dancom"/>
      <sheetName val="Danum I.T Telecom"/>
      <sheetName val="Decent Communication"/>
      <sheetName val="Delta Phone -Lhr"/>
      <sheetName val="Delta Phone-Sahiwal"/>
      <sheetName val="Delphi"/>
      <sheetName val="Dial Telecom"/>
      <sheetName val="Dial N Talk Commun"/>
      <sheetName val="D-Tel (SMC)"/>
      <sheetName val="DutyFree Communication"/>
      <sheetName val="Easy Call "/>
      <sheetName val="Easy Call 2"/>
      <sheetName val="Easy Phone"/>
      <sheetName val="Elahi Communication"/>
      <sheetName val="Emaan Telecom"/>
      <sheetName val="Euro Jankider"/>
      <sheetName val="Everlast Communication"/>
      <sheetName val="Expert Telecom"/>
      <sheetName val="Ezee Link"/>
      <sheetName val="Fair Deal Phone"/>
      <sheetName val="Fajar Telecom"/>
      <sheetName val="Falcon Communication"/>
      <sheetName val="Falcon Telecom"/>
      <sheetName val="Fan Pakistan"/>
      <sheetName val="Farcom"/>
      <sheetName val="Fast Communication"/>
      <sheetName val="Fiber Telecom"/>
      <sheetName val="Flexo Art"/>
      <sheetName val="Fone Plus Telecom"/>
      <sheetName val="Frindship Telecom"/>
      <sheetName val="FFM International"/>
      <sheetName val="Geo Phone`"/>
      <sheetName val="Gerry Information"/>
      <sheetName val="Glaxy Communication"/>
      <sheetName val="Global Allied"/>
      <sheetName val="Global Comtech"/>
      <sheetName val="Global Softel"/>
      <sheetName val="Global Telecom"/>
      <sheetName val="Gul Communication"/>
      <sheetName val="Gull Pay Phone"/>
      <sheetName val="Gulf Communication"/>
      <sheetName val="Gulzar Construction"/>
      <sheetName val="Haji khalil &amp; Sons"/>
      <sheetName val="Haji Yaqoob R A"/>
      <sheetName val="Hanif &amp; Co."/>
      <sheetName val="Hasnat &amp; co."/>
      <sheetName val="Hawk Telecom"/>
      <sheetName val="Hello Commun"/>
      <sheetName val="Hello link"/>
      <sheetName val="Hifza Enterprises"/>
      <sheetName val="Hilton Karachi"/>
      <sheetName val="Hilton Multan"/>
      <sheetName val="Hi Tech"/>
      <sheetName val="HK Communication"/>
      <sheetName val="Holiday Network"/>
      <sheetName val="Ibrahim Commun"/>
      <sheetName val="IJ Telecom"/>
      <sheetName val="Ijaz Telecommun"/>
      <sheetName val="In Time"/>
      <sheetName val="IR Telecom"/>
      <sheetName val="Islamic Communication"/>
      <sheetName val="Index International"/>
      <sheetName val="Indus Communication"/>
      <sheetName val="Jamal Corporation"/>
      <sheetName val="Jazz Digital"/>
      <sheetName val="JJA Telecom"/>
      <sheetName val="Kanaish Fone &amp; Trade"/>
      <sheetName val="Kamran Telecom"/>
      <sheetName val="Karachi Call Center"/>
      <sheetName val="Karm Telecom"/>
      <sheetName val="Kashish Enterprises"/>
      <sheetName val="Kashmirwala Telecom"/>
      <sheetName val="Kashmir Telecom"/>
      <sheetName val="Kethwal Enterprises"/>
      <sheetName val="Khawaja Fareed Tel"/>
      <sheetName val="Khyber peak Commun"/>
      <sheetName val="LG Electronics"/>
      <sheetName val="Lucky Phone Pak"/>
      <sheetName val="Summery Detail"/>
      <sheetName val="Glaxy Commune---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ssumptions"/>
      <sheetName val="CapEx"/>
      <sheetName val="Intangibles"/>
      <sheetName val="P&amp;L"/>
      <sheetName val="Balance Sheet"/>
      <sheetName val="Cash Flow St."/>
      <sheetName val="Fact Sheet"/>
      <sheetName val="BS OT"/>
      <sheetName val="P&amp;L OT"/>
      <sheetName val="C Flow OT"/>
      <sheetName val="Staff"/>
      <sheetName val="Assets"/>
      <sheetName val="Liabilities"/>
      <sheetName val="P &amp; L"/>
      <sheetName val="Total GSM  Market"/>
      <sheetName val="MSH51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ITAL BUDGET"/>
      <sheetName val="RI"/>
      <sheetName val="Récap"/>
      <sheetName val="GENERAL SUIVI BUDGET EURO"/>
      <sheetName val="SUIVI BUDGET IN EURO ONLY"/>
      <sheetName val="SUIVI BUDGET IN THB ONLY"/>
      <sheetName val="rate"/>
      <sheetName val="purchases over 5000"/>
      <sheetName val="Park statement"/>
      <sheetName val="Staff list 31-01-08"/>
      <sheetName val="ERROR CAN NOT BE CHANGED"/>
      <sheetName val="Expat list 31-01-08"/>
      <sheetName val="Stock 31-01-08"/>
      <sheetName val="FUEL 31-01-08"/>
      <sheetName val="to help for UNIT"/>
      <sheetName val="General Pivot tab"/>
      <sheetName val="Pivot tab EURO"/>
      <sheetName val="Pivot tab THB"/>
      <sheetName val="General export in euro "/>
      <sheetName val="export EURO"/>
      <sheetName val="export TH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ted"/>
      <sheetName val="No Rev"/>
      <sheetName val="LS HMC"/>
      <sheetName val="LS HFF"/>
      <sheetName val="Budget"/>
      <sheetName val="Analysis"/>
      <sheetName val="Sub HFF"/>
      <sheetName val="Sub HMC"/>
      <sheetName val="Sub LS Add HFF"/>
      <sheetName val="Sub LS Add HMC"/>
      <sheetName val="Adds Verification"/>
      <sheetName val="JV"/>
      <sheetName val="Input"/>
      <sheetName val="Donor_Query"/>
      <sheetName val="Reference"/>
      <sheetName val="Income_Query"/>
      <sheetName val="OB_Query"/>
      <sheetName val="Partner_Query"/>
      <sheetName val="Balance_Query"/>
      <sheetName val="C.3 - Donor Contract MultiYear"/>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S"/>
      <sheetName val="P&amp;L"/>
      <sheetName val="SCF"/>
      <sheetName val="SOCE"/>
      <sheetName val="Policy notes"/>
      <sheetName val="PPE"/>
      <sheetName val="5-9"/>
      <sheetName val="10-15"/>
      <sheetName val="FI"/>
      <sheetName val="Ratio"/>
      <sheetName val="Sheet1"/>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3"/>
      <sheetName val="S4"/>
      <sheetName val="pkage01"/>
      <sheetName val="SV 2001"/>
      <sheetName val="Ce"/>
      <sheetName val="Adj acs bs 2001"/>
      <sheetName val="Adj acs p&amp;l 2001"/>
      <sheetName val="SIII 2001"/>
      <sheetName val="G 2001"/>
      <sheetName val="JJ 2001"/>
      <sheetName val="Repay IFC A"/>
      <sheetName val="CC Wise"/>
      <sheetName val="Prdct Wise"/>
      <sheetName val="Spndl Rtr"/>
      <sheetName val="Grmt Ord"/>
      <sheetName val="Acct"/>
      <sheetName val="INCOME 2004"/>
      <sheetName val="SV_2001"/>
      <sheetName val="Adj_acs_bs_2001"/>
      <sheetName val="Adj_acs_p&amp;l_2001"/>
      <sheetName val="SIII_2001"/>
      <sheetName val="G_2001"/>
      <sheetName val="JJ_2001"/>
      <sheetName val="Balance Sheet"/>
      <sheetName val="NOTES"/>
      <sheetName val="INCOME_2004"/>
      <sheetName val="CC_Wise"/>
      <sheetName val="Prdct_Wise"/>
      <sheetName val="Spndl_Rtr"/>
      <sheetName val="Grmt_Ord"/>
      <sheetName val="Acctt"/>
      <sheetName val="BS Data"/>
      <sheetName val="CF Data"/>
      <sheetName val="PL Data"/>
      <sheetName val="SV_20011"/>
      <sheetName val="Adj_acs_bs_20011"/>
      <sheetName val="Adj_acs_p&amp;l_20011"/>
      <sheetName val="SIII_20011"/>
      <sheetName val="G_20011"/>
      <sheetName val="JJ_20011"/>
      <sheetName val="Repay_IFC_A"/>
      <sheetName val="SV-varioline"/>
      <sheetName val="Accounts"/>
      <sheetName val="Imports"/>
      <sheetName val="CASH-BOOK"/>
      <sheetName val="Sub HMC"/>
      <sheetName val="Oracle Notes"/>
      <sheetName val="PPC-ORD DTL"/>
      <sheetName val="PWR"/>
      <sheetName val="SSCW"/>
      <sheetName val="NOTE1-19"/>
      <sheetName val="Administration"/>
      <sheetName val="Fixed Assets Department wise"/>
      <sheetName val="Operation"/>
      <sheetName val="Technical"/>
      <sheetName val="Marketing"/>
      <sheetName val="sampling plan rebates"/>
      <sheetName val="lc921471"/>
      <sheetName val="BS"/>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fo for Finance - 1"/>
      <sheetName val="Info for finance - 2"/>
      <sheetName val="Projections"/>
      <sheetName val="Info for finance - 3"/>
      <sheetName val="MMS-Rev."/>
      <sheetName val="GPRS-Rev."/>
      <sheetName val="VAS-Rev"/>
      <sheetName val="Voice Pre"/>
      <sheetName val="Voice Post"/>
      <sheetName val="Info Summary for Finance"/>
      <sheetName val="July-2004 Projections"/>
      <sheetName val="Mktng Budget"/>
      <sheetName val="BASIC ASSUMPTIONS"/>
      <sheetName val="scenarioNames"/>
      <sheetName val="ARPUs assumed"/>
      <sheetName val="MLD Impact"/>
      <sheetName val="Long Term Market Projections"/>
      <sheetName val="BP Assumptions"/>
      <sheetName val="Work Area"/>
      <sheetName val="Easy Call 2"/>
      <sheetName val="Info_for_Finance_-_1"/>
      <sheetName val="Info_for_finance_-_2"/>
      <sheetName val="Info_for_finance_-_3"/>
      <sheetName val="MMS-Rev_"/>
      <sheetName val="GPRS-Rev_"/>
      <sheetName val="Voice_Pre"/>
      <sheetName val="Voice_Post"/>
      <sheetName val="Info_Summary_for_Finance"/>
      <sheetName val="July-2004_Projections"/>
      <sheetName val="Mktng_Budget"/>
      <sheetName val="BASIC_ASSUMPTIONS"/>
      <sheetName val="ARPUs_assumed"/>
      <sheetName val="MLD_Impact"/>
      <sheetName val="Long_Term_Market_Projections"/>
      <sheetName val="BP_Assumptions"/>
      <sheetName val="Work_Area"/>
      <sheetName val="Easy_Call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fo for Finance - 1"/>
      <sheetName val="Info for finance - 2"/>
      <sheetName val="Projections"/>
      <sheetName val="Info for finance - 3"/>
      <sheetName val="MMS-Rev."/>
      <sheetName val="GPRS-Rev."/>
      <sheetName val="VAS-Rev"/>
      <sheetName val="Voice Pre"/>
      <sheetName val="Voice Post"/>
      <sheetName val="Info Summary for Finance"/>
      <sheetName val="July-2004 Projections"/>
      <sheetName val="Mktng Budget"/>
      <sheetName val="BASIC ASSUMPTIONS"/>
      <sheetName val="scenarioNames"/>
      <sheetName val="ARPUs assumed"/>
      <sheetName val="MLD Impact"/>
      <sheetName val="Long Term Market Projections"/>
      <sheetName val="BP Assumptions"/>
      <sheetName val="Work Area"/>
      <sheetName val="Easy Call 2"/>
      <sheetName val="Budget"/>
      <sheetName val="Info_for_Finance_-_1"/>
      <sheetName val="Info_for_finance_-_2"/>
      <sheetName val="Info_for_finance_-_3"/>
      <sheetName val="MMS-Rev_"/>
      <sheetName val="GPRS-Rev_"/>
      <sheetName val="Voice_Pre"/>
      <sheetName val="Voice_Post"/>
      <sheetName val="Info_Summary_for_Finance"/>
      <sheetName val="July-2004_Projections"/>
      <sheetName val="Mktng_Budget"/>
      <sheetName val="BASIC_ASSUMPTIONS"/>
      <sheetName val="ARPUs_assumed"/>
      <sheetName val="MLD_Impact"/>
      <sheetName val="Long_Term_Market_Projections"/>
      <sheetName val="BP_Assumptions"/>
      <sheetName val="Work_Area"/>
      <sheetName val="Easy_Call_2"/>
      <sheetName val="Info_for_Finance_-_11"/>
      <sheetName val="Info_for_finance_-_21"/>
      <sheetName val="Info_for_finance_-_31"/>
      <sheetName val="MMS-Rev_1"/>
      <sheetName val="GPRS-Rev_1"/>
      <sheetName val="Voice_Pre1"/>
      <sheetName val="Voice_Post1"/>
      <sheetName val="Info_Summary_for_Finance1"/>
      <sheetName val="July-2004_Projections1"/>
      <sheetName val="Mktng_Budget1"/>
      <sheetName val="BASIC_ASSUMPTIONS1"/>
      <sheetName val="ARPUs_assumed1"/>
      <sheetName val="MLD_Impact1"/>
      <sheetName val="Long_Term_Market_Projections1"/>
      <sheetName val="BP_Assumptions1"/>
      <sheetName val="Work_Area1"/>
      <sheetName val="Easy_Call_21"/>
      <sheetName val="Info_for_Finance_-_12"/>
      <sheetName val="Info_for_finance_-_22"/>
      <sheetName val="Info_for_finance_-_32"/>
      <sheetName val="MMS-Rev_2"/>
      <sheetName val="GPRS-Rev_2"/>
      <sheetName val="Voice_Pre2"/>
      <sheetName val="Voice_Post2"/>
      <sheetName val="Info_Summary_for_Finance2"/>
      <sheetName val="July-2004_Projections2"/>
      <sheetName val="Mktng_Budget2"/>
      <sheetName val="BASIC_ASSUMPTIONS2"/>
      <sheetName val="ARPUs_assumed2"/>
      <sheetName val="MLD_Impact2"/>
      <sheetName val="Long_Term_Market_Projections2"/>
      <sheetName val="BP_Assumptions2"/>
      <sheetName val="Work_Area2"/>
      <sheetName val="Easy_Call_22"/>
      <sheetName val="Info_for_Finance_-_13"/>
      <sheetName val="Info_for_finance_-_23"/>
      <sheetName val="Info_for_finance_-_33"/>
      <sheetName val="MMS-Rev_3"/>
      <sheetName val="GPRS-Rev_3"/>
      <sheetName val="Voice_Pre3"/>
      <sheetName val="Voice_Post3"/>
      <sheetName val="Info_Summary_for_Finance3"/>
      <sheetName val="July-2004_Projections3"/>
      <sheetName val="Mktng_Budget3"/>
      <sheetName val="BASIC_ASSUMPTIONS3"/>
      <sheetName val="ARPUs_assumed3"/>
      <sheetName val="MLD_Impact3"/>
      <sheetName val="Long_Term_Market_Projections3"/>
      <sheetName val="BP_Assumptions3"/>
      <sheetName val="Work_Area3"/>
      <sheetName val="Easy_Call_23"/>
      <sheetName val="Info_for_Finance_-_14"/>
      <sheetName val="Info_for_finance_-_24"/>
      <sheetName val="Info_for_finance_-_34"/>
      <sheetName val="MMS-Rev_4"/>
      <sheetName val="GPRS-Rev_4"/>
      <sheetName val="Voice_Pre4"/>
      <sheetName val="Voice_Post4"/>
      <sheetName val="Info_Summary_for_Finance4"/>
      <sheetName val="July-2004_Projections4"/>
      <sheetName val="Mktng_Budget4"/>
      <sheetName val="BASIC_ASSUMPTIONS4"/>
      <sheetName val="ARPUs_assumed4"/>
      <sheetName val="MLD_Impact4"/>
      <sheetName val="Long_Term_Market_Projections4"/>
      <sheetName val="BP_Assumptions4"/>
      <sheetName val="Work_Area4"/>
      <sheetName val="Easy_Call_24"/>
      <sheetName val="Info_for_Finance_-_15"/>
      <sheetName val="Info_for_finance_-_25"/>
      <sheetName val="Info_for_finance_-_35"/>
      <sheetName val="MMS-Rev_5"/>
      <sheetName val="GPRS-Rev_5"/>
      <sheetName val="Voice_Pre5"/>
      <sheetName val="Voice_Post5"/>
      <sheetName val="Info_Summary_for_Finance5"/>
      <sheetName val="July-2004_Projections5"/>
      <sheetName val="Mktng_Budget5"/>
      <sheetName val="BASIC_ASSUMPTIONS5"/>
      <sheetName val="ARPUs_assumed5"/>
      <sheetName val="MLD_Impact5"/>
      <sheetName val="Long_Term_Market_Projections5"/>
      <sheetName val="BP_Assumptions5"/>
      <sheetName val="Work_Area5"/>
      <sheetName val="Easy_Call_25"/>
      <sheetName val="Info_for_Finance_-_16"/>
      <sheetName val="Info_for_finance_-_26"/>
      <sheetName val="Info_for_finance_-_36"/>
      <sheetName val="MMS-Rev_6"/>
      <sheetName val="GPRS-Rev_6"/>
      <sheetName val="Voice_Pre6"/>
      <sheetName val="Voice_Post6"/>
      <sheetName val="Info_Summary_for_Finance6"/>
      <sheetName val="July-2004_Projections6"/>
      <sheetName val="Mktng_Budget6"/>
      <sheetName val="BASIC_ASSUMPTIONS6"/>
      <sheetName val="ARPUs_assumed6"/>
      <sheetName val="MLD_Impact6"/>
      <sheetName val="Long_Term_Market_Projections6"/>
      <sheetName val="BP_Assumptions6"/>
      <sheetName val="Work_Area6"/>
      <sheetName val="Easy_Call_26"/>
      <sheetName val="Info_for_Finance_-_18"/>
      <sheetName val="Info_for_finance_-_28"/>
      <sheetName val="Info_for_finance_-_38"/>
      <sheetName val="MMS-Rev_8"/>
      <sheetName val="GPRS-Rev_8"/>
      <sheetName val="Voice_Pre8"/>
      <sheetName val="Voice_Post8"/>
      <sheetName val="Info_Summary_for_Finance8"/>
      <sheetName val="July-2004_Projections8"/>
      <sheetName val="Mktng_Budget8"/>
      <sheetName val="BASIC_ASSUMPTIONS8"/>
      <sheetName val="ARPUs_assumed8"/>
      <sheetName val="MLD_Impact8"/>
      <sheetName val="Long_Term_Market_Projections8"/>
      <sheetName val="BP_Assumptions8"/>
      <sheetName val="Work_Area8"/>
      <sheetName val="Easy_Call_28"/>
      <sheetName val="Info_for_Finance_-_17"/>
      <sheetName val="Info_for_finance_-_27"/>
      <sheetName val="Info_for_finance_-_37"/>
      <sheetName val="MMS-Rev_7"/>
      <sheetName val="GPRS-Rev_7"/>
      <sheetName val="Voice_Pre7"/>
      <sheetName val="Voice_Post7"/>
      <sheetName val="Info_Summary_for_Finance7"/>
      <sheetName val="July-2004_Projections7"/>
      <sheetName val="Mktng_Budget7"/>
      <sheetName val="BASIC_ASSUMPTIONS7"/>
      <sheetName val="ARPUs_assumed7"/>
      <sheetName val="MLD_Impact7"/>
      <sheetName val="Long_Term_Market_Projections7"/>
      <sheetName val="BP_Assumptions7"/>
      <sheetName val="Work_Area7"/>
      <sheetName val="Easy_Call_27"/>
      <sheetName val="Info_for_Finance_-_19"/>
      <sheetName val="Info_for_finance_-_29"/>
      <sheetName val="Info_for_finance_-_39"/>
      <sheetName val="MMS-Rev_9"/>
      <sheetName val="GPRS-Rev_9"/>
      <sheetName val="Voice_Pre9"/>
      <sheetName val="Voice_Post9"/>
      <sheetName val="Info_Summary_for_Finance9"/>
      <sheetName val="July-2004_Projections9"/>
      <sheetName val="Mktng_Budget9"/>
      <sheetName val="BASIC_ASSUMPTIONS9"/>
      <sheetName val="ARPUs_assumed9"/>
      <sheetName val="MLD_Impact9"/>
      <sheetName val="Long_Term_Market_Projections9"/>
      <sheetName val="BP_Assumptions9"/>
      <sheetName val="Work_Area9"/>
      <sheetName val="Easy_Call_29"/>
      <sheetName val="Info_for_Finance_-_110"/>
      <sheetName val="Info_for_finance_-_210"/>
      <sheetName val="Info_for_finance_-_310"/>
      <sheetName val="MMS-Rev_10"/>
      <sheetName val="GPRS-Rev_10"/>
      <sheetName val="Voice_Pre10"/>
      <sheetName val="Voice_Post10"/>
      <sheetName val="Info_Summary_for_Finance10"/>
      <sheetName val="July-2004_Projections10"/>
      <sheetName val="Mktng_Budget10"/>
      <sheetName val="BASIC_ASSUMPTIONS10"/>
      <sheetName val="ARPUs_assumed10"/>
      <sheetName val="MLD_Impact10"/>
      <sheetName val="Long_Term_Market_Projections10"/>
      <sheetName val="BP_Assumptions10"/>
      <sheetName val="Work_Area10"/>
      <sheetName val="Easy_Call_210"/>
      <sheetName val="Info_for_Finance_-_111"/>
      <sheetName val="Info_for_finance_-_211"/>
      <sheetName val="Info_for_finance_-_311"/>
      <sheetName val="MMS-Rev_11"/>
      <sheetName val="GPRS-Rev_11"/>
      <sheetName val="Voice_Pre11"/>
      <sheetName val="Voice_Post11"/>
      <sheetName val="Info_Summary_for_Finance11"/>
      <sheetName val="July-2004_Projections11"/>
      <sheetName val="Mktng_Budget11"/>
      <sheetName val="BASIC_ASSUMPTIONS11"/>
      <sheetName val="ARPUs_assumed11"/>
      <sheetName val="MLD_Impact11"/>
      <sheetName val="Long_Term_Market_Projections11"/>
      <sheetName val="BP_Assumptions11"/>
      <sheetName val="Work_Area11"/>
      <sheetName val="Easy_Call_211"/>
      <sheetName val="pkage01"/>
      <sheetName val="Jan"/>
      <sheetName val="Ledger"/>
      <sheetName val="Info_for_Finance_-_113"/>
      <sheetName val="Info_for_finance_-_213"/>
      <sheetName val="Info_for_finance_-_313"/>
      <sheetName val="MMS-Rev_13"/>
      <sheetName val="GPRS-Rev_13"/>
      <sheetName val="Voice_Pre13"/>
      <sheetName val="Voice_Post13"/>
      <sheetName val="Info_Summary_for_Finance13"/>
      <sheetName val="July-2004_Projections13"/>
      <sheetName val="Mktng_Budget13"/>
      <sheetName val="BASIC_ASSUMPTIONS13"/>
      <sheetName val="ARPUs_assumed13"/>
      <sheetName val="MLD_Impact13"/>
      <sheetName val="Long_Term_Market_Projections13"/>
      <sheetName val="BP_Assumptions13"/>
      <sheetName val="Work_Area13"/>
      <sheetName val="Easy_Call_213"/>
      <sheetName val="Info_for_Finance_-_112"/>
      <sheetName val="Info_for_finance_-_212"/>
      <sheetName val="Info_for_finance_-_312"/>
      <sheetName val="MMS-Rev_12"/>
      <sheetName val="GPRS-Rev_12"/>
      <sheetName val="Voice_Pre12"/>
      <sheetName val="Voice_Post12"/>
      <sheetName val="Info_Summary_for_Finance12"/>
      <sheetName val="July-2004_Projections12"/>
      <sheetName val="Mktng_Budget12"/>
      <sheetName val="BASIC_ASSUMPTIONS12"/>
      <sheetName val="ARPUs_assumed12"/>
      <sheetName val="MLD_Impact12"/>
      <sheetName val="Long_Term_Market_Projections12"/>
      <sheetName val="BP_Assumptions12"/>
      <sheetName val="Work_Area12"/>
      <sheetName val="Easy_Call_212"/>
      <sheetName val="Balance Sheet"/>
      <sheetName val="NOTES"/>
      <sheetName val="Info_for_Finance_-_114"/>
      <sheetName val="Info_for_finance_-_214"/>
      <sheetName val="Info_for_finance_-_314"/>
      <sheetName val="MMS-Rev_14"/>
      <sheetName val="GPRS-Rev_14"/>
      <sheetName val="Voice_Pre14"/>
      <sheetName val="Voice_Post14"/>
      <sheetName val="Info_Summary_for_Finance14"/>
      <sheetName val="July-2004_Projections14"/>
      <sheetName val="Mktng_Budget14"/>
      <sheetName val="BASIC_ASSUMPTIONS14"/>
      <sheetName val="ARPUs_assumed14"/>
      <sheetName val="MLD_Impact14"/>
      <sheetName val="Long_Term_Market_Projections14"/>
      <sheetName val="BP_Assumptions14"/>
      <sheetName val="Work_Area14"/>
      <sheetName val="Easy_Call_214"/>
      <sheetName val="Output to GSMServ"/>
      <sheetName val="Financial Inputs"/>
      <sheetName val="Other HW"/>
      <sheetName val="Quote summary"/>
      <sheetName val="Balance_Sheet"/>
      <sheetName val="Output_to_GSMServ"/>
      <sheetName val="Financial_Inputs"/>
      <sheetName val="Other_HW"/>
      <sheetName val="Quote_summary"/>
      <sheetName val="Mumbai"/>
      <sheetName val="MUTIL&amp;BUILD-SECURE"/>
      <sheetName val="MUTIL&amp;BUILD-ELEC"/>
      <sheetName val="MUTIL&amp;BUILDCIV-BUILD"/>
      <sheetName val="MUTIL&amp;BUILD-HVAC"/>
      <sheetName val="MELECTRONICS"/>
      <sheetName val="MRACKS"/>
      <sheetName val="MKNOWHOW"/>
      <sheetName val="MMFA"/>
      <sheetName val="Bangalore"/>
      <sheetName val="Cover"/>
      <sheetName val="Index"/>
      <sheetName val="Ex summary"/>
      <sheetName val="Level 0"/>
      <sheetName val="Level2-PoP"/>
      <sheetName val="Level2-B'lore,Mum(2)"/>
      <sheetName val="Level3-Mumbai 11111111111111111"/>
      <sheetName val="Level 3 PoP22222222222222222222"/>
      <sheetName val="backup3333333333333333333333333"/>
      <sheetName val="Level 3-B'lore44444444444444444"/>
      <sheetName val="Assmpns555555555555555555555555"/>
      <sheetName val="IDC computation6666666666666666"/>
      <sheetName val="Employee costs77777777777777777"/>
      <sheetName val="Prelim and preops88888888888888"/>
      <sheetName val="Macros"/>
      <sheetName val="SONA"/>
      <sheetName val="SOCINA"/>
      <sheetName val="Notes 1 - 4"/>
      <sheetName val="Notes 5 - 9"/>
      <sheetName val="Notes 8 - 14"/>
      <sheetName val="Sheet4"/>
      <sheetName val="GL"/>
      <sheetName val="Trial-2015 (2)"/>
      <sheetName val="Trial"/>
      <sheetName val="Bank"/>
      <sheetName val="Contribution sheet"/>
      <sheetName val="Sheet1"/>
      <sheetName val="Sheet2"/>
      <sheetName val="Sheet3"/>
      <sheetName val="Info_for_Finance_-_116"/>
      <sheetName val="Info_for_finance_-_216"/>
      <sheetName val="Info_for_finance_-_316"/>
      <sheetName val="MMS-Rev_16"/>
      <sheetName val="GPRS-Rev_16"/>
      <sheetName val="Voice_Pre16"/>
      <sheetName val="Voice_Post16"/>
      <sheetName val="Info_Summary_for_Finance16"/>
      <sheetName val="July-2004_Projections16"/>
      <sheetName val="Mktng_Budget16"/>
      <sheetName val="BASIC_ASSUMPTIONS16"/>
      <sheetName val="ARPUs_assumed16"/>
      <sheetName val="MLD_Impact16"/>
      <sheetName val="Long_Term_Market_Projections16"/>
      <sheetName val="BP_Assumptions16"/>
      <sheetName val="Easy_Call_216"/>
      <sheetName val="Work_Area16"/>
      <sheetName val="Info_for_Finance_-_115"/>
      <sheetName val="Info_for_finance_-_215"/>
      <sheetName val="Info_for_finance_-_315"/>
      <sheetName val="MMS-Rev_15"/>
      <sheetName val="GPRS-Rev_15"/>
      <sheetName val="Voice_Pre15"/>
      <sheetName val="Voice_Post15"/>
      <sheetName val="Info_Summary_for_Finance15"/>
      <sheetName val="July-2004_Projections15"/>
      <sheetName val="Mktng_Budget15"/>
      <sheetName val="BASIC_ASSUMPTIONS15"/>
      <sheetName val="ARPUs_assumed15"/>
      <sheetName val="MLD_Impact15"/>
      <sheetName val="Long_Term_Market_Projections15"/>
      <sheetName val="BP_Assumptions15"/>
      <sheetName val="Easy_Call_215"/>
      <sheetName val="Work_Area15"/>
      <sheetName val="Info_for_Finance_-_117"/>
      <sheetName val="Info_for_finance_-_217"/>
      <sheetName val="Info_for_finance_-_317"/>
      <sheetName val="MMS-Rev_17"/>
      <sheetName val="GPRS-Rev_17"/>
      <sheetName val="Voice_Pre17"/>
      <sheetName val="Voice_Post17"/>
      <sheetName val="Info_Summary_for_Finance17"/>
      <sheetName val="July-2004_Projections17"/>
      <sheetName val="Mktng_Budget17"/>
      <sheetName val="BASIC_ASSUMPTIONS17"/>
      <sheetName val="ARPUs_assumed17"/>
      <sheetName val="MLD_Impact17"/>
      <sheetName val="Long_Term_Market_Projections17"/>
      <sheetName val="BP_Assumptions17"/>
      <sheetName val="Easy_Call_217"/>
      <sheetName val="Work_Area17"/>
      <sheetName val="Balance_Sheet1"/>
      <sheetName val="Output_to_GSMServ1"/>
      <sheetName val="Financial_Inputs1"/>
      <sheetName val="Other_HW1"/>
      <sheetName val="Quote_summary1"/>
      <sheetName val="Info_for_Finance_-_121"/>
      <sheetName val="Info_for_finance_-_221"/>
      <sheetName val="Info_for_finance_-_321"/>
      <sheetName val="MMS-Rev_21"/>
      <sheetName val="GPRS-Rev_21"/>
      <sheetName val="Voice_Pre21"/>
      <sheetName val="Voice_Post21"/>
      <sheetName val="Info_Summary_for_Finance21"/>
      <sheetName val="July-2004_Projections21"/>
      <sheetName val="Mktng_Budget21"/>
      <sheetName val="BASIC_ASSUMPTIONS21"/>
      <sheetName val="ARPUs_assumed21"/>
      <sheetName val="MLD_Impact21"/>
      <sheetName val="Long_Term_Market_Projections21"/>
      <sheetName val="BP_Assumptions21"/>
      <sheetName val="Easy_Call_221"/>
      <sheetName val="Work_Area21"/>
      <sheetName val="Info_for_Finance_-_120"/>
      <sheetName val="Info_for_finance_-_220"/>
      <sheetName val="Info_for_finance_-_320"/>
      <sheetName val="MMS-Rev_20"/>
      <sheetName val="GPRS-Rev_20"/>
      <sheetName val="Voice_Pre20"/>
      <sheetName val="Voice_Post20"/>
      <sheetName val="Info_Summary_for_Finance20"/>
      <sheetName val="July-2004_Projections20"/>
      <sheetName val="Mktng_Budget20"/>
      <sheetName val="BASIC_ASSUMPTIONS20"/>
      <sheetName val="ARPUs_assumed20"/>
      <sheetName val="MLD_Impact20"/>
      <sheetName val="Long_Term_Market_Projections20"/>
      <sheetName val="BP_Assumptions20"/>
      <sheetName val="Easy_Call_220"/>
      <sheetName val="Work_Area20"/>
      <sheetName val="Info_for_Finance_-_119"/>
      <sheetName val="Info_for_finance_-_219"/>
      <sheetName val="Info_for_finance_-_319"/>
      <sheetName val="MMS-Rev_19"/>
      <sheetName val="GPRS-Rev_19"/>
      <sheetName val="Voice_Pre19"/>
      <sheetName val="Voice_Post19"/>
      <sheetName val="Info_Summary_for_Finance19"/>
      <sheetName val="July-2004_Projections19"/>
      <sheetName val="Mktng_Budget19"/>
      <sheetName val="BASIC_ASSUMPTIONS19"/>
      <sheetName val="ARPUs_assumed19"/>
      <sheetName val="MLD_Impact19"/>
      <sheetName val="Long_Term_Market_Projections19"/>
      <sheetName val="BP_Assumptions19"/>
      <sheetName val="Easy_Call_219"/>
      <sheetName val="Work_Area19"/>
      <sheetName val="Info_for_Finance_-_118"/>
      <sheetName val="Info_for_finance_-_218"/>
      <sheetName val="Info_for_finance_-_318"/>
      <sheetName val="MMS-Rev_18"/>
      <sheetName val="GPRS-Rev_18"/>
      <sheetName val="Voice_Pre18"/>
      <sheetName val="Voice_Post18"/>
      <sheetName val="Info_Summary_for_Finance18"/>
      <sheetName val="July-2004_Projections18"/>
      <sheetName val="Mktng_Budget18"/>
      <sheetName val="BASIC_ASSUMPTIONS18"/>
      <sheetName val="ARPUs_assumed18"/>
      <sheetName val="MLD_Impact18"/>
      <sheetName val="Long_Term_Market_Projections18"/>
      <sheetName val="BP_Assumptions18"/>
      <sheetName val="Easy_Call_218"/>
      <sheetName val="Work_Area1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efreshError="1"/>
      <sheetData sheetId="328" refreshError="1"/>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nual"/>
      <sheetName val="TB"/>
      <sheetName val="LDITB"/>
      <sheetName val="BCS "/>
      <sheetName val="GETT"/>
      <sheetName val="Grouping Audit"/>
      <sheetName val="Expense Alloc"/>
      <sheetName val="Banks"/>
      <sheetName val="Grouping MGT"/>
      <sheetName val="BS-A"/>
      <sheetName val="IS EBITDA-A"/>
      <sheetName val="Com Income"/>
      <sheetName val="CF-A"/>
      <sheetName val="EQ-A"/>
      <sheetName val="FA-A"/>
      <sheetName val="FA Disposal"/>
      <sheetName val="NT-A(03-15)"/>
      <sheetName val="ST Loans - Notes (I)"/>
      <sheetName val="LT Loans - Notes (I)"/>
      <sheetName val="LT Loans (I)"/>
      <sheetName val="Desc. Notes (I)"/>
      <sheetName val="TFC-Notes (I)"/>
      <sheetName val="NT-A(17-23)"/>
      <sheetName val="NT-A(24-36)"/>
      <sheetName val="Remuneration"/>
      <sheetName val="IAS32-A2"/>
      <sheetName val="IAS32-B"/>
      <sheetName val="Currency Risk"/>
      <sheetName val="P &amp; L $"/>
      <sheetName val="P &amp; L $ (3months)"/>
      <sheetName val="ST loans"/>
      <sheetName val="LT loans"/>
      <sheetName val="LT Loans2"/>
      <sheetName val="Loans note"/>
      <sheetName val="TFC"/>
      <sheetName val="BS-A (C)"/>
      <sheetName val="IS EBITDA-A (C)"/>
      <sheetName val="Com Income (C)"/>
      <sheetName val="CF-A (C)"/>
      <sheetName val="EQ-A (C)"/>
      <sheetName val="FA-A (C)"/>
      <sheetName val="FA Disposal (C)"/>
      <sheetName val="NT(C) 4-6"/>
      <sheetName val="NT(C) 7-8"/>
      <sheetName val="NT(C) 9-18"/>
      <sheetName val="ST Loans - Notes"/>
      <sheetName val="LT Loans - Notes"/>
      <sheetName val="LT Loans- Mat"/>
      <sheetName val="Desc. Notes"/>
      <sheetName val="TFC-Notes"/>
      <sheetName val="NT(C) 20-25"/>
      <sheetName val="NT(C) 26-end"/>
      <sheetName val="Remuneration(C)"/>
      <sheetName val="IAS32-A (C)"/>
      <sheetName val="IAS32-B (2)"/>
      <sheetName val="2009"/>
      <sheetName val="2008"/>
      <sheetName val="Currency Risk (C)"/>
      <sheetName val="P &amp; L $ (C)"/>
      <sheetName val="P &amp; L $ (C) (3 months)"/>
      <sheetName val="ST loans (C)"/>
      <sheetName val="LT loans (C)"/>
      <sheetName val="LT Loans2 (C)"/>
      <sheetName val="Loans note (C)"/>
      <sheetName val="TFC (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nual"/>
      <sheetName val="TB"/>
      <sheetName val="LDITB"/>
      <sheetName val="BCS "/>
      <sheetName val="GETT"/>
      <sheetName val="Grouping Audit"/>
      <sheetName val="Expense Alloc"/>
      <sheetName val="Banks"/>
      <sheetName val="Grouping MGT"/>
      <sheetName val="BS-A"/>
      <sheetName val="IS EBITDA-A"/>
      <sheetName val="Com Income"/>
      <sheetName val="CF-A"/>
      <sheetName val="EQ-A"/>
      <sheetName val="FA-A"/>
      <sheetName val="FA Disposal"/>
      <sheetName val="NT-A(03-15)"/>
      <sheetName val="ST Loans - Notes (I)"/>
      <sheetName val="LT Loans - Notes (I)"/>
      <sheetName val="LT Loans (I)"/>
      <sheetName val="Desc. Notes (I)"/>
      <sheetName val="TFC-Notes (I)"/>
      <sheetName val="NT-A(17-23)"/>
      <sheetName val="NT-A(24-36)"/>
      <sheetName val="Remuneration"/>
      <sheetName val="IAS32-A2"/>
      <sheetName val="IAS32-B"/>
      <sheetName val="Currency Risk"/>
      <sheetName val="P &amp; L $"/>
      <sheetName val="P &amp; L $ (3months)"/>
      <sheetName val="ST loans"/>
      <sheetName val="LT loans"/>
      <sheetName val="LT Loans2"/>
      <sheetName val="Loans note"/>
      <sheetName val="TFC"/>
      <sheetName val="BS-A (C)"/>
      <sheetName val="IS EBITDA-A (C)"/>
      <sheetName val="Com Income (C)"/>
      <sheetName val="CF-A (C)"/>
      <sheetName val="EQ-A (C)"/>
      <sheetName val="FA-A (C)"/>
      <sheetName val="FA Disposal (C)"/>
      <sheetName val="NT(C) 4-6"/>
      <sheetName val="NT(C) 7-8"/>
      <sheetName val="NT(C) 9-18"/>
      <sheetName val="ST Loans - Notes"/>
      <sheetName val="LT Loans - Notes"/>
      <sheetName val="LT Loans- Mat"/>
      <sheetName val="Desc. Notes"/>
      <sheetName val="TFC-Notes"/>
      <sheetName val="NT(C) 20-25"/>
      <sheetName val="NT(C) 26-end"/>
      <sheetName val="Remuneration(C)"/>
      <sheetName val="IAS32-A (C)"/>
      <sheetName val="IAS32-B (2)"/>
      <sheetName val="2009"/>
      <sheetName val="2008"/>
      <sheetName val="Currency Risk (C)"/>
      <sheetName val="P &amp; L $ (C)"/>
      <sheetName val="P &amp; L $ (C) (3 months)"/>
      <sheetName val="ST loans (C)"/>
      <sheetName val="LT loans (C)"/>
      <sheetName val="LT Loans2 (C)"/>
      <sheetName val="Loans note (C)"/>
      <sheetName val="TFC (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loan 1"/>
      <sheetName val="loan 2"/>
      <sheetName val="loan3"/>
      <sheetName val="loan 4"/>
      <sheetName val="loan 5"/>
      <sheetName val="Income Statement"/>
      <sheetName val="Q265"/>
      <sheetName val="pkage01"/>
      <sheetName val="loan_1"/>
      <sheetName val="loan_2"/>
      <sheetName val="loan_4"/>
      <sheetName val="loan_5"/>
      <sheetName val="Income_Statement"/>
      <sheetName val="loan_11"/>
      <sheetName val="loan_21"/>
      <sheetName val="loan_41"/>
      <sheetName val="loan_51"/>
      <sheetName val="Income_Statement1"/>
      <sheetName val="loan_12"/>
      <sheetName val="loan_22"/>
      <sheetName val="loan_42"/>
      <sheetName val="loan_52"/>
      <sheetName val="Income_Statement2"/>
      <sheetName val="TRIL9900"/>
      <sheetName val="List"/>
      <sheetName val="Divisional Consolidation"/>
      <sheetName val="loan_13"/>
      <sheetName val="loan_23"/>
      <sheetName val="loan_43"/>
      <sheetName val="loan_53"/>
      <sheetName val="Income_Statement3"/>
      <sheetName val="Sub HMC"/>
      <sheetName val="loan_14"/>
      <sheetName val="loan_24"/>
      <sheetName val="loan_44"/>
      <sheetName val="loan_54"/>
      <sheetName val="Income_Statement4"/>
      <sheetName val="Sub_HMC"/>
      <sheetName val="Royalty analytics"/>
      <sheetName val="2. Sales Data"/>
      <sheetName val="R.M C.C INCL DIR"/>
      <sheetName val="R.OPS H.COUNT"/>
      <sheetName val="STRUCTURE"/>
      <sheetName val="R.M H.COUNT"/>
      <sheetName val="Directors Report etc"/>
      <sheetName val="Parameters"/>
      <sheetName val="F-L2"/>
      <sheetName val="F100"/>
      <sheetName val="F300"/>
      <sheetName val="Macro2"/>
      <sheetName val="Loan split"/>
      <sheetName val="Lease Data"/>
      <sheetName val="LL"/>
      <sheetName val="Pachinko"/>
      <sheetName val="Sheet2"/>
      <sheetName val="Index"/>
      <sheetName val="Consolidation"/>
      <sheetName val="Divisional_Consolidation3"/>
      <sheetName val="R_M_C_C_INCL_DIR3"/>
      <sheetName val="R_OPS_H_COUNT3"/>
      <sheetName val="R_M_H_COUNT3"/>
      <sheetName val="Royalty_analytics3"/>
      <sheetName val="2__Sales_Data3"/>
      <sheetName val="Directors_Report_etc3"/>
      <sheetName val="Lease_Data3"/>
      <sheetName val="Loan_split3"/>
      <sheetName val="Divisional_Consolidation"/>
      <sheetName val="R_M_C_C_INCL_DIR"/>
      <sheetName val="R_OPS_H_COUNT"/>
      <sheetName val="R_M_H_COUNT"/>
      <sheetName val="Royalty_analytics"/>
      <sheetName val="2__Sales_Data"/>
      <sheetName val="Directors_Report_etc"/>
      <sheetName val="Lease_Data"/>
      <sheetName val="Loan_split"/>
      <sheetName val="Divisional_Consolidation2"/>
      <sheetName val="R_M_C_C_INCL_DIR2"/>
      <sheetName val="R_OPS_H_COUNT2"/>
      <sheetName val="R_M_H_COUNT2"/>
      <sheetName val="Royalty_analytics2"/>
      <sheetName val="2__Sales_Data2"/>
      <sheetName val="Directors_Report_etc2"/>
      <sheetName val="Lease_Data2"/>
      <sheetName val="Loan_split2"/>
      <sheetName val="Divisional_Consolidation1"/>
      <sheetName val="R_M_C_C_INCL_DIR1"/>
      <sheetName val="R_OPS_H_COUNT1"/>
      <sheetName val="R_M_H_COUNT1"/>
      <sheetName val="Royalty_analytics1"/>
      <sheetName val="2__Sales_Data1"/>
      <sheetName val="Directors_Report_etc1"/>
      <sheetName val="Lease_Data1"/>
      <sheetName val="Loan_split1"/>
      <sheetName val="loan_16"/>
      <sheetName val="loan_26"/>
      <sheetName val="loan_46"/>
      <sheetName val="loan_56"/>
      <sheetName val="Divisional_Consolidation5"/>
      <sheetName val="R_M_C_C_INCL_DIR5"/>
      <sheetName val="R_OPS_H_COUNT5"/>
      <sheetName val="R_M_H_COUNT5"/>
      <sheetName val="Royalty_analytics5"/>
      <sheetName val="2__Sales_Data5"/>
      <sheetName val="Directors_Report_etc5"/>
      <sheetName val="Lease_Data5"/>
      <sheetName val="Loan_split5"/>
      <sheetName val="loan_15"/>
      <sheetName val="loan_25"/>
      <sheetName val="loan_45"/>
      <sheetName val="loan_55"/>
      <sheetName val="Divisional_Consolidation4"/>
      <sheetName val="R_M_C_C_INCL_DIR4"/>
      <sheetName val="R_OPS_H_COUNT4"/>
      <sheetName val="R_M_H_COUNT4"/>
      <sheetName val="Royalty_analytics4"/>
      <sheetName val="2__Sales_Data4"/>
      <sheetName val="Directors_Report_etc4"/>
      <sheetName val="Lease_Data4"/>
      <sheetName val="Loan_split4"/>
      <sheetName val="loan_18"/>
      <sheetName val="loan_28"/>
      <sheetName val="loan_48"/>
      <sheetName val="loan_58"/>
      <sheetName val="Divisional_Consolidation7"/>
      <sheetName val="R_M_C_C_INCL_DIR7"/>
      <sheetName val="R_OPS_H_COUNT7"/>
      <sheetName val="R_M_H_COUNT7"/>
      <sheetName val="Royalty_analytics7"/>
      <sheetName val="2__Sales_Data7"/>
      <sheetName val="Directors_Report_etc7"/>
      <sheetName val="Lease_Data7"/>
      <sheetName val="Loan_split7"/>
      <sheetName val="loan_17"/>
      <sheetName val="loan_27"/>
      <sheetName val="loan_47"/>
      <sheetName val="loan_57"/>
      <sheetName val="Divisional_Consolidation6"/>
      <sheetName val="R_M_C_C_INCL_DIR6"/>
      <sheetName val="R_OPS_H_COUNT6"/>
      <sheetName val="R_M_H_COUNT6"/>
      <sheetName val="Royalty_analytics6"/>
      <sheetName val="2__Sales_Data6"/>
      <sheetName val="Directors_Report_etc6"/>
      <sheetName val="Lease_Data6"/>
      <sheetName val="Loan_split6"/>
      <sheetName val="loan_111"/>
      <sheetName val="loan_211"/>
      <sheetName val="loan_411"/>
      <sheetName val="loan_511"/>
      <sheetName val="Divisional_Consolidation10"/>
      <sheetName val="R_M_C_C_INCL_DIR10"/>
      <sheetName val="R_OPS_H_COUNT10"/>
      <sheetName val="R_M_H_COUNT10"/>
      <sheetName val="Royalty_analytics10"/>
      <sheetName val="2__Sales_Data10"/>
      <sheetName val="Directors_Report_etc10"/>
      <sheetName val="Lease_Data10"/>
      <sheetName val="Loan_split10"/>
      <sheetName val="loan_19"/>
      <sheetName val="loan_29"/>
      <sheetName val="loan_49"/>
      <sheetName val="loan_59"/>
      <sheetName val="Divisional_Consolidation8"/>
      <sheetName val="R_M_C_C_INCL_DIR8"/>
      <sheetName val="R_OPS_H_COUNT8"/>
      <sheetName val="R_M_H_COUNT8"/>
      <sheetName val="Royalty_analytics8"/>
      <sheetName val="2__Sales_Data8"/>
      <sheetName val="Directors_Report_etc8"/>
      <sheetName val="Lease_Data8"/>
      <sheetName val="Loan_split8"/>
      <sheetName val="loan_110"/>
      <sheetName val="loan_210"/>
      <sheetName val="loan_410"/>
      <sheetName val="loan_510"/>
      <sheetName val="Divisional_Consolidation9"/>
      <sheetName val="R_M_C_C_INCL_DIR9"/>
      <sheetName val="R_OPS_H_COUNT9"/>
      <sheetName val="R_M_H_COUNT9"/>
      <sheetName val="Royalty_analytics9"/>
      <sheetName val="2__Sales_Data9"/>
      <sheetName val="Directors_Report_etc9"/>
      <sheetName val="Lease_Data9"/>
      <sheetName val="Loan_split9"/>
      <sheetName val="loan_113"/>
      <sheetName val="loan_213"/>
      <sheetName val="loan_413"/>
      <sheetName val="loan_513"/>
      <sheetName val="Divisional_Consolidation12"/>
      <sheetName val="R_M_C_C_INCL_DIR12"/>
      <sheetName val="R_OPS_H_COUNT12"/>
      <sheetName val="R_M_H_COUNT12"/>
      <sheetName val="Royalty_analytics12"/>
      <sheetName val="2__Sales_Data12"/>
      <sheetName val="Directors_Report_etc12"/>
      <sheetName val="Lease_Data12"/>
      <sheetName val="Loan_split12"/>
      <sheetName val="loan_112"/>
      <sheetName val="loan_212"/>
      <sheetName val="loan_412"/>
      <sheetName val="loan_512"/>
      <sheetName val="Royalty_analytics11"/>
      <sheetName val="Directors_Report_etc11"/>
      <sheetName val="Divisional_Consolidation11"/>
      <sheetName val="2__Sales_Data11"/>
      <sheetName val="R_M_C_C_INCL_DIR11"/>
      <sheetName val="R_OPS_H_COUNT11"/>
      <sheetName val="R_M_H_COUNT11"/>
      <sheetName val="Loan_split11"/>
      <sheetName val="Lease_Data11"/>
      <sheetName val="loan_114"/>
      <sheetName val="loan_214"/>
      <sheetName val="loan_414"/>
      <sheetName val="loan_514"/>
      <sheetName val="Divisional_Consolidation13"/>
      <sheetName val="R_M_C_C_INCL_DIR13"/>
      <sheetName val="R_OPS_H_COUNT13"/>
      <sheetName val="R_M_H_COUNT13"/>
      <sheetName val="Royalty_analytics13"/>
      <sheetName val="2__Sales_Data13"/>
      <sheetName val="Directors_Report_etc13"/>
      <sheetName val="Lease_Data13"/>
      <sheetName val="Loan_split13"/>
      <sheetName val="Funding"/>
      <sheetName val="danmo"/>
      <sheetName val="Set_Up"/>
      <sheetName val="Input_Sheet1"/>
      <sheetName val="INDO"/>
      <sheetName val="COA"/>
      <sheetName val="Periods"/>
      <sheetName val="Uncorrected Misstatements"/>
      <sheetName val="DropDowns"/>
      <sheetName val="loan_115"/>
      <sheetName val="loan_215"/>
      <sheetName val="loan_415"/>
      <sheetName val="loan_515"/>
      <sheetName val="Divisional_Consolidation14"/>
      <sheetName val="R_M_C_C_INCL_DIR14"/>
      <sheetName val="R_OPS_H_COUNT14"/>
      <sheetName val="R_M_H_COUNT14"/>
      <sheetName val="Royalty_analytics14"/>
      <sheetName val="2__Sales_Data14"/>
      <sheetName val="Directors_Report_etc14"/>
      <sheetName val="Lease_Data14"/>
      <sheetName val="Loan_split14"/>
      <sheetName val="Interv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arameters"/>
      <sheetName val="Dashboard"/>
      <sheetName val="Snapshot"/>
      <sheetName val="WACC"/>
      <sheetName val="DCF Valuation"/>
      <sheetName val="Equity Valuation"/>
      <sheetName val="Public Wealth"/>
      <sheetName val="Economics"/>
      <sheetName val="Regulations"/>
      <sheetName val="Geographical"/>
      <sheetName val="Potential Market"/>
      <sheetName val="Prepaid Plans"/>
      <sheetName val="Postpaid Plans"/>
      <sheetName val="VAS &amp; Roaming"/>
      <sheetName val="Connection Fees"/>
      <sheetName val="Deposits"/>
      <sheetName val="Outgoing Tariffs"/>
      <sheetName val="Incoming Tariffs"/>
      <sheetName val="Interconnect Splits"/>
      <sheetName val="Minutes of Use"/>
      <sheetName val="Network Inputs"/>
      <sheetName val="Network Dimensioning"/>
      <sheetName val="Network Suppliers"/>
      <sheetName val="Network Expenses"/>
      <sheetName val="Commercial Expenses"/>
      <sheetName val="Interconnect Expenses"/>
      <sheetName val="Operating Expenses"/>
      <sheetName val="Revenues"/>
      <sheetName val="Capital Expenses"/>
      <sheetName val="Depreciation"/>
      <sheetName val="Profit &amp; Loss"/>
      <sheetName val="Balance Sheet"/>
      <sheetName val="Cash Flow"/>
      <sheetName val="Financing Plan"/>
      <sheetName val="Bank Loans"/>
      <sheetName val="Supplier Loans"/>
      <sheetName val="Local Loans"/>
      <sheetName val="Shareholder Loans"/>
      <sheetName val="Comment DB"/>
      <sheetName val="Graph Data"/>
      <sheetName val="Consolidation"/>
      <sheetName val="Total Market Evol"/>
      <sheetName val="Market Evol"/>
      <sheetName val="Market Split Evol"/>
      <sheetName val="Sales Evol"/>
      <sheetName val="Gross Adds Evol"/>
      <sheetName val="Connection Fee Evol"/>
      <sheetName val="Postpaid Tariff Evol"/>
      <sheetName val="Prepaid Tariff Evol"/>
      <sheetName val="Postpaid Usage Evol"/>
      <sheetName val="Prepaid Usage Evol"/>
      <sheetName val="Usage Evol"/>
      <sheetName val="ARPU Evol"/>
      <sheetName val="Cash Flow Evol"/>
      <sheetName val="OPEX Evol"/>
      <sheetName val="OPEX per Sub Evol"/>
      <sheetName val="Productivity Evol"/>
      <sheetName val="CAPEX Evol"/>
      <sheetName val="Revenue Evol"/>
      <sheetName val="Sensitivity Chart 1"/>
      <sheetName val="Sensitivity Chart 2"/>
      <sheetName val="Sensitivity Chart 3"/>
      <sheetName val="Projections"/>
      <sheetName val="BASIC ASSUMPTIONS"/>
      <sheetName val="Summary"/>
      <sheetName val="loan 1"/>
      <sheetName val="Data New"/>
      <sheetName val="General Inputs"/>
      <sheetName val="Assumptions"/>
      <sheetName val="BS"/>
      <sheetName val="DCF_Valuation"/>
      <sheetName val="Equity_Valuation"/>
      <sheetName val="Public_Wealth"/>
      <sheetName val="Potential_Market"/>
      <sheetName val="Prepaid_Plans"/>
      <sheetName val="Postpaid_Plans"/>
      <sheetName val="VAS_&amp;_Roaming"/>
      <sheetName val="Connection_Fees"/>
      <sheetName val="Outgoing_Tariffs"/>
      <sheetName val="Incoming_Tariffs"/>
      <sheetName val="Interconnect_Splits"/>
      <sheetName val="Minutes_of_Use"/>
      <sheetName val="Network_Inputs"/>
      <sheetName val="Network_Dimensioning"/>
      <sheetName val="Network_Suppliers"/>
      <sheetName val="Network_Expenses"/>
      <sheetName val="Commercial_Expenses"/>
      <sheetName val="Interconnect_Expenses"/>
      <sheetName val="Operating_Expenses"/>
      <sheetName val="Capital_Expenses"/>
      <sheetName val="Profit_&amp;_Loss"/>
      <sheetName val="Balance_Sheet"/>
      <sheetName val="Cash_Flow"/>
      <sheetName val="Financing_Plan"/>
      <sheetName val="Bank_Loans"/>
      <sheetName val="Supplier_Loans"/>
      <sheetName val="Local_Loans"/>
      <sheetName val="Shareholder_Loans"/>
      <sheetName val="Comment_DB"/>
      <sheetName val="Graph_Data"/>
      <sheetName val="Total_Market_Evol"/>
      <sheetName val="Market_Evol"/>
      <sheetName val="Market_Split_Evol"/>
      <sheetName val="Sales_Evol"/>
      <sheetName val="Gross_Adds_Evol"/>
      <sheetName val="Connection_Fee_Evol"/>
      <sheetName val="Postpaid_Tariff_Evol"/>
      <sheetName val="Prepaid_Tariff_Evol"/>
      <sheetName val="Postpaid_Usage_Evol"/>
      <sheetName val="Prepaid_Usage_Evol"/>
      <sheetName val="Usage_Evol"/>
      <sheetName val="ARPU_Evol"/>
      <sheetName val="Cash_Flow_Evol"/>
      <sheetName val="OPEX_Evol"/>
      <sheetName val="OPEX_per_Sub_Evol"/>
      <sheetName val="Productivity_Evol"/>
      <sheetName val="CAPEX_Evol"/>
      <sheetName val="Revenue_Evol"/>
      <sheetName val="Sensitivity_Chart_1"/>
      <sheetName val="Sensitivity_Chart_2"/>
      <sheetName val="Sensitivity_Chart_3"/>
      <sheetName val="loan_1"/>
      <sheetName val="BASIC_ASSUMPTIONS"/>
      <sheetName val="Data_New"/>
      <sheetName val="General_Inputs"/>
      <sheetName val="FORECAST"/>
      <sheetName val="FORECAST PREPAID"/>
      <sheetName val="MTHCF"/>
      <sheetName val="Sub HMC"/>
      <sheetName val="K1-1"/>
      <sheetName val="K1-3"/>
      <sheetName val="FORECAST_PREPAID"/>
      <sheetName val="DCF_Valuation1"/>
      <sheetName val="Equity_Valuation1"/>
      <sheetName val="Public_Wealth1"/>
      <sheetName val="Potential_Market1"/>
      <sheetName val="Prepaid_Plans1"/>
      <sheetName val="Postpaid_Plans1"/>
      <sheetName val="VAS_&amp;_Roaming1"/>
      <sheetName val="Connection_Fees1"/>
      <sheetName val="Outgoing_Tariffs1"/>
      <sheetName val="Incoming_Tariffs1"/>
      <sheetName val="Interconnect_Splits1"/>
      <sheetName val="Minutes_of_Use1"/>
      <sheetName val="Network_Inputs1"/>
      <sheetName val="Network_Dimensioning1"/>
      <sheetName val="Network_Suppliers1"/>
      <sheetName val="Network_Expenses1"/>
      <sheetName val="Commercial_Expenses1"/>
      <sheetName val="Interconnect_Expenses1"/>
      <sheetName val="Operating_Expenses1"/>
      <sheetName val="Capital_Expenses1"/>
      <sheetName val="Profit_&amp;_Loss1"/>
      <sheetName val="Balance_Sheet1"/>
      <sheetName val="Cash_Flow1"/>
      <sheetName val="Financing_Plan1"/>
      <sheetName val="Bank_Loans1"/>
      <sheetName val="Supplier_Loans1"/>
      <sheetName val="Local_Loans1"/>
      <sheetName val="Shareholder_Loans1"/>
      <sheetName val="Comment_DB1"/>
      <sheetName val="Graph_Data1"/>
      <sheetName val="Total_Market_Evol1"/>
      <sheetName val="Market_Evol1"/>
      <sheetName val="Market_Split_Evol1"/>
      <sheetName val="Sales_Evol1"/>
      <sheetName val="Gross_Adds_Evol1"/>
      <sheetName val="Connection_Fee_Evol1"/>
      <sheetName val="Postpaid_Tariff_Evol1"/>
      <sheetName val="Prepaid_Tariff_Evol1"/>
      <sheetName val="Postpaid_Usage_Evol1"/>
      <sheetName val="Prepaid_Usage_Evol1"/>
      <sheetName val="Usage_Evol1"/>
      <sheetName val="ARPU_Evol1"/>
      <sheetName val="Cash_Flow_Evol1"/>
      <sheetName val="OPEX_Evol1"/>
      <sheetName val="OPEX_per_Sub_Evol1"/>
      <sheetName val="Productivity_Evol1"/>
      <sheetName val="CAPEX_Evol1"/>
      <sheetName val="Revenue_Evol1"/>
      <sheetName val="Sensitivity_Chart_11"/>
      <sheetName val="Sensitivity_Chart_21"/>
      <sheetName val="Sensitivity_Chart_31"/>
      <sheetName val="General_Inputs1"/>
      <sheetName val="loan_11"/>
      <sheetName val="BASIC_ASSUMPTIONS1"/>
      <sheetName val="FORECAST_PREPAID1"/>
      <sheetName val="Data_New1"/>
      <sheetName val="Sub_HMC"/>
      <sheetName val="DCF_Valuation2"/>
      <sheetName val="Equity_Valuation2"/>
      <sheetName val="Public_Wealth2"/>
      <sheetName val="Potential_Market2"/>
      <sheetName val="Prepaid_Plans2"/>
      <sheetName val="Postpaid_Plans2"/>
      <sheetName val="VAS_&amp;_Roaming2"/>
      <sheetName val="Connection_Fees2"/>
      <sheetName val="Outgoing_Tariffs2"/>
      <sheetName val="Incoming_Tariffs2"/>
      <sheetName val="Interconnect_Splits2"/>
      <sheetName val="Minutes_of_Use2"/>
      <sheetName val="Network_Inputs2"/>
      <sheetName val="Network_Dimensioning2"/>
      <sheetName val="Network_Suppliers2"/>
      <sheetName val="Network_Expenses2"/>
      <sheetName val="Commercial_Expenses2"/>
      <sheetName val="Interconnect_Expenses2"/>
      <sheetName val="Operating_Expenses2"/>
      <sheetName val="Capital_Expenses2"/>
      <sheetName val="Profit_&amp;_Loss2"/>
      <sheetName val="Balance_Sheet2"/>
      <sheetName val="Cash_Flow2"/>
      <sheetName val="Financing_Plan2"/>
      <sheetName val="Bank_Loans2"/>
      <sheetName val="Supplier_Loans2"/>
      <sheetName val="Local_Loans2"/>
      <sheetName val="Shareholder_Loans2"/>
      <sheetName val="Comment_DB2"/>
      <sheetName val="Graph_Data2"/>
      <sheetName val="Total_Market_Evol2"/>
      <sheetName val="Market_Evol2"/>
      <sheetName val="Market_Split_Evol2"/>
      <sheetName val="Sales_Evol2"/>
      <sheetName val="Gross_Adds_Evol2"/>
      <sheetName val="Connection_Fee_Evol2"/>
      <sheetName val="Postpaid_Tariff_Evol2"/>
      <sheetName val="Prepaid_Tariff_Evol2"/>
      <sheetName val="Postpaid_Usage_Evol2"/>
      <sheetName val="Prepaid_Usage_Evol2"/>
      <sheetName val="Usage_Evol2"/>
      <sheetName val="ARPU_Evol2"/>
      <sheetName val="Cash_Flow_Evol2"/>
      <sheetName val="OPEX_Evol2"/>
      <sheetName val="OPEX_per_Sub_Evol2"/>
      <sheetName val="Productivity_Evol2"/>
      <sheetName val="CAPEX_Evol2"/>
      <sheetName val="Revenue_Evol2"/>
      <sheetName val="Sensitivity_Chart_12"/>
      <sheetName val="Sensitivity_Chart_22"/>
      <sheetName val="Sensitivity_Chart_32"/>
      <sheetName val="General_Inputs2"/>
      <sheetName val="loan_12"/>
      <sheetName val="BASIC_ASSUMPTIONS2"/>
      <sheetName val="FORECAST_PREPAID2"/>
      <sheetName val="Data_New2"/>
      <sheetName val="Sub_HMC1"/>
      <sheetName val="DCF_Valuation5"/>
      <sheetName val="Equity_Valuation5"/>
      <sheetName val="Public_Wealth5"/>
      <sheetName val="Potential_Market5"/>
      <sheetName val="Prepaid_Plans5"/>
      <sheetName val="Postpaid_Plans5"/>
      <sheetName val="VAS_&amp;_Roaming5"/>
      <sheetName val="Connection_Fees5"/>
      <sheetName val="Outgoing_Tariffs5"/>
      <sheetName val="Incoming_Tariffs5"/>
      <sheetName val="Interconnect_Splits5"/>
      <sheetName val="Minutes_of_Use5"/>
      <sheetName val="Network_Inputs5"/>
      <sheetName val="Network_Dimensioning5"/>
      <sheetName val="Network_Suppliers5"/>
      <sheetName val="Network_Expenses5"/>
      <sheetName val="Commercial_Expenses5"/>
      <sheetName val="Interconnect_Expenses5"/>
      <sheetName val="Operating_Expenses5"/>
      <sheetName val="Capital_Expenses5"/>
      <sheetName val="Profit_&amp;_Loss5"/>
      <sheetName val="Balance_Sheet5"/>
      <sheetName val="Cash_Flow5"/>
      <sheetName val="Financing_Plan5"/>
      <sheetName val="Bank_Loans5"/>
      <sheetName val="Supplier_Loans5"/>
      <sheetName val="Local_Loans5"/>
      <sheetName val="Shareholder_Loans5"/>
      <sheetName val="Comment_DB5"/>
      <sheetName val="Graph_Data5"/>
      <sheetName val="Total_Market_Evol5"/>
      <sheetName val="Market_Evol5"/>
      <sheetName val="Market_Split_Evol5"/>
      <sheetName val="Sales_Evol5"/>
      <sheetName val="Gross_Adds_Evol5"/>
      <sheetName val="Connection_Fee_Evol5"/>
      <sheetName val="Postpaid_Tariff_Evol5"/>
      <sheetName val="Prepaid_Tariff_Evol5"/>
      <sheetName val="Postpaid_Usage_Evol5"/>
      <sheetName val="Prepaid_Usage_Evol5"/>
      <sheetName val="Usage_Evol5"/>
      <sheetName val="ARPU_Evol5"/>
      <sheetName val="Cash_Flow_Evol5"/>
      <sheetName val="OPEX_Evol5"/>
      <sheetName val="OPEX_per_Sub_Evol5"/>
      <sheetName val="Productivity_Evol5"/>
      <sheetName val="CAPEX_Evol5"/>
      <sheetName val="Revenue_Evol5"/>
      <sheetName val="Sensitivity_Chart_15"/>
      <sheetName val="Sensitivity_Chart_25"/>
      <sheetName val="Sensitivity_Chart_35"/>
      <sheetName val="General_Inputs5"/>
      <sheetName val="loan_15"/>
      <sheetName val="BASIC_ASSUMPTIONS5"/>
      <sheetName val="FORECAST_PREPAID5"/>
      <sheetName val="Data_New5"/>
      <sheetName val="Sub_HMC4"/>
      <sheetName val="DCF_Valuation3"/>
      <sheetName val="Equity_Valuation3"/>
      <sheetName val="Public_Wealth3"/>
      <sheetName val="Potential_Market3"/>
      <sheetName val="Prepaid_Plans3"/>
      <sheetName val="Postpaid_Plans3"/>
      <sheetName val="VAS_&amp;_Roaming3"/>
      <sheetName val="Connection_Fees3"/>
      <sheetName val="Outgoing_Tariffs3"/>
      <sheetName val="Incoming_Tariffs3"/>
      <sheetName val="Interconnect_Splits3"/>
      <sheetName val="Minutes_of_Use3"/>
      <sheetName val="Network_Inputs3"/>
      <sheetName val="Network_Dimensioning3"/>
      <sheetName val="Network_Suppliers3"/>
      <sheetName val="Network_Expenses3"/>
      <sheetName val="Commercial_Expenses3"/>
      <sheetName val="Interconnect_Expenses3"/>
      <sheetName val="Operating_Expenses3"/>
      <sheetName val="Capital_Expenses3"/>
      <sheetName val="Profit_&amp;_Loss3"/>
      <sheetName val="Balance_Sheet3"/>
      <sheetName val="Cash_Flow3"/>
      <sheetName val="Financing_Plan3"/>
      <sheetName val="Bank_Loans3"/>
      <sheetName val="Supplier_Loans3"/>
      <sheetName val="Local_Loans3"/>
      <sheetName val="Shareholder_Loans3"/>
      <sheetName val="Comment_DB3"/>
      <sheetName val="Graph_Data3"/>
      <sheetName val="Total_Market_Evol3"/>
      <sheetName val="Market_Evol3"/>
      <sheetName val="Market_Split_Evol3"/>
      <sheetName val="Sales_Evol3"/>
      <sheetName val="Gross_Adds_Evol3"/>
      <sheetName val="Connection_Fee_Evol3"/>
      <sheetName val="Postpaid_Tariff_Evol3"/>
      <sheetName val="Prepaid_Tariff_Evol3"/>
      <sheetName val="Postpaid_Usage_Evol3"/>
      <sheetName val="Prepaid_Usage_Evol3"/>
      <sheetName val="Usage_Evol3"/>
      <sheetName val="ARPU_Evol3"/>
      <sheetName val="Cash_Flow_Evol3"/>
      <sheetName val="OPEX_Evol3"/>
      <sheetName val="OPEX_per_Sub_Evol3"/>
      <sheetName val="Productivity_Evol3"/>
      <sheetName val="CAPEX_Evol3"/>
      <sheetName val="Revenue_Evol3"/>
      <sheetName val="Sensitivity_Chart_13"/>
      <sheetName val="Sensitivity_Chart_23"/>
      <sheetName val="Sensitivity_Chart_33"/>
      <sheetName val="General_Inputs3"/>
      <sheetName val="loan_13"/>
      <sheetName val="BASIC_ASSUMPTIONS3"/>
      <sheetName val="FORECAST_PREPAID3"/>
      <sheetName val="Data_New3"/>
      <sheetName val="Sub_HMC2"/>
      <sheetName val="DCF_Valuation4"/>
      <sheetName val="Equity_Valuation4"/>
      <sheetName val="Public_Wealth4"/>
      <sheetName val="Potential_Market4"/>
      <sheetName val="Prepaid_Plans4"/>
      <sheetName val="Postpaid_Plans4"/>
      <sheetName val="VAS_&amp;_Roaming4"/>
      <sheetName val="Connection_Fees4"/>
      <sheetName val="Outgoing_Tariffs4"/>
      <sheetName val="Incoming_Tariffs4"/>
      <sheetName val="Interconnect_Splits4"/>
      <sheetName val="Minutes_of_Use4"/>
      <sheetName val="Network_Inputs4"/>
      <sheetName val="Network_Dimensioning4"/>
      <sheetName val="Network_Suppliers4"/>
      <sheetName val="Network_Expenses4"/>
      <sheetName val="Commercial_Expenses4"/>
      <sheetName val="Interconnect_Expenses4"/>
      <sheetName val="Operating_Expenses4"/>
      <sheetName val="Capital_Expenses4"/>
      <sheetName val="Profit_&amp;_Loss4"/>
      <sheetName val="Balance_Sheet4"/>
      <sheetName val="Cash_Flow4"/>
      <sheetName val="Financing_Plan4"/>
      <sheetName val="Bank_Loans4"/>
      <sheetName val="Supplier_Loans4"/>
      <sheetName val="Local_Loans4"/>
      <sheetName val="Shareholder_Loans4"/>
      <sheetName val="Comment_DB4"/>
      <sheetName val="Graph_Data4"/>
      <sheetName val="Total_Market_Evol4"/>
      <sheetName val="Market_Evol4"/>
      <sheetName val="Market_Split_Evol4"/>
      <sheetName val="Sales_Evol4"/>
      <sheetName val="Gross_Adds_Evol4"/>
      <sheetName val="Connection_Fee_Evol4"/>
      <sheetName val="Postpaid_Tariff_Evol4"/>
      <sheetName val="Prepaid_Tariff_Evol4"/>
      <sheetName val="Postpaid_Usage_Evol4"/>
      <sheetName val="Prepaid_Usage_Evol4"/>
      <sheetName val="Usage_Evol4"/>
      <sheetName val="ARPU_Evol4"/>
      <sheetName val="Cash_Flow_Evol4"/>
      <sheetName val="OPEX_Evol4"/>
      <sheetName val="OPEX_per_Sub_Evol4"/>
      <sheetName val="Productivity_Evol4"/>
      <sheetName val="CAPEX_Evol4"/>
      <sheetName val="Revenue_Evol4"/>
      <sheetName val="Sensitivity_Chart_14"/>
      <sheetName val="Sensitivity_Chart_24"/>
      <sheetName val="Sensitivity_Chart_34"/>
      <sheetName val="General_Inputs4"/>
      <sheetName val="loan_14"/>
      <sheetName val="BASIC_ASSUMPTIONS4"/>
      <sheetName val="FORECAST_PREPAID4"/>
      <sheetName val="Data_New4"/>
      <sheetName val="Sub_HMC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S"/>
      <sheetName val="I&amp;E"/>
      <sheetName val="Policy"/>
      <sheetName val="Notes"/>
      <sheetName val="FA"/>
      <sheetName val="Trial Bal"/>
      <sheetName val="F.A"/>
      <sheetName val="F.A Add"/>
      <sheetName val="Adv,Dep,Pre &amp; Ot.rec"/>
      <sheetName val="Op.Adv"/>
      <sheetName val="Op.Adv.Giv"/>
      <sheetName val="Op.Adv.Adj"/>
      <sheetName val="Op.Adv.Bal"/>
      <sheetName val="Per.Adv"/>
      <sheetName val="Per.Adv.Giv"/>
      <sheetName val="Per.Adv.Adj"/>
      <sheetName val="Per.Adv.Bal"/>
      <sheetName val="Sec.Dep"/>
      <sheetName val="Sec.Dep. Detail"/>
      <sheetName val="Pre"/>
      <sheetName val="Pre.Adj"/>
      <sheetName val="Ot.Rec"/>
      <sheetName val="C&amp;B"/>
      <sheetName val="Acc &amp; Ot.pay"/>
      <sheetName val="Sev.pay"/>
      <sheetName val="Sev.HD.Off"/>
      <sheetName val="Sev.SKP.Off"/>
      <sheetName val="Sev.FSD.Off"/>
      <sheetName val="Aud.Rem"/>
      <sheetName val="I.T"/>
      <sheetName val="Sal.Pay"/>
      <sheetName val="Sal.Pay.Bal"/>
      <sheetName val="Pay.LSF"/>
      <sheetName val="GF"/>
      <sheetName val="GU"/>
      <sheetName val="Pro.Cost"/>
      <sheetName val="Pro.Staf"/>
      <sheetName val="Pro.Staf.SKP"/>
      <sheetName val="Pro.Staf.FSD"/>
      <sheetName val="Mang &amp; Pro Sup.Cost"/>
      <sheetName val="H.Off.Sal"/>
      <sheetName val="Cor &amp; Adm"/>
      <sheetName val="Cor &amp; Adm (SKP)"/>
      <sheetName val="Cor &amp; Adm (FSD)"/>
      <sheetName val="Utilities"/>
      <sheetName val="Utilities (SKP)"/>
      <sheetName val="Utilities (FSD)"/>
      <sheetName val="Rent.Exp"/>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S"/>
      <sheetName val="I&amp;E"/>
      <sheetName val="Policy"/>
      <sheetName val="Notes"/>
      <sheetName val="FA"/>
      <sheetName val="Trial Bal"/>
      <sheetName val="F.A"/>
      <sheetName val="F.A Add"/>
      <sheetName val="Adv,Dep,Pre &amp; Ot.rec"/>
      <sheetName val="Op.Adv"/>
      <sheetName val="Op.Adv.Giv"/>
      <sheetName val="Op.Adv.Adj"/>
      <sheetName val="Op.Adv.Bal"/>
      <sheetName val="Per.Adv"/>
      <sheetName val="Per.Adv.Giv"/>
      <sheetName val="Per.Adv.Adj"/>
      <sheetName val="Per.Adv.Bal"/>
      <sheetName val="Sec.Dep"/>
      <sheetName val="Sec.Dep. Detail"/>
      <sheetName val="Pre"/>
      <sheetName val="Pre.Adj"/>
      <sheetName val="Ot.Rec"/>
      <sheetName val="C&amp;B"/>
      <sheetName val="Acc &amp; Ot.pay"/>
      <sheetName val="Sev.pay"/>
      <sheetName val="Sev.HD.Off"/>
      <sheetName val="Sev.SKP.Off"/>
      <sheetName val="Sev.FSD.Off"/>
      <sheetName val="Aud.Rem"/>
      <sheetName val="I.T"/>
      <sheetName val="Sal.Pay"/>
      <sheetName val="Sal.Pay.Bal"/>
      <sheetName val="Pay.LSF"/>
      <sheetName val="GF"/>
      <sheetName val="GU"/>
      <sheetName val="Pro.Cost"/>
      <sheetName val="Pro.Staf"/>
      <sheetName val="Pro.Staf.SKP"/>
      <sheetName val="Pro.Staf.FSD"/>
      <sheetName val="Mang &amp; Pro Sup.Cost"/>
      <sheetName val="H.Off.Sal"/>
      <sheetName val="Cor &amp; Adm"/>
      <sheetName val="Cor &amp; Adm (SKP)"/>
      <sheetName val="Cor &amp; Adm (FSD)"/>
      <sheetName val="Utilities"/>
      <sheetName val="Utilities (SKP)"/>
      <sheetName val="Utilities (FSD)"/>
      <sheetName val="Rent.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IL9900"/>
      <sheetName val="creditor"/>
      <sheetName val="debtors"/>
      <sheetName val="Sheet13"/>
      <sheetName val="Sheet12"/>
      <sheetName val="Sheet11"/>
      <sheetName val="Sheet10"/>
      <sheetName val="Sheet9"/>
      <sheetName val="Sheet8"/>
      <sheetName val="Sheet7"/>
      <sheetName val="Sheet6"/>
      <sheetName val="Sheet5"/>
      <sheetName val="Sheet4"/>
      <sheetName val="Sheet3"/>
      <sheetName val="Sheet2"/>
      <sheetName val="Creditors"/>
      <sheetName val="Parameters"/>
      <sheetName val="Data"/>
      <sheetName val="working"/>
      <sheetName val="loan 1"/>
      <sheetName val="Summary"/>
      <sheetName val="TRAN"/>
      <sheetName val="Income Statement"/>
      <sheetName val="C3.5"/>
      <sheetName val="LEDGER"/>
      <sheetName val="TRIAL"/>
      <sheetName val="loan_1"/>
      <sheetName val="C.ST"/>
      <sheetName val="C.PM"/>
      <sheetName val="C.Ol"/>
      <sheetName val="Sheet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IL9900"/>
      <sheetName val="creditor"/>
      <sheetName val="debtors"/>
      <sheetName val="Sheet13"/>
      <sheetName val="Sheet12"/>
      <sheetName val="Sheet11"/>
      <sheetName val="Sheet10"/>
      <sheetName val="Sheet9"/>
      <sheetName val="Sheet8"/>
      <sheetName val="Sheet7"/>
      <sheetName val="Sheet6"/>
      <sheetName val="Sheet5"/>
      <sheetName val="Sheet4"/>
      <sheetName val="Sheet3"/>
      <sheetName val="Sheet2"/>
      <sheetName val="Creditors"/>
      <sheetName val="O-H"/>
      <sheetName val="HT2"/>
      <sheetName val="Std. Tlng"/>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kage98"/>
      <sheetName val="Cashflow"/>
      <sheetName val="CF working"/>
      <sheetName val="CC Wise"/>
      <sheetName val="Prdct Wise"/>
      <sheetName val="Spndl Rtr"/>
      <sheetName val="Product Reference Tables"/>
      <sheetName val="Pricing Inputs"/>
      <sheetName val="Financial Inputs"/>
      <sheetName val="Product DB"/>
      <sheetName val="General Inputs"/>
      <sheetName val="Variables"/>
      <sheetName val="Misc Equipment"/>
      <sheetName val="Other HW"/>
      <sheetName val="Price Config ( Product )"/>
      <sheetName val="Price Config ( Service )"/>
      <sheetName val="BTS Other"/>
      <sheetName val="Services DB"/>
      <sheetName val="SGSN Capacity Model Ref"/>
      <sheetName val="CF_working"/>
      <sheetName val="CC_Wise"/>
      <sheetName val="Prdct_Wise"/>
      <sheetName val="Spndl_Rtr"/>
      <sheetName val="CF_working1"/>
      <sheetName val="CC_Wise1"/>
      <sheetName val="Prdct_Wise1"/>
      <sheetName val="Spndl_Rtr1"/>
      <sheetName val="Product_Reference_Tables"/>
      <sheetName val="Pricing_Inputs"/>
      <sheetName val="Financial_Inputs"/>
      <sheetName val="Product_DB"/>
      <sheetName val="General_Inputs"/>
      <sheetName val="Misc_Equipment"/>
      <sheetName val="Other_HW"/>
      <sheetName val="Price_Config_(_Product_)"/>
      <sheetName val="Price_Config_(_Service_)"/>
      <sheetName val="BTS_Other"/>
      <sheetName val="Services_DB"/>
      <sheetName val="SGSN_Capacity_Model_Ref"/>
      <sheetName val="Acct"/>
      <sheetName val="BS"/>
      <sheetName val="Note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DebitNote"/>
      <sheetName val="Customize Your Invoice"/>
      <sheetName val="P.Order"/>
      <sheetName val="Macros"/>
      <sheetName val="ATW"/>
      <sheetName val="Lock"/>
      <sheetName val="Intl Data Table"/>
      <sheetName val="TemplateInformation"/>
      <sheetName val="REGOVER"/>
      <sheetName val="REGOVER (2)"/>
      <sheetName val="P.Osder"/>
      <sheetName val="MacroP"/>
      <sheetName val="Int, Data T!ble"/>
    </sheetNames>
    <sheetDataSet>
      <sheetData sheetId="0"/>
      <sheetData sheetId="1"/>
      <sheetData sheetId="2" refreshError="1"/>
      <sheetData sheetId="3"/>
      <sheetData sheetId="4" refreshError="1"/>
      <sheetData sheetId="5"/>
      <sheetData sheetId="6"/>
      <sheetData sheetId="7"/>
      <sheetData sheetId="8"/>
      <sheetData sheetId="9"/>
      <sheetData sheetId="10"/>
      <sheetData sheetId="11"/>
      <sheetData sheetId="12" refreshError="1"/>
      <sheetData sheetId="13"/>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r Guide"/>
      <sheetName val="GSM dashboard"/>
      <sheetName val="working"/>
      <sheetName val="Actual"/>
      <sheetName val="Budget"/>
      <sheetName val="3+9 Forecast"/>
      <sheetName val="6+6 Forecast"/>
      <sheetName val="9+3 Forecast"/>
      <sheetName val="Guidelines &amp; Definitions"/>
      <sheetName val="Database"/>
      <sheetName val="Parameters"/>
      <sheetName val="Range Page"/>
      <sheetName val="Intervals"/>
      <sheetName val="Augbkp98"/>
      <sheetName val="DS_details"/>
      <sheetName val="Income Statement"/>
      <sheetName val="DMF SW"/>
      <sheetName val="DMF IDPS SW"/>
      <sheetName val="DISCOUNT"/>
      <sheetName val="Projections"/>
      <sheetName val="BASIC ASSUMPTIONS"/>
      <sheetName val="ISLAMABAD"/>
      <sheetName val="Detailed Report"/>
      <sheetName val="Budget RS"/>
      <sheetName val="No.20"/>
      <sheetName val="501017E"/>
      <sheetName val="AugustDataEntry"/>
      <sheetName val="ABLStatement"/>
      <sheetName val="Sales_GST_Ex_Duty082002"/>
      <sheetName val="Dashboard Feb 04"/>
      <sheetName val="TRIL9900"/>
      <sheetName val="New"/>
      <sheetName val="User_Guide"/>
      <sheetName val="GSM_dashboard"/>
      <sheetName val="3+9_Forecast"/>
      <sheetName val="6+6_Forecast"/>
      <sheetName val="9+3_Forecast"/>
      <sheetName val="Guidelines_&amp;_Definitions"/>
      <sheetName val="Range_Page"/>
      <sheetName val="Income_Statement"/>
      <sheetName val="DMF_SW"/>
      <sheetName val="DMF_IDPS_SW"/>
      <sheetName val="BASIC_ASSUMPTIONS"/>
      <sheetName val="Detailed_Report"/>
      <sheetName val="No_20"/>
      <sheetName val="User_Guide1"/>
      <sheetName val="GSM_dashboard1"/>
      <sheetName val="3+9_Forecast1"/>
      <sheetName val="6+6_Forecast1"/>
      <sheetName val="9+3_Forecast1"/>
      <sheetName val="Guidelines_&amp;_Definitions1"/>
      <sheetName val="Range_Page1"/>
      <sheetName val="Income_Statement1"/>
      <sheetName val="DMF_SW1"/>
      <sheetName val="DMF_IDPS_SW1"/>
      <sheetName val="BASIC_ASSUMPTIONS1"/>
      <sheetName val="Detailed_Report1"/>
      <sheetName val="No_201"/>
      <sheetName val="User_Guide2"/>
      <sheetName val="GSM_dashboard2"/>
      <sheetName val="3+9_Forecast2"/>
      <sheetName val="6+6_Forecast2"/>
      <sheetName val="9+3_Forecast2"/>
      <sheetName val="Guidelines_&amp;_Definitions2"/>
      <sheetName val="Range_Page2"/>
      <sheetName val="Income_Statement2"/>
      <sheetName val="DMF_SW2"/>
      <sheetName val="DMF_IDPS_SW2"/>
      <sheetName val="BASIC_ASSUMPTIONS2"/>
      <sheetName val="Detailed_Report2"/>
      <sheetName val="No_202"/>
      <sheetName val="User_Guide3"/>
      <sheetName val="GSM_dashboard3"/>
      <sheetName val="3+9_Forecast3"/>
      <sheetName val="6+6_Forecast3"/>
      <sheetName val="9+3_Forecast3"/>
      <sheetName val="Guidelines_&amp;_Definitions3"/>
      <sheetName val="Range_Page3"/>
      <sheetName val="Income_Statement3"/>
      <sheetName val="DMF_SW3"/>
      <sheetName val="DMF_IDPS_SW3"/>
      <sheetName val="BASIC_ASSUMPTIONS3"/>
      <sheetName val="Detailed_Report3"/>
      <sheetName val="No_203"/>
      <sheetName val="User_Guide4"/>
      <sheetName val="GSM_dashboard4"/>
      <sheetName val="3+9_Forecast4"/>
      <sheetName val="6+6_Forecast4"/>
      <sheetName val="9+3_Forecast4"/>
      <sheetName val="Guidelines_&amp;_Definitions4"/>
      <sheetName val="Range_Page4"/>
      <sheetName val="Income_Statement4"/>
      <sheetName val="DMF_SW4"/>
      <sheetName val="DMF_IDPS_SW4"/>
      <sheetName val="BASIC_ASSUMPTIONS4"/>
      <sheetName val="Detailed_Report4"/>
      <sheetName val="No_204"/>
      <sheetName val="User_Guide5"/>
      <sheetName val="GSM_dashboard5"/>
      <sheetName val="3+9_Forecast5"/>
      <sheetName val="6+6_Forecast5"/>
      <sheetName val="9+3_Forecast5"/>
      <sheetName val="Guidelines_&amp;_Definitions5"/>
      <sheetName val="Range_Page5"/>
      <sheetName val="Income_Statement5"/>
      <sheetName val="DMF_SW5"/>
      <sheetName val="DMF_IDPS_SW5"/>
      <sheetName val="BASIC_ASSUMPTIONS5"/>
      <sheetName val="Detailed_Report5"/>
      <sheetName val="No_205"/>
      <sheetName val="User_Guide6"/>
      <sheetName val="GSM_dashboard6"/>
      <sheetName val="3+9_Forecast6"/>
      <sheetName val="6+6_Forecast6"/>
      <sheetName val="9+3_Forecast6"/>
      <sheetName val="Guidelines_&amp;_Definitions6"/>
      <sheetName val="Range_Page6"/>
      <sheetName val="Income_Statement6"/>
      <sheetName val="DMF_SW6"/>
      <sheetName val="DMF_IDPS_SW6"/>
      <sheetName val="BASIC_ASSUMPTIONS6"/>
      <sheetName val="Detailed_Report6"/>
      <sheetName val="No_206"/>
      <sheetName val="User_Guide8"/>
      <sheetName val="GSM_dashboard8"/>
      <sheetName val="3+9_Forecast8"/>
      <sheetName val="6+6_Forecast8"/>
      <sheetName val="9+3_Forecast8"/>
      <sheetName val="Guidelines_&amp;_Definitions8"/>
      <sheetName val="Range_Page8"/>
      <sheetName val="Income_Statement8"/>
      <sheetName val="DMF_SW8"/>
      <sheetName val="DMF_IDPS_SW8"/>
      <sheetName val="BASIC_ASSUMPTIONS8"/>
      <sheetName val="Detailed_Report8"/>
      <sheetName val="No_208"/>
      <sheetName val="User_Guide7"/>
      <sheetName val="GSM_dashboard7"/>
      <sheetName val="3+9_Forecast7"/>
      <sheetName val="6+6_Forecast7"/>
      <sheetName val="9+3_Forecast7"/>
      <sheetName val="Guidelines_&amp;_Definitions7"/>
      <sheetName val="Range_Page7"/>
      <sheetName val="Income_Statement7"/>
      <sheetName val="DMF_SW7"/>
      <sheetName val="DMF_IDPS_SW7"/>
      <sheetName val="BASIC_ASSUMPTIONS7"/>
      <sheetName val="Detailed_Report7"/>
      <sheetName val="No_207"/>
      <sheetName val="User_Guide9"/>
      <sheetName val="GSM_dashboard9"/>
      <sheetName val="3+9_Forecast9"/>
      <sheetName val="6+6_Forecast9"/>
      <sheetName val="9+3_Forecast9"/>
      <sheetName val="Guidelines_&amp;_Definitions9"/>
      <sheetName val="Range_Page9"/>
      <sheetName val="Income_Statement9"/>
      <sheetName val="DMF_SW9"/>
      <sheetName val="DMF_IDPS_SW9"/>
      <sheetName val="BASIC_ASSUMPTIONS9"/>
      <sheetName val="Detailed_Report9"/>
      <sheetName val="No_209"/>
      <sheetName val="User_Guide10"/>
      <sheetName val="GSM_dashboard10"/>
      <sheetName val="3+9_Forecast10"/>
      <sheetName val="6+6_Forecast10"/>
      <sheetName val="9+3_Forecast10"/>
      <sheetName val="Guidelines_&amp;_Definitions10"/>
      <sheetName val="Range_Page10"/>
      <sheetName val="Income_Statement10"/>
      <sheetName val="DMF_SW10"/>
      <sheetName val="DMF_IDPS_SW10"/>
      <sheetName val="BASIC_ASSUMPTIONS10"/>
      <sheetName val="Detailed_Report10"/>
      <sheetName val="No_2010"/>
      <sheetName val="User_Guide11"/>
      <sheetName val="GSM_dashboard11"/>
      <sheetName val="3+9_Forecast11"/>
      <sheetName val="6+6_Forecast11"/>
      <sheetName val="9+3_Forecast11"/>
      <sheetName val="Guidelines_&amp;_Definitions11"/>
      <sheetName val="Range_Page11"/>
      <sheetName val="Income_Statement11"/>
      <sheetName val="DMF_SW11"/>
      <sheetName val="DMF_IDPS_SW11"/>
      <sheetName val="BASIC_ASSUMPTIONS11"/>
      <sheetName val="Detailed_Report11"/>
      <sheetName val="No_2011"/>
      <sheetName val="Budget_RS"/>
      <sheetName val="User_Guide12"/>
      <sheetName val="GSM_dashboard12"/>
      <sheetName val="3+9_Forecast12"/>
      <sheetName val="6+6_Forecast12"/>
      <sheetName val="9+3_Forecast12"/>
      <sheetName val="Guidelines_&amp;_Definitions12"/>
      <sheetName val="Detailed_Report12"/>
      <sheetName val="Range_Page12"/>
      <sheetName val="Income_Statement12"/>
      <sheetName val="DMF_SW12"/>
      <sheetName val="DMF_IDPS_SW12"/>
      <sheetName val="BASIC_ASSUMPTIONS12"/>
      <sheetName val="No_2012"/>
      <sheetName val="Budget_RS1"/>
      <sheetName val="Speech 7,95"/>
      <sheetName val="User_Guide13"/>
      <sheetName val="GSM_dashboard13"/>
      <sheetName val="3+9_Forecast13"/>
      <sheetName val="6+6_Forecast13"/>
      <sheetName val="9+3_Forecast13"/>
      <sheetName val="Guidelines_&amp;_Definitions13"/>
      <sheetName val="Detailed_Report13"/>
      <sheetName val="Dashboard_Feb_04"/>
      <sheetName val="Speech_7,95"/>
      <sheetName val="User_Guide14"/>
      <sheetName val="GSM_dashboard14"/>
      <sheetName val="3+9_Forecast14"/>
      <sheetName val="6+6_Forecast14"/>
      <sheetName val="9+3_Forecast14"/>
      <sheetName val="Guidelines_&amp;_Definitions14"/>
      <sheetName val="Range_Page14"/>
      <sheetName val="Income_Statement14"/>
      <sheetName val="DMF_SW14"/>
      <sheetName val="DMF_IDPS_SW14"/>
      <sheetName val="BASIC_ASSUMPTIONS14"/>
      <sheetName val="Detailed_Report14"/>
      <sheetName val="No_2014"/>
      <sheetName val="Budget_RS3"/>
      <sheetName val="Dashboard_Feb_042"/>
      <sheetName val="Range_Page13"/>
      <sheetName val="Income_Statement13"/>
      <sheetName val="DMF_SW13"/>
      <sheetName val="DMF_IDPS_SW13"/>
      <sheetName val="BASIC_ASSUMPTIONS13"/>
      <sheetName val="No_2013"/>
      <sheetName val="Budget_RS2"/>
      <sheetName val="Dashboard_Feb_041"/>
      <sheetName val="User_Guide15"/>
      <sheetName val="GSM_dashboard15"/>
      <sheetName val="3+9_Forecast15"/>
      <sheetName val="6+6_Forecast15"/>
      <sheetName val="9+3_Forecast15"/>
      <sheetName val="Guidelines_&amp;_Definitions15"/>
      <sheetName val="Range_Page15"/>
      <sheetName val="Income_Statement15"/>
      <sheetName val="DMF_SW15"/>
      <sheetName val="DMF_IDPS_SW15"/>
      <sheetName val="BASIC_ASSUMPTIONS15"/>
      <sheetName val="Detailed_Report15"/>
      <sheetName val="No_2015"/>
      <sheetName val="Budget_RS4"/>
      <sheetName val="Dashboard_Feb_043"/>
      <sheetName val="Speech_7,951"/>
      <sheetName val="User_Guide19"/>
      <sheetName val="GSM_dashboard19"/>
      <sheetName val="3+9_Forecast19"/>
      <sheetName val="6+6_Forecast19"/>
      <sheetName val="9+3_Forecast19"/>
      <sheetName val="Guidelines_&amp;_Definitions19"/>
      <sheetName val="Range_Page19"/>
      <sheetName val="Income_Statement19"/>
      <sheetName val="DMF_SW19"/>
      <sheetName val="DMF_IDPS_SW19"/>
      <sheetName val="BASIC_ASSUMPTIONS19"/>
      <sheetName val="Detailed_Report19"/>
      <sheetName val="No_2019"/>
      <sheetName val="Budget_RS8"/>
      <sheetName val="Dashboard_Feb_047"/>
      <sheetName val="User_Guide18"/>
      <sheetName val="GSM_dashboard18"/>
      <sheetName val="3+9_Forecast18"/>
      <sheetName val="6+6_Forecast18"/>
      <sheetName val="9+3_Forecast18"/>
      <sheetName val="Guidelines_&amp;_Definitions18"/>
      <sheetName val="Range_Page18"/>
      <sheetName val="Income_Statement18"/>
      <sheetName val="DMF_SW18"/>
      <sheetName val="DMF_IDPS_SW18"/>
      <sheetName val="BASIC_ASSUMPTIONS18"/>
      <sheetName val="Detailed_Report18"/>
      <sheetName val="No_2018"/>
      <sheetName val="Budget_RS7"/>
      <sheetName val="Dashboard_Feb_046"/>
      <sheetName val="User_Guide17"/>
      <sheetName val="GSM_dashboard17"/>
      <sheetName val="3+9_Forecast17"/>
      <sheetName val="6+6_Forecast17"/>
      <sheetName val="9+3_Forecast17"/>
      <sheetName val="Guidelines_&amp;_Definitions17"/>
      <sheetName val="Range_Page17"/>
      <sheetName val="Income_Statement17"/>
      <sheetName val="DMF_SW17"/>
      <sheetName val="DMF_IDPS_SW17"/>
      <sheetName val="BASIC_ASSUMPTIONS17"/>
      <sheetName val="Detailed_Report17"/>
      <sheetName val="No_2017"/>
      <sheetName val="Budget_RS6"/>
      <sheetName val="Dashboard_Feb_045"/>
      <sheetName val="User_Guide16"/>
      <sheetName val="GSM_dashboard16"/>
      <sheetName val="3+9_Forecast16"/>
      <sheetName val="6+6_Forecast16"/>
      <sheetName val="9+3_Forecast16"/>
      <sheetName val="Guidelines_&amp;_Definitions16"/>
      <sheetName val="Range_Page16"/>
      <sheetName val="Income_Statement16"/>
      <sheetName val="DMF_SW16"/>
      <sheetName val="DMF_IDPS_SW16"/>
      <sheetName val="BASIC_ASSUMPTIONS16"/>
      <sheetName val="Detailed_Report16"/>
      <sheetName val="No_2016"/>
      <sheetName val="Budget_RS5"/>
      <sheetName val="Dashboard_Feb_044"/>
      <sheetName val="User_Guide20"/>
      <sheetName val="GSM_dashboard20"/>
      <sheetName val="3+9_Forecast20"/>
      <sheetName val="6+6_Forecast20"/>
      <sheetName val="9+3_Forecast20"/>
      <sheetName val="Guidelines_&amp;_Definitions20"/>
      <sheetName val="Range_Page20"/>
      <sheetName val="Income_Statement20"/>
      <sheetName val="DMF_SW20"/>
      <sheetName val="DMF_IDPS_SW20"/>
      <sheetName val="BASIC_ASSUMPTIONS20"/>
      <sheetName val="Detailed_Report20"/>
      <sheetName val="No_2020"/>
      <sheetName val="Budget_RS9"/>
      <sheetName val="Dashboard_Feb_048"/>
      <sheetName val="Speech_7,952"/>
      <sheetName val="User_Guide21"/>
      <sheetName val="GSM_dashboard21"/>
      <sheetName val="3+9_Forecast21"/>
      <sheetName val="6+6_Forecast21"/>
      <sheetName val="9+3_Forecast21"/>
      <sheetName val="Guidelines_&amp;_Definitions21"/>
      <sheetName val="Range_Page21"/>
      <sheetName val="Income_Statement21"/>
      <sheetName val="DMF_SW21"/>
      <sheetName val="DMF_IDPS_SW21"/>
      <sheetName val="BASIC_ASSUMPTIONS21"/>
      <sheetName val="Detailed_Report21"/>
      <sheetName val="No_2021"/>
      <sheetName val="Budget_RS10"/>
      <sheetName val="Dashboard_Feb_049"/>
      <sheetName val="Speech_7,953"/>
      <sheetName val="User_Guide22"/>
      <sheetName val="GSM_dashboard22"/>
      <sheetName val="3+9_Forecast22"/>
      <sheetName val="6+6_Forecast22"/>
      <sheetName val="9+3_Forecast22"/>
      <sheetName val="Guidelines_&amp;_Definitions22"/>
      <sheetName val="Range_Page22"/>
      <sheetName val="Income_Statement22"/>
      <sheetName val="DMF_SW22"/>
      <sheetName val="DMF_IDPS_SW22"/>
      <sheetName val="BASIC_ASSUMPTIONS22"/>
      <sheetName val="Detailed_Report22"/>
      <sheetName val="No_2022"/>
      <sheetName val="Budget_RS11"/>
      <sheetName val="Dashboard_Feb_0410"/>
      <sheetName val="Speech_7,954"/>
      <sheetName val="User_Guide24"/>
      <sheetName val="GSM_dashboard24"/>
      <sheetName val="3+9_Forecast24"/>
      <sheetName val="6+6_Forecast24"/>
      <sheetName val="9+3_Forecast24"/>
      <sheetName val="Guidelines_&amp;_Definitions24"/>
      <sheetName val="Range_Page24"/>
      <sheetName val="Income_Statement24"/>
      <sheetName val="DMF_SW24"/>
      <sheetName val="DMF_IDPS_SW24"/>
      <sheetName val="BASIC_ASSUMPTIONS24"/>
      <sheetName val="Detailed_Report24"/>
      <sheetName val="No_2024"/>
      <sheetName val="Budget_RS13"/>
      <sheetName val="Dashboard_Feb_0412"/>
      <sheetName val="User_Guide23"/>
      <sheetName val="GSM_dashboard23"/>
      <sheetName val="3+9_Forecast23"/>
      <sheetName val="6+6_Forecast23"/>
      <sheetName val="9+3_Forecast23"/>
      <sheetName val="Guidelines_&amp;_Definitions23"/>
      <sheetName val="Range_Page23"/>
      <sheetName val="Income_Statement23"/>
      <sheetName val="DMF_SW23"/>
      <sheetName val="DMF_IDPS_SW23"/>
      <sheetName val="BASIC_ASSUMPTIONS23"/>
      <sheetName val="Detailed_Report23"/>
      <sheetName val="No_2023"/>
      <sheetName val="Budget_RS12"/>
      <sheetName val="Dashboard_Feb_0411"/>
      <sheetName val="Speech_7,955"/>
      <sheetName val="Speech_7,956"/>
      <sheetName val="Notes1-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refreshError="1"/>
      <sheetData sheetId="201" refreshError="1"/>
      <sheetData sheetId="202" refreshError="1"/>
      <sheetData sheetId="203" refreshError="1"/>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EX-091"/>
      <sheetName val="AFL-596"/>
      <sheetName val="ADR-605"/>
      <sheetName val="TRIL9900"/>
    </sheetNames>
    <sheetDataSet>
      <sheetData sheetId="0"/>
      <sheetData sheetId="1" refreshError="1"/>
      <sheetData sheetId="2" refreshError="1"/>
      <sheetData sheetId="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EX-091"/>
      <sheetName val="AFL-596"/>
      <sheetName val="ADR-605"/>
    </sheetNames>
    <sheetDataSet>
      <sheetData sheetId="0"/>
      <sheetData sheetId="1" refreshError="1"/>
      <sheetData sheetId="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mortization Table"/>
    </sheetNames>
    <sheetDataSet>
      <sheetData sheetId="0"/>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EX-091"/>
      <sheetName val="AFL-596"/>
      <sheetName val="ADR-605"/>
    </sheetNames>
    <sheetDataSet>
      <sheetData sheetId="0"/>
      <sheetData sheetId="1" refreshError="1"/>
      <sheetData sheetId="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VS"/>
      <sheetName val="Sheet1"/>
      <sheetName val="Cash Flow"/>
      <sheetName val="P&amp;L"/>
      <sheetName val="IAS 32"/>
      <sheetName val="B-S"/>
      <sheetName val="E&amp;F"/>
      <sheetName val="C&amp;D"/>
      <sheetName val="T-B"/>
      <sheetName val="G"/>
      <sheetName val="F-A"/>
      <sheetName val="COGS%"/>
      <sheetName val="Ratios"/>
      <sheetName val="Disposal"/>
      <sheetName val="Trial Balance"/>
      <sheetName val="Wajahat Ali Farooq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amp;L"/>
      <sheetName val="Equity"/>
      <sheetName val="Accounting policies"/>
      <sheetName val="Notes"/>
      <sheetName val="Cash Flow"/>
      <sheetName val="FA"/>
      <sheetName val="F. Inst final"/>
      <sheetName val="Loans"/>
      <sheetName val="Fin. Inst Working"/>
      <sheetName val="BS Grouping"/>
      <sheetName val="P&amp;L Grouping"/>
      <sheetName val="ASSETS"/>
      <sheetName val="B.S DRAFT"/>
      <sheetName val="Loans draft"/>
      <sheetName val="F. Inst"/>
      <sheetName val="Sub HMC"/>
      <sheetName val="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 1"/>
      <sheetName val="COST"/>
      <sheetName val="RECONCILIATION"/>
      <sheetName val="INCOME DATA"/>
      <sheetName val="RETURN FORM"/>
      <sheetName val="COMPUTATION"/>
      <sheetName val="CHALLAN"/>
      <sheetName val="A"/>
      <sheetName val="TRIL9900"/>
      <sheetName val="ASSETS"/>
      <sheetName val="Sheet_1"/>
      <sheetName val="INCOME_DATA"/>
      <sheetName val="RETURN_FORM"/>
      <sheetName val="Sheet_11"/>
      <sheetName val="INCOME_DATA1"/>
      <sheetName val="RETURN_FORM1"/>
      <sheetName val="Income Statement"/>
      <sheetName val="Data"/>
      <sheetName val="Projections"/>
      <sheetName val="BASIC ASSUMPTIONS"/>
      <sheetName val="TRAN"/>
      <sheetName val="Sheet_12"/>
      <sheetName val="INCOME_DATA2"/>
      <sheetName val="RETURN_FORM2"/>
      <sheetName val="Income_Statement"/>
      <sheetName val="Summary"/>
      <sheetName val="loan_13"/>
      <sheetName val="pkage01"/>
      <sheetName val="Sheet_14"/>
      <sheetName val="INCOME_DATA4"/>
      <sheetName val="RETURN_FORM4"/>
      <sheetName val="Income_Statement2"/>
      <sheetName val="Sheet_13"/>
      <sheetName val="INCOME_DATA3"/>
      <sheetName val="RETURN_FORM3"/>
      <sheetName val="Income_Statemen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nual"/>
      <sheetName val="Budget BS"/>
      <sheetName val="Budget RS"/>
      <sheetName val="Budget PL"/>
      <sheetName val="3+9 Forecast"/>
      <sheetName val="TB"/>
      <sheetName val="Grouping"/>
      <sheetName val="P&amp;L Bgt"/>
      <sheetName val="P&amp;L Proj"/>
      <sheetName val="Summ. P&amp;L"/>
      <sheetName val="Revenue ($)"/>
      <sheetName val="Revenue forecast"/>
      <sheetName val="P&amp;L Account"/>
      <sheetName val="N.New B.S"/>
      <sheetName val="Income Statement"/>
      <sheetName val="Notes FA"/>
      <sheetName val="N.New Notes"/>
      <sheetName val="C.Flow"/>
      <sheetName val="Sum.P&amp;L(Rs)"/>
      <sheetName val="Revenue (Rs)"/>
      <sheetName val="P&amp;L Bgt(Rs)"/>
      <sheetName val="C.F.Work"/>
      <sheetName val="JUN-08 Detail"/>
      <sheetName val="Trade Receivable"/>
      <sheetName val="Other Receivable "/>
      <sheetName val="Package"/>
      <sheetName val="group"/>
      <sheetName val="working"/>
      <sheetName val="Sheet3"/>
      <sheetName val="ASSETS"/>
      <sheetName val="Sajad requireds"/>
      <sheetName val="Trial07"/>
      <sheetName val="CLV assumptions"/>
      <sheetName val="Parameters"/>
      <sheetName val="Gross Margin Analysis"/>
      <sheetName val="CHALLAN"/>
      <sheetName val="factor"/>
      <sheetName val="Note 1-4.3"/>
      <sheetName val="ESML_9394"/>
      <sheetName val="Projections"/>
      <sheetName val="Genome"/>
      <sheetName val="BankSmart"/>
      <sheetName val="TDR"/>
      <sheetName val="TermLoan"/>
      <sheetName val="ORIX"/>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nual"/>
      <sheetName val="Budget BS"/>
      <sheetName val="Budget RS"/>
      <sheetName val="Budget PL"/>
      <sheetName val="3+9 Forecast"/>
      <sheetName val="TB"/>
      <sheetName val="Grouping"/>
      <sheetName val="P&amp;L Bgt"/>
      <sheetName val="P&amp;L Proj"/>
      <sheetName val="Summ. P&amp;L"/>
      <sheetName val="Revenue ($)"/>
      <sheetName val="Revenue forecast"/>
      <sheetName val="P&amp;L Account"/>
      <sheetName val="N.New B.S"/>
      <sheetName val="Income Statement"/>
      <sheetName val="Notes FA"/>
      <sheetName val="N.New Notes"/>
      <sheetName val="C.Flow"/>
      <sheetName val="Sum.P&amp;L(Rs)"/>
      <sheetName val="Revenue (Rs)"/>
      <sheetName val="P&amp;L Bgt(Rs)"/>
      <sheetName val="C.F.Work"/>
      <sheetName val="JUN-08 Detail"/>
      <sheetName val="Trade Receivable"/>
      <sheetName val="Other Receivable "/>
      <sheetName val="Package"/>
      <sheetName val="group"/>
      <sheetName val="working"/>
      <sheetName val="Sheet3"/>
      <sheetName val="Sajad requireds"/>
      <sheetName val="Parameters"/>
      <sheetName val="ASSETS"/>
      <sheetName val="Trial07"/>
      <sheetName val="CLV assumptions"/>
      <sheetName val="Gross Margin Analysis"/>
      <sheetName val="CHALLAN"/>
      <sheetName val="Projections"/>
      <sheetName val="factor"/>
      <sheetName val="Note 1-4.3"/>
      <sheetName val="ESML_9394"/>
      <sheetName val="Genome"/>
      <sheetName val="BankSmart"/>
      <sheetName val="TDR"/>
      <sheetName val="TermLoan"/>
      <sheetName val="ORIX"/>
      <sheetName val="TRIL9900"/>
      <sheetName val="Budget_BS"/>
      <sheetName val="Budget_RS"/>
      <sheetName val="Budget_PL"/>
      <sheetName val="3+9_Forecast"/>
      <sheetName val="P&amp;L_Bgt"/>
      <sheetName val="P&amp;L_Proj"/>
      <sheetName val="Summ__P&amp;L"/>
      <sheetName val="Revenue_($)"/>
      <sheetName val="Revenue_forecast"/>
      <sheetName val="P&amp;L_Account"/>
      <sheetName val="N_New_B_S"/>
      <sheetName val="Income_Statement"/>
      <sheetName val="Notes_FA"/>
      <sheetName val="N_New_Notes"/>
      <sheetName val="C_Flow"/>
      <sheetName val="Sum_P&amp;L(Rs)"/>
      <sheetName val="Revenue_(Rs)"/>
      <sheetName val="P&amp;L_Bgt(Rs)"/>
      <sheetName val="C_F_Work"/>
      <sheetName val="JUN-08_Detail"/>
      <sheetName val="Trade_Receivable"/>
      <sheetName val="Other_Receivable_"/>
      <sheetName val="Sajad_requireds"/>
      <sheetName val="CLV_assumptions"/>
      <sheetName val="Gross_Margin_Analysis"/>
      <sheetName val="Note_1-4_3"/>
      <sheetName val="Budget_BS1"/>
      <sheetName val="Budget_RS1"/>
      <sheetName val="Budget_PL1"/>
      <sheetName val="3+9_Forecast1"/>
      <sheetName val="P&amp;L_Bgt1"/>
      <sheetName val="P&amp;L_Proj1"/>
      <sheetName val="Summ__P&amp;L1"/>
      <sheetName val="Revenue_($)1"/>
      <sheetName val="Revenue_forecast1"/>
      <sheetName val="P&amp;L_Account1"/>
      <sheetName val="N_New_B_S1"/>
      <sheetName val="Income_Statement1"/>
      <sheetName val="Notes_FA1"/>
      <sheetName val="N_New_Notes1"/>
      <sheetName val="C_Flow1"/>
      <sheetName val="Sum_P&amp;L(Rs)1"/>
      <sheetName val="Revenue_(Rs)1"/>
      <sheetName val="P&amp;L_Bgt(Rs)1"/>
      <sheetName val="C_F_Work1"/>
      <sheetName val="JUN-08_Detail1"/>
      <sheetName val="Trade_Receivable1"/>
      <sheetName val="Other_Receivable_1"/>
      <sheetName val="Sajad_requireds1"/>
      <sheetName val="CLV_assumptions1"/>
      <sheetName val="Gross_Margin_Analysis1"/>
      <sheetName val="Note_1-4_31"/>
      <sheetName val="Budget_BS2"/>
      <sheetName val="Budget_RS2"/>
      <sheetName val="Budget_PL2"/>
      <sheetName val="3+9_Forecast2"/>
      <sheetName val="P&amp;L_Bgt2"/>
      <sheetName val="P&amp;L_Proj2"/>
      <sheetName val="Summ__P&amp;L2"/>
      <sheetName val="Revenue_($)2"/>
      <sheetName val="Revenue_forecast2"/>
      <sheetName val="P&amp;L_Account2"/>
      <sheetName val="N_New_B_S2"/>
      <sheetName val="Income_Statement2"/>
      <sheetName val="Notes_FA2"/>
      <sheetName val="N_New_Notes2"/>
      <sheetName val="C_Flow2"/>
      <sheetName val="Sum_P&amp;L(Rs)2"/>
      <sheetName val="Revenue_(Rs)2"/>
      <sheetName val="P&amp;L_Bgt(Rs)2"/>
      <sheetName val="C_F_Work2"/>
      <sheetName val="JUN-08_Detail2"/>
      <sheetName val="Trade_Receivable2"/>
      <sheetName val="Other_Receivable_2"/>
      <sheetName val="Sajad_requireds2"/>
      <sheetName val="CLV_assumptions2"/>
      <sheetName val="Gross_Margin_Analysis2"/>
      <sheetName val="Note_1-4_32"/>
      <sheetName val="Budget_BS3"/>
      <sheetName val="Budget_RS3"/>
      <sheetName val="Budget_PL3"/>
      <sheetName val="3+9_Forecast3"/>
      <sheetName val="P&amp;L_Bgt3"/>
      <sheetName val="P&amp;L_Proj3"/>
      <sheetName val="Summ__P&amp;L3"/>
      <sheetName val="Revenue_($)3"/>
      <sheetName val="Revenue_forecast3"/>
      <sheetName val="P&amp;L_Account3"/>
      <sheetName val="N_New_B_S3"/>
      <sheetName val="Income_Statement3"/>
      <sheetName val="Notes_FA3"/>
      <sheetName val="N_New_Notes3"/>
      <sheetName val="C_Flow3"/>
      <sheetName val="Sum_P&amp;L(Rs)3"/>
      <sheetName val="Revenue_(Rs)3"/>
      <sheetName val="P&amp;L_Bgt(Rs)3"/>
      <sheetName val="C_F_Work3"/>
      <sheetName val="JUN-08_Detail3"/>
      <sheetName val="Trade_Receivable3"/>
      <sheetName val="Other_Receivable_3"/>
      <sheetName val="Sajad_requireds3"/>
      <sheetName val="CLV_assumptions3"/>
      <sheetName val="Gross_Margin_Analysis3"/>
      <sheetName val="Note_1-4_33"/>
      <sheetName val="Budget_BS4"/>
      <sheetName val="Budget_RS4"/>
      <sheetName val="Budget_PL4"/>
      <sheetName val="3+9_Forecast4"/>
      <sheetName val="P&amp;L_Bgt4"/>
      <sheetName val="P&amp;L_Proj4"/>
      <sheetName val="Summ__P&amp;L4"/>
      <sheetName val="Revenue_($)4"/>
      <sheetName val="Revenue_forecast4"/>
      <sheetName val="P&amp;L_Account4"/>
      <sheetName val="N_New_B_S4"/>
      <sheetName val="Income_Statement4"/>
      <sheetName val="Notes_FA4"/>
      <sheetName val="N_New_Notes4"/>
      <sheetName val="C_Flow4"/>
      <sheetName val="Sum_P&amp;L(Rs)4"/>
      <sheetName val="Revenue_(Rs)4"/>
      <sheetName val="P&amp;L_Bgt(Rs)4"/>
      <sheetName val="C_F_Work4"/>
      <sheetName val="JUN-08_Detail4"/>
      <sheetName val="Trade_Receivable4"/>
      <sheetName val="Other_Receivable_4"/>
      <sheetName val="Sajad_requireds4"/>
      <sheetName val="CLV_assumptions4"/>
      <sheetName val="Gross_Margin_Analysis4"/>
      <sheetName val="Note_1-4_34"/>
      <sheetName val="Budget_BS5"/>
      <sheetName val="Budget_RS5"/>
      <sheetName val="Budget_PL5"/>
      <sheetName val="3+9_Forecast5"/>
      <sheetName val="P&amp;L_Bgt5"/>
      <sheetName val="P&amp;L_Proj5"/>
      <sheetName val="Summ__P&amp;L5"/>
      <sheetName val="Revenue_($)5"/>
      <sheetName val="Revenue_forecast5"/>
      <sheetName val="P&amp;L_Account5"/>
      <sheetName val="N_New_B_S5"/>
      <sheetName val="Income_Statement5"/>
      <sheetName val="Notes_FA5"/>
      <sheetName val="N_New_Notes5"/>
      <sheetName val="C_Flow5"/>
      <sheetName val="Sum_P&amp;L(Rs)5"/>
      <sheetName val="Revenue_(Rs)5"/>
      <sheetName val="P&amp;L_Bgt(Rs)5"/>
      <sheetName val="C_F_Work5"/>
      <sheetName val="JUN-08_Detail5"/>
      <sheetName val="Trade_Receivable5"/>
      <sheetName val="Other_Receivable_5"/>
      <sheetName val="Sajad_requireds5"/>
      <sheetName val="CLV_assumptions5"/>
      <sheetName val="Gross_Margin_Analysis5"/>
      <sheetName val="Note_1-4_35"/>
      <sheetName val="Budget_BS6"/>
      <sheetName val="Budget_RS6"/>
      <sheetName val="Budget_PL6"/>
      <sheetName val="3+9_Forecast6"/>
      <sheetName val="P&amp;L_Bgt6"/>
      <sheetName val="P&amp;L_Proj6"/>
      <sheetName val="Summ__P&amp;L6"/>
      <sheetName val="Revenue_($)6"/>
      <sheetName val="Revenue_forecast6"/>
      <sheetName val="P&amp;L_Account6"/>
      <sheetName val="N_New_B_S6"/>
      <sheetName val="Income_Statement6"/>
      <sheetName val="Notes_FA6"/>
      <sheetName val="N_New_Notes6"/>
      <sheetName val="C_Flow6"/>
      <sheetName val="Sum_P&amp;L(Rs)6"/>
      <sheetName val="Revenue_(Rs)6"/>
      <sheetName val="P&amp;L_Bgt(Rs)6"/>
      <sheetName val="C_F_Work6"/>
      <sheetName val="JUN-08_Detail6"/>
      <sheetName val="Trade_Receivable6"/>
      <sheetName val="Other_Receivable_6"/>
      <sheetName val="Sajad_requireds6"/>
      <sheetName val="CLV_assumptions6"/>
      <sheetName val="Gross_Margin_Analysis6"/>
      <sheetName val="Note_1-4_36"/>
      <sheetName val="Budget_BS8"/>
      <sheetName val="Budget_RS8"/>
      <sheetName val="Budget_PL8"/>
      <sheetName val="3+9_Forecast8"/>
      <sheetName val="P&amp;L_Bgt8"/>
      <sheetName val="P&amp;L_Proj8"/>
      <sheetName val="Summ__P&amp;L8"/>
      <sheetName val="Revenue_($)8"/>
      <sheetName val="Revenue_forecast8"/>
      <sheetName val="P&amp;L_Account8"/>
      <sheetName val="N_New_B_S8"/>
      <sheetName val="Income_Statement8"/>
      <sheetName val="Notes_FA8"/>
      <sheetName val="N_New_Notes8"/>
      <sheetName val="C_Flow8"/>
      <sheetName val="Sum_P&amp;L(Rs)8"/>
      <sheetName val="Revenue_(Rs)8"/>
      <sheetName val="P&amp;L_Bgt(Rs)8"/>
      <sheetName val="C_F_Work8"/>
      <sheetName val="JUN-08_Detail8"/>
      <sheetName val="Trade_Receivable8"/>
      <sheetName val="Other_Receivable_8"/>
      <sheetName val="Sajad_requireds8"/>
      <sheetName val="CLV_assumptions8"/>
      <sheetName val="Gross_Margin_Analysis8"/>
      <sheetName val="Note_1-4_38"/>
      <sheetName val="Budget_BS7"/>
      <sheetName val="Budget_RS7"/>
      <sheetName val="Budget_PL7"/>
      <sheetName val="3+9_Forecast7"/>
      <sheetName val="P&amp;L_Bgt7"/>
      <sheetName val="P&amp;L_Proj7"/>
      <sheetName val="Summ__P&amp;L7"/>
      <sheetName val="Revenue_($)7"/>
      <sheetName val="Revenue_forecast7"/>
      <sheetName val="P&amp;L_Account7"/>
      <sheetName val="N_New_B_S7"/>
      <sheetName val="Income_Statement7"/>
      <sheetName val="Notes_FA7"/>
      <sheetName val="N_New_Notes7"/>
      <sheetName val="C_Flow7"/>
      <sheetName val="Sum_P&amp;L(Rs)7"/>
      <sheetName val="Revenue_(Rs)7"/>
      <sheetName val="P&amp;L_Bgt(Rs)7"/>
      <sheetName val="C_F_Work7"/>
      <sheetName val="JUN-08_Detail7"/>
      <sheetName val="Trade_Receivable7"/>
      <sheetName val="Other_Receivable_7"/>
      <sheetName val="Sajad_requireds7"/>
      <sheetName val="CLV_assumptions7"/>
      <sheetName val="Gross_Margin_Analysis7"/>
      <sheetName val="Note_1-4_37"/>
      <sheetName val="Budget_BS9"/>
      <sheetName val="Budget_RS9"/>
      <sheetName val="Budget_PL9"/>
      <sheetName val="3+9_Forecast9"/>
      <sheetName val="P&amp;L_Bgt9"/>
      <sheetName val="P&amp;L_Proj9"/>
      <sheetName val="Summ__P&amp;L9"/>
      <sheetName val="Revenue_($)9"/>
      <sheetName val="Revenue_forecast9"/>
      <sheetName val="P&amp;L_Account9"/>
      <sheetName val="N_New_B_S9"/>
      <sheetName val="Income_Statement9"/>
      <sheetName val="Notes_FA9"/>
      <sheetName val="N_New_Notes9"/>
      <sheetName val="C_Flow9"/>
      <sheetName val="Sum_P&amp;L(Rs)9"/>
      <sheetName val="Revenue_(Rs)9"/>
      <sheetName val="P&amp;L_Bgt(Rs)9"/>
      <sheetName val="C_F_Work9"/>
      <sheetName val="JUN-08_Detail9"/>
      <sheetName val="Trade_Receivable9"/>
      <sheetName val="Other_Receivable_9"/>
      <sheetName val="Sajad_requireds9"/>
      <sheetName val="CLV_assumptions9"/>
      <sheetName val="Gross_Margin_Analysis9"/>
      <sheetName val="Note_1-4_39"/>
      <sheetName val="Budget_BS10"/>
      <sheetName val="Budget_RS10"/>
      <sheetName val="Budget_PL10"/>
      <sheetName val="3+9_Forecast10"/>
      <sheetName val="P&amp;L_Bgt10"/>
      <sheetName val="P&amp;L_Proj10"/>
      <sheetName val="Summ__P&amp;L10"/>
      <sheetName val="Revenue_($)10"/>
      <sheetName val="Revenue_forecast10"/>
      <sheetName val="P&amp;L_Account10"/>
      <sheetName val="N_New_B_S10"/>
      <sheetName val="Income_Statement10"/>
      <sheetName val="Notes_FA10"/>
      <sheetName val="N_New_Notes10"/>
      <sheetName val="C_Flow10"/>
      <sheetName val="Sum_P&amp;L(Rs)10"/>
      <sheetName val="Revenue_(Rs)10"/>
      <sheetName val="P&amp;L_Bgt(Rs)10"/>
      <sheetName val="C_F_Work10"/>
      <sheetName val="JUN-08_Detail10"/>
      <sheetName val="Trade_Receivable10"/>
      <sheetName val="Other_Receivable_10"/>
      <sheetName val="Sajad_requireds10"/>
      <sheetName val="CLV_assumptions10"/>
      <sheetName val="Gross_Margin_Analysis10"/>
      <sheetName val="Note_1-4_310"/>
      <sheetName val="Budget_BS11"/>
      <sheetName val="Budget_RS11"/>
      <sheetName val="Budget_PL11"/>
      <sheetName val="3+9_Forecast11"/>
      <sheetName val="P&amp;L_Bgt11"/>
      <sheetName val="P&amp;L_Proj11"/>
      <sheetName val="Summ__P&amp;L11"/>
      <sheetName val="Revenue_($)11"/>
      <sheetName val="Revenue_forecast11"/>
      <sheetName val="P&amp;L_Account11"/>
      <sheetName val="N_New_B_S11"/>
      <sheetName val="Income_Statement11"/>
      <sheetName val="Notes_FA11"/>
      <sheetName val="N_New_Notes11"/>
      <sheetName val="C_Flow11"/>
      <sheetName val="Sum_P&amp;L(Rs)11"/>
      <sheetName val="Revenue_(Rs)11"/>
      <sheetName val="P&amp;L_Bgt(Rs)11"/>
      <sheetName val="C_F_Work11"/>
      <sheetName val="JUN-08_Detail11"/>
      <sheetName val="Trade_Receivable11"/>
      <sheetName val="Other_Receivable_11"/>
      <sheetName val="Sajad_requireds11"/>
      <sheetName val="CLV_assumptions11"/>
      <sheetName val="Gross_Margin_Analysis11"/>
      <sheetName val="Note_1-4_311"/>
      <sheetName val="Green details"/>
      <sheetName val="JOURNAL"/>
      <sheetName val="Budget_BS12"/>
      <sheetName val="Budget_RS12"/>
      <sheetName val="Budget_PL12"/>
      <sheetName val="3+9_Forecast12"/>
      <sheetName val="P&amp;L_Bgt12"/>
      <sheetName val="P&amp;L_Proj12"/>
      <sheetName val="Summ__P&amp;L12"/>
      <sheetName val="Revenue_($)12"/>
      <sheetName val="Revenue_forecast12"/>
      <sheetName val="P&amp;L_Account12"/>
      <sheetName val="N_New_B_S12"/>
      <sheetName val="Income_Statement12"/>
      <sheetName val="Notes_FA12"/>
      <sheetName val="N_New_Notes12"/>
      <sheetName val="C_Flow12"/>
      <sheetName val="Sum_P&amp;L(Rs)12"/>
      <sheetName val="Revenue_(Rs)12"/>
      <sheetName val="P&amp;L_Bgt(Rs)12"/>
      <sheetName val="C_F_Work12"/>
      <sheetName val="JUN-08_Detail12"/>
      <sheetName val="Trade_Receivable12"/>
      <sheetName val="Other_Receivable_12"/>
      <sheetName val="Sajad_requireds12"/>
      <sheetName val="CLV_assumptions12"/>
      <sheetName val="Gross_Margin_Analysis12"/>
      <sheetName val="Note_1-4_312"/>
      <sheetName val="Green_details"/>
      <sheetName val="Budget_BS13"/>
      <sheetName val="Budget_RS13"/>
      <sheetName val="Budget_PL13"/>
      <sheetName val="3+9_Forecast13"/>
      <sheetName val="P&amp;L_Bgt13"/>
      <sheetName val="P&amp;L_Proj13"/>
      <sheetName val="Summ__P&amp;L13"/>
      <sheetName val="Revenue_($)13"/>
      <sheetName val="Revenue_forecast13"/>
      <sheetName val="P&amp;L_Account13"/>
      <sheetName val="N_New_B_S13"/>
      <sheetName val="Income_Statement13"/>
      <sheetName val="Notes_FA13"/>
      <sheetName val="N_New_Notes13"/>
      <sheetName val="C_Flow13"/>
      <sheetName val="Sum_P&amp;L(Rs)13"/>
      <sheetName val="Revenue_(Rs)13"/>
      <sheetName val="P&amp;L_Bgt(Rs)13"/>
      <sheetName val="C_F_Work13"/>
      <sheetName val="JUN-08_Detail13"/>
      <sheetName val="Trade_Receivable13"/>
      <sheetName val="Other_Receivable_13"/>
      <sheetName val="SAP Financials P05"/>
      <sheetName val="Fixed Assets N"/>
      <sheetName val="lease analysis"/>
      <sheetName val="lease_analysis"/>
      <sheetName val="SAP_Financials_P05"/>
      <sheetName val="lease_analysis5"/>
      <sheetName val="SAP_Financials_P055"/>
      <sheetName val="lease_analysis1"/>
      <sheetName val="SAP_Financials_P051"/>
      <sheetName val="lease_analysis2"/>
      <sheetName val="SAP_Financials_P052"/>
      <sheetName val="lease_analysis3"/>
      <sheetName val="SAP_Financials_P053"/>
      <sheetName val="lease_analysis4"/>
      <sheetName val="SAP_Financials_P054"/>
      <sheetName val="lease_analysis7"/>
      <sheetName val="SAP_Financials_P057"/>
      <sheetName val="lease_analysis6"/>
      <sheetName val="SAP_Financials_P056"/>
      <sheetName val="lease_analysis8"/>
      <sheetName val="SAP_Financials_P058"/>
      <sheetName val="lease_analysis9"/>
      <sheetName val="SAP_Financials_P059"/>
      <sheetName val="lease_analysis10"/>
      <sheetName val="Fixed_Assets_N"/>
      <sheetName val="SAP_Financials_P0510"/>
      <sheetName val="GRAPH"/>
      <sheetName val="BANK-ISB"/>
      <sheetName val="Budget_BS14"/>
      <sheetName val="Budget_RS14"/>
      <sheetName val="Budget_PL14"/>
      <sheetName val="3+9_Forecast14"/>
      <sheetName val="P&amp;L_Bgt14"/>
      <sheetName val="P&amp;L_Proj14"/>
      <sheetName val="Summ__P&amp;L14"/>
      <sheetName val="Revenue_($)14"/>
      <sheetName val="Revenue_forecast14"/>
      <sheetName val="P&amp;L_Account14"/>
      <sheetName val="N_New_B_S14"/>
      <sheetName val="Income_Statement14"/>
      <sheetName val="Notes_FA14"/>
      <sheetName val="N_New_Notes14"/>
      <sheetName val="C_Flow14"/>
      <sheetName val="Sum_P&amp;L(Rs)14"/>
      <sheetName val="Revenue_(Rs)14"/>
      <sheetName val="P&amp;L_Bgt(Rs)14"/>
      <sheetName val="C_F_Work14"/>
      <sheetName val="JUN-08_Detail14"/>
      <sheetName val="Trade_Receivable14"/>
      <sheetName val="Other_Receivable_14"/>
      <sheetName val="Sajad_requireds14"/>
      <sheetName val="CLV_assumptions14"/>
      <sheetName val="Gross_Margin_Analysis14"/>
      <sheetName val="Note_1-4_314"/>
      <sheetName val="Green_details2"/>
      <sheetName val="Sajad_requireds13"/>
      <sheetName val="CLV_assumptions13"/>
      <sheetName val="Gross_Margin_Analysis13"/>
      <sheetName val="Note_1-4_313"/>
      <sheetName val="Green_details1"/>
      <sheetName val="Budget_BS15"/>
      <sheetName val="Budget_RS15"/>
      <sheetName val="Budget_PL15"/>
      <sheetName val="3+9_Forecast15"/>
      <sheetName val="P&amp;L_Bgt15"/>
      <sheetName val="P&amp;L_Proj15"/>
      <sheetName val="Summ__P&amp;L15"/>
      <sheetName val="Revenue_($)15"/>
      <sheetName val="Revenue_forecast15"/>
      <sheetName val="P&amp;L_Account15"/>
      <sheetName val="N_New_B_S15"/>
      <sheetName val="Income_Statement15"/>
      <sheetName val="Notes_FA15"/>
      <sheetName val="N_New_Notes15"/>
      <sheetName val="C_Flow15"/>
      <sheetName val="Sum_P&amp;L(Rs)15"/>
      <sheetName val="Revenue_(Rs)15"/>
      <sheetName val="P&amp;L_Bgt(Rs)15"/>
      <sheetName val="C_F_Work15"/>
      <sheetName val="JUN-08_Detail15"/>
      <sheetName val="Trade_Receivable15"/>
      <sheetName val="Other_Receivable_15"/>
      <sheetName val="Sajad_requireds15"/>
      <sheetName val="CLV_assumptions15"/>
      <sheetName val="Gross_Margin_Analysis15"/>
      <sheetName val="Note_1-4_315"/>
      <sheetName val="Green_details3"/>
      <sheetName val="Budget_BS19"/>
      <sheetName val="Budget_RS19"/>
      <sheetName val="Budget_PL19"/>
      <sheetName val="3+9_Forecast19"/>
      <sheetName val="P&amp;L_Bgt19"/>
      <sheetName val="P&amp;L_Proj19"/>
      <sheetName val="Summ__P&amp;L19"/>
      <sheetName val="Revenue_($)19"/>
      <sheetName val="Revenue_forecast19"/>
      <sheetName val="P&amp;L_Account19"/>
      <sheetName val="N_New_B_S19"/>
      <sheetName val="Income_Statement19"/>
      <sheetName val="Notes_FA19"/>
      <sheetName val="N_New_Notes19"/>
      <sheetName val="C_Flow19"/>
      <sheetName val="Sum_P&amp;L(Rs)19"/>
      <sheetName val="Revenue_(Rs)19"/>
      <sheetName val="P&amp;L_Bgt(Rs)19"/>
      <sheetName val="C_F_Work19"/>
      <sheetName val="JUN-08_Detail19"/>
      <sheetName val="Trade_Receivable19"/>
      <sheetName val="Other_Receivable_19"/>
      <sheetName val="Sajad_requireds19"/>
      <sheetName val="CLV_assumptions19"/>
      <sheetName val="Gross_Margin_Analysis19"/>
      <sheetName val="Note_1-4_319"/>
      <sheetName val="Green_details7"/>
      <sheetName val="Budget_BS18"/>
      <sheetName val="Budget_RS18"/>
      <sheetName val="Budget_PL18"/>
      <sheetName val="3+9_Forecast18"/>
      <sheetName val="P&amp;L_Bgt18"/>
      <sheetName val="P&amp;L_Proj18"/>
      <sheetName val="Summ__P&amp;L18"/>
      <sheetName val="Revenue_($)18"/>
      <sheetName val="Revenue_forecast18"/>
      <sheetName val="P&amp;L_Account18"/>
      <sheetName val="N_New_B_S18"/>
      <sheetName val="Income_Statement18"/>
      <sheetName val="Notes_FA18"/>
      <sheetName val="N_New_Notes18"/>
      <sheetName val="C_Flow18"/>
      <sheetName val="Sum_P&amp;L(Rs)18"/>
      <sheetName val="Revenue_(Rs)18"/>
      <sheetName val="P&amp;L_Bgt(Rs)18"/>
      <sheetName val="C_F_Work18"/>
      <sheetName val="JUN-08_Detail18"/>
      <sheetName val="Trade_Receivable18"/>
      <sheetName val="Other_Receivable_18"/>
      <sheetName val="Sajad_requireds18"/>
      <sheetName val="CLV_assumptions18"/>
      <sheetName val="Gross_Margin_Analysis18"/>
      <sheetName val="Note_1-4_318"/>
      <sheetName val="Green_details6"/>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refreshError="1"/>
      <sheetData sheetId="221" refreshError="1"/>
      <sheetData sheetId="222" refreshError="1"/>
      <sheetData sheetId="223" refreshError="1"/>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refreshError="1"/>
      <sheetData sheetId="377" refreshError="1"/>
      <sheetData sheetId="378" refreshError="1"/>
      <sheetData sheetId="379" refreshError="1"/>
      <sheetData sheetId="380" refreshError="1"/>
      <sheetData sheetId="381" refreshError="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refreshError="1"/>
      <sheetData sheetId="410" refreshError="1"/>
      <sheetData sheetId="411" refreshError="1"/>
      <sheetData sheetId="412"/>
      <sheetData sheetId="413"/>
      <sheetData sheetId="414"/>
      <sheetData sheetId="415"/>
      <sheetData sheetId="416"/>
      <sheetData sheetId="417"/>
      <sheetData sheetId="418"/>
      <sheetData sheetId="419"/>
      <sheetData sheetId="420"/>
      <sheetData sheetId="421"/>
      <sheetData sheetId="422" refreshError="1"/>
      <sheetData sheetId="423"/>
      <sheetData sheetId="424"/>
      <sheetData sheetId="425"/>
      <sheetData sheetId="426"/>
      <sheetData sheetId="427"/>
      <sheetData sheetId="428"/>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 1"/>
      <sheetName val="TF 2"/>
      <sheetName val="Phone Point 3"/>
      <sheetName val="TVC 4"/>
      <sheetName val="ACE Q 5"/>
      <sheetName val="Sachal 6"/>
      <sheetName val="Telecom Sup 7"/>
      <sheetName val="Tele Fast 8"/>
      <sheetName val="Neat 9"/>
      <sheetName val="Southern Comm 10"/>
      <sheetName val="Azeem 11"/>
      <sheetName val="Sadiq Hussain 12"/>
      <sheetName val="Zarco 13"/>
      <sheetName val="Northern Eng 14"/>
      <sheetName val="Cable Guy(Next Tel) 15"/>
      <sheetName val="Union Comm 16"/>
      <sheetName val="Tele Bell 17"/>
      <sheetName val="Gul Brother (Sky Link) 18"/>
      <sheetName val="Zahoor Azam 19"/>
      <sheetName val="Tele Gold 20"/>
      <sheetName val="Future Telecomm 21"/>
      <sheetName val="Saha Enter 22"/>
      <sheetName val="Tele Net Comm 23"/>
      <sheetName val="Bilal &amp; Ihsan 24"/>
      <sheetName val="Voice Tel Tech 25"/>
      <sheetName val="Trans Mark 26"/>
      <sheetName val="Easy Phone 27"/>
      <sheetName val="A H Telecomm 28"/>
      <sheetName val="Stancom 29"/>
      <sheetName val="Hilton  Karachi 30"/>
      <sheetName val="Global Marketing 31"/>
      <sheetName val="World Data Comm 32"/>
      <sheetName val="Top Call 33"/>
      <sheetName val="My Phone 34"/>
      <sheetName val="Vital Tel 35"/>
      <sheetName val="Tele Fast New 36"/>
      <sheetName val="M H Techno 37"/>
      <sheetName val="Global Softel (Pvt.) Ltd. 38"/>
      <sheetName val=" Soni Telecom - TeleBell New 39"/>
      <sheetName val="Tele Card 40"/>
      <sheetName val="Tel Point 41 "/>
      <sheetName val="Glaxy Commune 42"/>
      <sheetName val="Suhail Handi 43"/>
      <sheetName val="Combine Comm 44"/>
      <sheetName val="Signals One 45"/>
      <sheetName val="F F M Int'l 46"/>
      <sheetName val="Tele Call 47"/>
      <sheetName val="Jazz Digital 48"/>
      <sheetName val="Country Telecommuication 49"/>
      <sheetName val="Union Cosmic 50"/>
      <sheetName val="Delta Phone-Lhr- 51"/>
      <sheetName val="Rohi Tel 52"/>
      <sheetName val="Metro Tel 53"/>
      <sheetName val="Sattar Enter 54"/>
      <sheetName val="ALP Inter 55"/>
      <sheetName val="Tanawal Comm 56"/>
      <sheetName val="Bhatti Telecom 57"/>
      <sheetName val="Hello Link 58"/>
      <sheetName val="Al- Hamad Com 59"/>
      <sheetName val="Hawk Telecom 60"/>
      <sheetName val="H K Comm 61"/>
      <sheetName val="Toor Tech 62"/>
      <sheetName val="Talk Tel 63"/>
      <sheetName val="Shehnoor 64"/>
      <sheetName val="Zari Tel 65"/>
      <sheetName val="Strong Comm 66"/>
      <sheetName val="Wafai Com 67"/>
      <sheetName val="Prime Tel. 68"/>
      <sheetName val="Euro Jankider 69"/>
      <sheetName val="Your Tel 70"/>
      <sheetName val="Concept Creators 71"/>
      <sheetName val="Talk Point 72"/>
      <sheetName val="Indus 73"/>
      <sheetName val="Millat Comm. 74"/>
      <sheetName val="Arise Comm 75"/>
      <sheetName val="SIJ Telecomm 76"/>
      <sheetName val="Shell Speak 77"/>
      <sheetName val="Tele World 78"/>
      <sheetName val="Sajid Comm 79"/>
      <sheetName val="Phone Call 80"/>
      <sheetName val="National Tiles &amp; Cermaicsl 81 "/>
      <sheetName val="Northern Enterprises 82"/>
      <sheetName val="Gul communication 83"/>
      <sheetName val="Alpha 84"/>
      <sheetName val="Ravi Comun 85 "/>
      <sheetName val="Country Telecom (2) 86"/>
      <sheetName val="Madina World 87"/>
      <sheetName val="Bilal &amp; Ihsan (2) 88"/>
      <sheetName val="Ali Zain 89"/>
      <sheetName val="Moon Comm 90"/>
      <sheetName val="Wellcome comm 91"/>
      <sheetName val="Abbasi World linkers 92"/>
      <sheetName val="Attock Telecom 93"/>
      <sheetName val="Hasnat &amp; Co 94"/>
      <sheetName val="Azaan Telecom 95"/>
      <sheetName val="BURK COMM 96"/>
      <sheetName val="DutyFree Comm 97"/>
      <sheetName val="Holiday Network (98)"/>
      <sheetName val="Call Tel 99"/>
      <sheetName val="Nawal 100"/>
      <sheetName val="Voice communication tech 101"/>
      <sheetName val="Cosmos Comm 102"/>
      <sheetName val="Satti &amp; Abbasi 103"/>
      <sheetName val="Zamooq 104"/>
      <sheetName val="Busy TeleComm 105"/>
      <sheetName val="Wescom 106"/>
      <sheetName val="Karm telecom107"/>
      <sheetName val="Maz communication 108"/>
      <sheetName val="Sky Lark Communicatoin 109 "/>
      <sheetName val="Call plus 110"/>
      <sheetName val="Star link 111"/>
      <sheetName val="Premier Call 112"/>
      <sheetName val="Pick&amp;dial comm 113"/>
      <sheetName val="Communication House 114"/>
      <sheetName val="Pak communication 115"/>
      <sheetName val="ST.INC"/>
      <sheetName val="Hanif &amp; co 117"/>
      <sheetName val="Aakash com 118"/>
      <sheetName val="Kethwal 119"/>
      <sheetName val="Omni Excelsior 120"/>
      <sheetName val="ZAM ZAM 121"/>
      <sheetName val="Tele Star 122"/>
      <sheetName val="Star Telecom 123"/>
      <sheetName val="Emaan Telecom 124"/>
      <sheetName val="Global Allied 125"/>
      <sheetName val="Jamal corporation  126"/>
      <sheetName val="Index International 127"/>
      <sheetName val="Arshia Qamar 128"/>
      <sheetName val="Ezee Link 129"/>
      <sheetName val="Z com 130"/>
      <sheetName val="Shahid Ali 131"/>
      <sheetName val="Kamran telecom 132"/>
      <sheetName val="Shaheen &amp; Zaki 133 "/>
      <sheetName val="Awval Telecom 134"/>
      <sheetName val="Bareeze Telecom 135"/>
      <sheetName val="Butt Comm136"/>
      <sheetName val="Boom International 137"/>
      <sheetName val="Arsalan Com 138"/>
      <sheetName val="Telecom support  - New 139"/>
      <sheetName val="Union communication -New 140"/>
      <sheetName val="Ur fone 141"/>
      <sheetName val="century Communication 142"/>
      <sheetName val="Majid &amp; Majid 143"/>
      <sheetName val="I J Telecom 144"/>
      <sheetName val="Hifza enterprises 145"/>
      <sheetName val="Call Time 146"/>
      <sheetName val="Falcon 147"/>
      <sheetName val="Shahmeer 148"/>
      <sheetName val="Meezan 149"/>
      <sheetName val="Gulzar 150"/>
      <sheetName val="BillSys 151 "/>
      <sheetName val="Azeem-New 152"/>
      <sheetName val="Combine Comm-New 153"/>
      <sheetName val="Kashmirwala telecom 154"/>
      <sheetName val="ARK Telecom 155"/>
      <sheetName val="BABU JEE Telecom 156"/>
      <sheetName val="Top Man 157"/>
      <sheetName val="Teleline Comm 158"/>
      <sheetName val="SHAHEEN AERO TRADERS 159 "/>
      <sheetName val="Dancom 160"/>
      <sheetName val="Islamic Communicatioon 161"/>
      <sheetName val="Business promoters 162"/>
      <sheetName val="Murid Hassain &amp; sons 163"/>
      <sheetName val="Glaxy -New 164"/>
      <sheetName val="Air Weapon Complex 165"/>
      <sheetName val="Abdullah Telecom 166"/>
      <sheetName val="Super Communicatios 167"/>
      <sheetName val="Balcom 168"/>
      <sheetName val="Southern-New"/>
      <sheetName val="Nisvamn Fast Comm 170"/>
      <sheetName val="Ysra 171"/>
      <sheetName val="(Union -3) 172"/>
      <sheetName val="Hi Tech 173"/>
      <sheetName val="Delphi (Pvt) Ltd 174"/>
      <sheetName val="Mehraban 175"/>
      <sheetName val="Lucky Phones 176"/>
      <sheetName val="Alam Com 177"/>
      <sheetName val="B &amp; B 178"/>
      <sheetName val="Arrow 179"/>
      <sheetName val="Hilton  Multan 180"/>
      <sheetName val="Basil 181"/>
      <sheetName val="S.T.communication 182"/>
      <sheetName val="Sachal telecom 183"/>
      <sheetName val="YBM INTernatonal 184"/>
      <sheetName val="Fone Plus telecom 185"/>
      <sheetName val="Sana Communication186"/>
      <sheetName val="Royal Communication 187"/>
      <sheetName val="Kanaish fone 188"/>
      <sheetName val="Speed CAll  Tele Services 189"/>
      <sheetName val="Dais perdais 190"/>
      <sheetName val="Prime Fone  191"/>
      <sheetName val="Nextel comm 192"/>
      <sheetName val="Everlast Com 193"/>
      <sheetName val="A&amp;U Communication"/>
      <sheetName val="Delta Phone-Sahiwal-195"/>
      <sheetName val="Others"/>
      <sheetName val="Client Summary"/>
      <sheetName val="Income Report 1"/>
      <sheetName val="Income Report 2"/>
      <sheetName val="Bilal &amp; Ihsan MPR"/>
      <sheetName val="Repairs ALL"/>
      <sheetName val="Client Summary (2)"/>
      <sheetName val="Client Summary (3)"/>
      <sheetName val="Master cost"/>
      <sheetName val="G"/>
      <sheetName val="Trail"/>
      <sheetName val="Grouping"/>
      <sheetName val="PLC"/>
      <sheetName val="Pivot_Ban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pplicant"/>
    </sheetNames>
    <sheetDataSet>
      <sheetData sheetId="0"/>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ALLAN"/>
      <sheetName val="Sheet 1"/>
      <sheetName val="COST"/>
      <sheetName val="RECONCILIATION"/>
      <sheetName val="INCOME DATA"/>
      <sheetName val="RETURN FORM"/>
      <sheetName val="COMPUTATION"/>
      <sheetName val="A"/>
      <sheetName val="ssp-pr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CHEDULE"/>
      <sheetName val="Loan Amortisation Sshedule"/>
    </sheetNames>
    <definedNames>
      <definedName name="End_Bal"/>
      <definedName name="Header_Row"/>
      <definedName name="Interest_Rate"/>
      <definedName name="Last_Row"/>
      <definedName name="Loan_Amount"/>
      <definedName name="Loan_Start"/>
      <definedName name="Loan_Years"/>
    </definedNames>
    <sheetDataSet>
      <sheetData sheetId="0" refreshError="1"/>
      <sheetData sheetId="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c921471"/>
      <sheetName val="0000"/>
      <sheetName val="1000"/>
      <sheetName val="NAV0"/>
      <sheetName val="2000"/>
      <sheetName val="3000"/>
      <sheetName val="NAV1"/>
      <sheetName val="NAV2"/>
      <sheetName val="4000"/>
      <sheetName val="5000"/>
      <sheetName val="6000"/>
      <sheetName val="7000"/>
      <sheetName val="8000"/>
      <sheetName val="9000"/>
      <sheetName val="a000"/>
      <sheetName val="b000"/>
      <sheetName val="c000"/>
      <sheetName val="d000"/>
      <sheetName val="Index"/>
      <sheetName val="Lnd-Cost"/>
      <sheetName val="PUC"/>
      <sheetName val="LC-980267"/>
      <sheetName val="lc980373"/>
      <sheetName val="lc980464"/>
      <sheetName val="lc980372"/>
      <sheetName val="lc980374"/>
      <sheetName val="lc980210"/>
      <sheetName val="lc972227"/>
      <sheetName val="lc980211"/>
      <sheetName val="lc980155"/>
      <sheetName val="lc980395"/>
      <sheetName val="LC591954"/>
      <sheetName val="lc972267"/>
      <sheetName val="lc970799"/>
      <sheetName val="lc980077"/>
      <sheetName val="lc980487"/>
      <sheetName val="lc980394"/>
      <sheetName val="lc980534"/>
      <sheetName val="lc980463"/>
      <sheetName val="lc591953"/>
      <sheetName val="lc980277"/>
      <sheetName val="lc980259"/>
      <sheetName val="lc591952"/>
      <sheetName val="lc980262"/>
      <sheetName val="lc591938"/>
      <sheetName val="lc591931"/>
      <sheetName val="lc980512"/>
      <sheetName val="lc980533"/>
      <sheetName val="lc980570"/>
      <sheetName val="lc980397"/>
      <sheetName val="lc980357"/>
      <sheetName val="lc980050"/>
      <sheetName val="lc980096"/>
      <sheetName val="lc980276"/>
      <sheetName val="lc980501"/>
      <sheetName val="lc980158"/>
      <sheetName val="lc980623"/>
      <sheetName val="lc980538"/>
      <sheetName val="lc981829"/>
      <sheetName val="lc981768"/>
      <sheetName val="lc981832"/>
      <sheetName val="lc981830"/>
      <sheetName val="lc981654"/>
      <sheetName val="lc981767"/>
      <sheetName val="LC981591"/>
      <sheetName val="lc982272"/>
      <sheetName val="lc981947"/>
      <sheetName val="lc982339"/>
      <sheetName val="lc982271"/>
      <sheetName val="lc920176"/>
      <sheetName val="lc920177"/>
      <sheetName val="lc990058"/>
      <sheetName val="lc920129"/>
      <sheetName val="lc990133"/>
      <sheetName val="lc982057"/>
      <sheetName val="lc990135"/>
      <sheetName val="lc035604003"/>
      <sheetName val="lc990029"/>
      <sheetName val="lc990037"/>
      <sheetName val="lc920148"/>
      <sheetName val="lc990214"/>
      <sheetName val="lc035604005"/>
      <sheetName val="lc035604006"/>
      <sheetName val="lc920305"/>
      <sheetName val="lc920147"/>
      <sheetName val="lc920178"/>
      <sheetName val="lc920295"/>
      <sheetName val="lc920394"/>
      <sheetName val="lc920407"/>
      <sheetName val="lc990028"/>
      <sheetName val="lc035605016"/>
      <sheetName val="lc920395"/>
      <sheetName val="lc920294"/>
      <sheetName val="lc920292"/>
      <sheetName val="lc920306"/>
      <sheetName val="lc920293"/>
      <sheetName val="lc035605015"/>
      <sheetName val="lc920781"/>
      <sheetName val="lc920350"/>
      <sheetName val="lc035605019"/>
      <sheetName val="lc990506"/>
      <sheetName val="lc990160"/>
      <sheetName val="lc035604010"/>
      <sheetName val="lc920393"/>
      <sheetName val="lc990662"/>
      <sheetName val="lc920784"/>
      <sheetName val="lc035604032"/>
      <sheetName val="lc035604022"/>
      <sheetName val="lc035604033"/>
      <sheetName val="lc035604030"/>
      <sheetName val="lc035604031"/>
      <sheetName val="lc035604029"/>
      <sheetName val="lc990545"/>
      <sheetName val="lc920179"/>
      <sheetName val="lc035604044"/>
      <sheetName val="lc00012"/>
      <sheetName val="lc035605017"/>
      <sheetName val="lc00014"/>
      <sheetName val="lc00136"/>
      <sheetName val="lc00137"/>
      <sheetName val="lc01147"/>
      <sheetName val="lc01148"/>
      <sheetName val="lc01149"/>
      <sheetName val="lc921472"/>
      <sheetName val="lc00288"/>
      <sheetName val="lc00264"/>
      <sheetName val="lc00193"/>
      <sheetName val="lc00379"/>
      <sheetName val="lc035604013"/>
      <sheetName val="lc035604012"/>
      <sheetName val="lc035604004"/>
      <sheetName val="lc035604008"/>
      <sheetName val="lcISLL000061"/>
      <sheetName val="lc2000-247"/>
      <sheetName val="lc2000-222"/>
      <sheetName val="lc2000-230"/>
      <sheetName val="lc2000-263"/>
      <sheetName val="lc2000-258"/>
      <sheetName val="lc2000-220"/>
      <sheetName val="lc2000-249"/>
      <sheetName val="lc2000-248"/>
      <sheetName val="lc0341056-2876"/>
      <sheetName val="lc0356501799"/>
      <sheetName val="lc0356402999"/>
      <sheetName val="Sheet7"/>
      <sheetName val="lc03564045"/>
      <sheetName val="lc03504007"/>
      <sheetName val="Module1"/>
      <sheetName val="Links"/>
      <sheetName val="LCRG-FS"/>
      <sheetName val="PUR&amp;SAL"/>
      <sheetName val="purchase"/>
      <sheetName val="Kopf_Daten"/>
      <sheetName val="Daten"/>
      <sheetName val="Grmt Ord"/>
      <sheetName val="Fixed Assets"/>
      <sheetName val="Acct"/>
      <sheetName val="Grmt_Ord"/>
      <sheetName val="SHEET1"/>
      <sheetName val="P&amp;Lnotes"/>
      <sheetName val="Grmt_Ord1"/>
      <sheetName val="Fixed_Assets"/>
      <sheetName val="Graph"/>
      <sheetName val="ACCOUNTS+Note 6-23"/>
      <sheetName val="Grmt_Ord2"/>
      <sheetName val="Fixed_Assets1"/>
      <sheetName val="June,04"/>
      <sheetName val="PPC-ORD DTL"/>
      <sheetName val="Grmt_Ord3"/>
      <sheetName val="Fixed_Assets2"/>
      <sheetName val="AEX-091"/>
      <sheetName val="Rate Input"/>
      <sheetName val="Cost Assumptions"/>
      <sheetName val="Input"/>
      <sheetName val="AA"/>
      <sheetName val="ESML_9394"/>
      <sheetName val="JOINERS"/>
      <sheetName val="trial from 14"/>
      <sheetName val="Jun-201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mortization Table"/>
      <sheetName val="WIP-YRN"/>
    </sheetNames>
    <sheetDataSet>
      <sheetData sheetId="0"/>
      <sheetData sheetId="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XCheck"/>
      <sheetName val="WHO work plan"/>
      <sheetName val="Summary Work Plan"/>
      <sheetName val="Activity Summary"/>
      <sheetName val="BPHS Detail"/>
      <sheetName val="EPHS  Detail"/>
      <sheetName val="BPHS-Target-Objective-Product"/>
      <sheetName val="EPHS-Target-Objective-Product"/>
    </sheetNames>
    <sheetDataSet>
      <sheetData sheetId="0"/>
      <sheetData sheetId="1"/>
      <sheetData sheetId="2"/>
      <sheetData sheetId="3"/>
      <sheetData sheetId="4"/>
      <sheetData sheetId="5"/>
      <sheetData sheetId="6"/>
      <sheetData sheetId="7"/>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XCheck"/>
      <sheetName val="WHO work plan"/>
      <sheetName val="Summary Work Plan"/>
      <sheetName val="Activity Summary"/>
      <sheetName val="BPHS Detail"/>
      <sheetName val="EPHS  Detail"/>
      <sheetName val="BPHS-Target-Objective-Product"/>
      <sheetName val="EPHS-Target-Objective-Product"/>
    </sheetNames>
    <sheetDataSet>
      <sheetData sheetId="0"/>
      <sheetData sheetId="1"/>
      <sheetData sheetId="2"/>
      <sheetData sheetId="3"/>
      <sheetData sheetId="4"/>
      <sheetData sheetId="5"/>
      <sheetData sheetId="6"/>
      <sheetData sheetId="7"/>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update"/>
      <sheetName val="Home"/>
      <sheetName val="Param"/>
      <sheetName val="User groups"/>
      <sheetName val="Dimension Groups"/>
      <sheetName val="Entities"/>
      <sheetName val="Accounts FIN"/>
      <sheetName val="CONSO"/>
      <sheetName val="Accounts KPI"/>
      <sheetName val="Versions"/>
      <sheetName val="Scenarios"/>
      <sheetName val="Webforms referential"/>
      <sheetName val="Webforms Groups"/>
      <sheetName val="Groups - Webforms Access"/>
      <sheetName val="Groups Webforms - Users"/>
      <sheetName val="Reports Repository"/>
      <sheetName val="Reports Groups"/>
      <sheetName val="Groups - Reports Access"/>
      <sheetName val="Reports Groups - Users"/>
      <sheetName val="Scripts Repository"/>
      <sheetName val="Users - Scripts Access"/>
      <sheetName val="Lots defini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update"/>
      <sheetName val="Home"/>
      <sheetName val="Param"/>
      <sheetName val="User groups"/>
      <sheetName val="Dimension Groups"/>
      <sheetName val="Entities"/>
      <sheetName val="Accounts FIN"/>
      <sheetName val="CONSO"/>
      <sheetName val="Accounts KPI"/>
      <sheetName val="Versions"/>
      <sheetName val="Scenarios"/>
      <sheetName val="Webforms referential"/>
      <sheetName val="Webforms Groups"/>
      <sheetName val="Groups - Webforms Access"/>
      <sheetName val="Groups Webforms - Users"/>
      <sheetName val="Reports Repository"/>
      <sheetName val="Reports Groups"/>
      <sheetName val="Groups - Reports Access"/>
      <sheetName val="Reports Groups - Users"/>
      <sheetName val="Scripts Repository"/>
      <sheetName val="Users - Scripts Access"/>
      <sheetName val="Lots defini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ropdown lists"/>
      <sheetName val="Fixed Asset Record"/>
      <sheetName val="Depreciation Methods"/>
    </sheetNames>
    <sheetDataSet>
      <sheetData sheetId="0"/>
      <sheetData sheetId="1"/>
      <sheetData sheetId="2"/>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mparison"/>
      <sheetName val="Dis LH"/>
      <sheetName val="Dis CH"/>
      <sheetName val="Vehicle"/>
      <sheetName val="Dis Veh"/>
      <sheetName val="BD"/>
      <sheetName val="6M DTAX"/>
      <sheetName val="FA Recon"/>
      <sheetName val="DTAX"/>
      <sheetName val="Compu"/>
      <sheetName val="Depreciation "/>
      <sheetName val="Matching Sheet"/>
      <sheetName val="List"/>
      <sheetName val="Grouping"/>
      <sheetName val="Ttl data"/>
      <sheetName val="Depreciation Methods"/>
      <sheetName val="CHALLAN"/>
      <sheetName val="BS"/>
      <sheetName val="FINAL TB USD"/>
      <sheetName val="Incoming"/>
      <sheetName val="Q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mparison"/>
      <sheetName val="Dis LH"/>
      <sheetName val="Dis CH"/>
      <sheetName val="Vehicle"/>
      <sheetName val="Dis Veh"/>
      <sheetName val="BD"/>
      <sheetName val="6M DTAX"/>
      <sheetName val="FA Recon"/>
      <sheetName val="DTAX"/>
      <sheetName val="Compu"/>
      <sheetName val="Depreciation "/>
      <sheetName val="Grouping"/>
      <sheetName val="Depreciation Methods"/>
      <sheetName val="Matching Sheet"/>
      <sheetName val="Ttl data"/>
      <sheetName val="List"/>
      <sheetName val="CHALLAN"/>
      <sheetName val="BS"/>
      <sheetName val="FINAL TB USD"/>
      <sheetName val="DTax April-June 03 Aman"/>
      <sheetName val="Q1"/>
      <sheetName val="Incoming"/>
      <sheetName val="Dis_LH"/>
      <sheetName val="Dis_CH"/>
      <sheetName val="Dis_Veh"/>
      <sheetName val="6M_DTAX"/>
      <sheetName val="FA_Recon"/>
      <sheetName val="Depreciation_"/>
      <sheetName val="Matching_Sheet"/>
      <sheetName val="Ttl_data"/>
      <sheetName val="Depreciation_Methods"/>
      <sheetName val="FINAL_TB_USD"/>
      <sheetName val="Dis_LH1"/>
      <sheetName val="Dis_CH1"/>
      <sheetName val="Dis_Veh1"/>
      <sheetName val="6M_DTAX1"/>
      <sheetName val="FA_Recon1"/>
      <sheetName val="Depreciation_1"/>
      <sheetName val="Matching_Sheet1"/>
      <sheetName val="Ttl_data1"/>
      <sheetName val="Depreciation_Methods1"/>
      <sheetName val="FINAL_TB_USD1"/>
      <sheetName val="Dis_LH2"/>
      <sheetName val="Dis_CH2"/>
      <sheetName val="Dis_Veh2"/>
      <sheetName val="6M_DTAX2"/>
      <sheetName val="FA_Recon2"/>
      <sheetName val="Depreciation_2"/>
      <sheetName val="Matching_Sheet2"/>
      <sheetName val="Ttl_data2"/>
      <sheetName val="Depreciation_Methods2"/>
      <sheetName val="FINAL_TB_USD2"/>
      <sheetName val="Dis_LH3"/>
      <sheetName val="Dis_CH3"/>
      <sheetName val="Dis_Veh3"/>
      <sheetName val="6M_DTAX3"/>
      <sheetName val="FA_Recon3"/>
      <sheetName val="Depreciation_3"/>
      <sheetName val="Matching_Sheet3"/>
      <sheetName val="Ttl_data3"/>
      <sheetName val="Depreciation_Methods3"/>
      <sheetName val="FINAL_TB_USD3"/>
      <sheetName val="Dis_LH4"/>
      <sheetName val="Dis_CH4"/>
      <sheetName val="Dis_Veh4"/>
      <sheetName val="6M_DTAX4"/>
      <sheetName val="FA_Recon4"/>
      <sheetName val="Depreciation_4"/>
      <sheetName val="Matching_Sheet4"/>
      <sheetName val="Ttl_data4"/>
      <sheetName val="Depreciation_Methods4"/>
      <sheetName val="FINAL_TB_USD4"/>
      <sheetName val="Dis_LH5"/>
      <sheetName val="Dis_CH5"/>
      <sheetName val="Dis_Veh5"/>
      <sheetName val="6M_DTAX5"/>
      <sheetName val="FA_Recon5"/>
      <sheetName val="Depreciation_5"/>
      <sheetName val="Matching_Sheet5"/>
      <sheetName val="Ttl_data5"/>
      <sheetName val="Depreciation_Methods5"/>
      <sheetName val="FINAL_TB_USD5"/>
      <sheetName val="Dis_LH6"/>
      <sheetName val="Dis_CH6"/>
      <sheetName val="Dis_Veh6"/>
      <sheetName val="6M_DTAX6"/>
      <sheetName val="FA_Recon6"/>
      <sheetName val="Depreciation_6"/>
      <sheetName val="Matching_Sheet6"/>
      <sheetName val="Ttl_data6"/>
      <sheetName val="Depreciation_Methods6"/>
      <sheetName val="FINAL_TB_USD6"/>
      <sheetName val="Dis_LH8"/>
      <sheetName val="Dis_CH8"/>
      <sheetName val="Dis_Veh8"/>
      <sheetName val="6M_DTAX8"/>
      <sheetName val="FA_Recon8"/>
      <sheetName val="Depreciation_8"/>
      <sheetName val="Matching_Sheet8"/>
      <sheetName val="Ttl_data8"/>
      <sheetName val="Depreciation_Methods8"/>
      <sheetName val="FINAL_TB_USD8"/>
      <sheetName val="Dis_LH7"/>
      <sheetName val="Dis_CH7"/>
      <sheetName val="Dis_Veh7"/>
      <sheetName val="6M_DTAX7"/>
      <sheetName val="FA_Recon7"/>
      <sheetName val="Depreciation_7"/>
      <sheetName val="Matching_Sheet7"/>
      <sheetName val="Ttl_data7"/>
      <sheetName val="Depreciation_Methods7"/>
      <sheetName val="FINAL_TB_USD7"/>
      <sheetName val="Dis_LH9"/>
      <sheetName val="Dis_CH9"/>
      <sheetName val="Dis_Veh9"/>
      <sheetName val="6M_DTAX9"/>
      <sheetName val="FA_Recon9"/>
      <sheetName val="Depreciation_9"/>
      <sheetName val="Matching_Sheet9"/>
      <sheetName val="Ttl_data9"/>
      <sheetName val="Depreciation_Methods9"/>
      <sheetName val="FINAL_TB_USD9"/>
      <sheetName val="Dis_LH10"/>
      <sheetName val="Dis_CH10"/>
      <sheetName val="Dis_Veh10"/>
      <sheetName val="6M_DTAX10"/>
      <sheetName val="FA_Recon10"/>
      <sheetName val="Depreciation_10"/>
      <sheetName val="Matching_Sheet10"/>
      <sheetName val="Ttl_data10"/>
      <sheetName val="Depreciation_Methods10"/>
      <sheetName val="FINAL_TB_USD10"/>
      <sheetName val="Dis_LH11"/>
      <sheetName val="Dis_CH11"/>
      <sheetName val="Dis_Veh11"/>
      <sheetName val="6M_DTAX11"/>
      <sheetName val="FA_Recon11"/>
      <sheetName val="Depreciation_11"/>
      <sheetName val="Matching_Sheet11"/>
      <sheetName val="Ttl_data11"/>
      <sheetName val="Depreciation_Methods11"/>
      <sheetName val="FINAL_TB_USD11"/>
      <sheetName val="MARLIN"/>
      <sheetName val="Dis_LH13"/>
      <sheetName val="Dis_CH13"/>
      <sheetName val="Dis_Veh13"/>
      <sheetName val="6M_DTAX13"/>
      <sheetName val="FA_Recon13"/>
      <sheetName val="Depreciation_13"/>
      <sheetName val="Matching_Sheet13"/>
      <sheetName val="Ttl_data13"/>
      <sheetName val="Depreciation_Methods13"/>
      <sheetName val="FINAL_TB_USD13"/>
      <sheetName val="Dis_LH12"/>
      <sheetName val="Dis_CH12"/>
      <sheetName val="Dis_Veh12"/>
      <sheetName val="6M_DTAX12"/>
      <sheetName val="FA_Recon12"/>
      <sheetName val="Depreciation_12"/>
      <sheetName val="Matching_Sheet12"/>
      <sheetName val="Ttl_data12"/>
      <sheetName val="Depreciation_Methods12"/>
      <sheetName val="FINAL_TB_USD12"/>
      <sheetName val="A0744339"/>
      <sheetName val="Inputs"/>
      <sheetName val="ASAOFSCOA "/>
      <sheetName val="Trial Bal_APTIC_12-2003"/>
      <sheetName val="Trial bal_TPC 03-2004"/>
      <sheetName val="Dis_LH14"/>
      <sheetName val="Dis_CH14"/>
      <sheetName val="Dis_Veh14"/>
      <sheetName val="6M_DTAX14"/>
      <sheetName val="FA_Recon14"/>
      <sheetName val="Depreciation_14"/>
      <sheetName val="Matching_Sheet14"/>
      <sheetName val="Ttl_data14"/>
      <sheetName val="Depreciation_Methods14"/>
      <sheetName val="FINAL_TB_USD14"/>
      <sheetName val="DTax_April-June_03_Aman"/>
      <sheetName val="ASAOFSCOA_"/>
      <sheetName val="Trial_Bal_APTIC_12-2003"/>
      <sheetName val="Trial_bal_TPC_03-2004"/>
      <sheetName val="Dis_LH16"/>
      <sheetName val="Dis_CH16"/>
      <sheetName val="Dis_Veh16"/>
      <sheetName val="6M_DTAX16"/>
      <sheetName val="FA_Recon16"/>
      <sheetName val="Depreciation_16"/>
      <sheetName val="Matching_Sheet16"/>
      <sheetName val="Ttl_data16"/>
      <sheetName val="Depreciation_Methods16"/>
      <sheetName val="FINAL_TB_USD16"/>
      <sheetName val="DTax_April-June_03_Aman2"/>
      <sheetName val="Dis_LH15"/>
      <sheetName val="Dis_CH15"/>
      <sheetName val="Dis_Veh15"/>
      <sheetName val="6M_DTAX15"/>
      <sheetName val="FA_Recon15"/>
      <sheetName val="Depreciation_15"/>
      <sheetName val="Matching_Sheet15"/>
      <sheetName val="Ttl_data15"/>
      <sheetName val="Depreciation_Methods15"/>
      <sheetName val="FINAL_TB_USD15"/>
      <sheetName val="DTax_April-June_03_Aman1"/>
      <sheetName val="Dis_LH17"/>
      <sheetName val="Dis_CH17"/>
      <sheetName val="Dis_Veh17"/>
      <sheetName val="6M_DTAX17"/>
      <sheetName val="FA_Recon17"/>
      <sheetName val="Depreciation_17"/>
      <sheetName val="Matching_Sheet17"/>
      <sheetName val="Ttl_data17"/>
      <sheetName val="Depreciation_Methods17"/>
      <sheetName val="FINAL_TB_USD17"/>
      <sheetName val="DTax_April-June_03_Aman3"/>
      <sheetName val="ASAOFSCOA_1"/>
      <sheetName val="Trial_Bal_APTIC_12-20031"/>
      <sheetName val="Trial_bal_TPC_03-20041"/>
      <sheetName val="Dis_LH21"/>
      <sheetName val="Dis_CH21"/>
      <sheetName val="Dis_Veh21"/>
      <sheetName val="6M_DTAX21"/>
      <sheetName val="FA_Recon21"/>
      <sheetName val="Depreciation_21"/>
      <sheetName val="Matching_Sheet21"/>
      <sheetName val="Ttl_data21"/>
      <sheetName val="Depreciation_Methods21"/>
      <sheetName val="FINAL_TB_USD21"/>
      <sheetName val="DTax_April-June_03_Aman7"/>
      <sheetName val="Dis_LH20"/>
      <sheetName val="Dis_CH20"/>
      <sheetName val="Dis_Veh20"/>
      <sheetName val="6M_DTAX20"/>
      <sheetName val="FA_Recon20"/>
      <sheetName val="Depreciation_20"/>
      <sheetName val="Matching_Sheet20"/>
      <sheetName val="Ttl_data20"/>
      <sheetName val="Depreciation_Methods20"/>
      <sheetName val="FINAL_TB_USD20"/>
      <sheetName val="DTax_April-June_03_Aman6"/>
      <sheetName val="Dis_LH19"/>
      <sheetName val="Dis_CH19"/>
      <sheetName val="Dis_Veh19"/>
      <sheetName val="6M_DTAX19"/>
      <sheetName val="FA_Recon19"/>
      <sheetName val="Depreciation_19"/>
      <sheetName val="Matching_Sheet19"/>
      <sheetName val="Ttl_data19"/>
      <sheetName val="Depreciation_Methods19"/>
      <sheetName val="FINAL_TB_USD19"/>
      <sheetName val="DTax_April-June_03_Aman5"/>
      <sheetName val="Dis_LH18"/>
      <sheetName val="Dis_CH18"/>
      <sheetName val="Dis_Veh18"/>
      <sheetName val="6M_DTAX18"/>
      <sheetName val="FA_Recon18"/>
      <sheetName val="Depreciation_18"/>
      <sheetName val="Matching_Sheet18"/>
      <sheetName val="Ttl_data18"/>
      <sheetName val="Depreciation_Methods18"/>
      <sheetName val="FINAL_TB_USD18"/>
      <sheetName val="DTax_April-June_03_Aman4"/>
      <sheetName val="Dis_LH22"/>
      <sheetName val="Dis_CH22"/>
      <sheetName val="Dis_Veh22"/>
      <sheetName val="6M_DTAX22"/>
      <sheetName val="FA_Recon22"/>
      <sheetName val="Depreciation_22"/>
      <sheetName val="Matching_Sheet22"/>
      <sheetName val="Ttl_data22"/>
      <sheetName val="Depreciation_Methods22"/>
      <sheetName val="FINAL_TB_USD22"/>
      <sheetName val="DTax_April-June_03_Aman8"/>
      <sheetName val="ASAOFSCOA_2"/>
      <sheetName val="Trial_Bal_APTIC_12-20032"/>
      <sheetName val="Trial_bal_TPC_03-20042"/>
      <sheetName val="Dis_LH23"/>
      <sheetName val="Dis_CH23"/>
      <sheetName val="Dis_Veh23"/>
      <sheetName val="6M_DTAX23"/>
      <sheetName val="FA_Recon23"/>
      <sheetName val="Depreciation_23"/>
      <sheetName val="Matching_Sheet23"/>
      <sheetName val="Ttl_data23"/>
      <sheetName val="Depreciation_Methods23"/>
      <sheetName val="FINAL_TB_USD23"/>
      <sheetName val="DTax_April-June_03_Aman9"/>
      <sheetName val="ASAOFSCOA_3"/>
      <sheetName val="Trial_Bal_APTIC_12-20033"/>
      <sheetName val="Trial_bal_TPC_03-20043"/>
      <sheetName val="Dis_LH24"/>
      <sheetName val="Dis_CH24"/>
      <sheetName val="Dis_Veh24"/>
      <sheetName val="6M_DTAX24"/>
      <sheetName val="FA_Recon24"/>
      <sheetName val="Depreciation_24"/>
      <sheetName val="Matching_Sheet24"/>
      <sheetName val="Ttl_data24"/>
      <sheetName val="Depreciation_Methods24"/>
      <sheetName val="FINAL_TB_USD24"/>
      <sheetName val="DTax_April-June_03_Aman10"/>
      <sheetName val="ASAOFSCOA_4"/>
      <sheetName val="Trial_Bal_APTIC_12-20034"/>
      <sheetName val="Trial_bal_TPC_03-20044"/>
      <sheetName val="Dis_LH26"/>
      <sheetName val="Dis_CH26"/>
      <sheetName val="Dis_Veh26"/>
      <sheetName val="6M_DTAX26"/>
      <sheetName val="FA_Recon26"/>
      <sheetName val="Depreciation_26"/>
      <sheetName val="Matching_Sheet26"/>
      <sheetName val="Ttl_data26"/>
      <sheetName val="Depreciation_Methods26"/>
      <sheetName val="FINAL_TB_USD26"/>
      <sheetName val="DTax_April-June_03_Aman12"/>
      <sheetName val="Trial_Bal_APTIC_12-20036"/>
      <sheetName val="Trial_bal_TPC_03-20046"/>
      <sheetName val="Dis_LH25"/>
      <sheetName val="Dis_CH25"/>
      <sheetName val="Dis_Veh25"/>
      <sheetName val="6M_DTAX25"/>
      <sheetName val="FA_Recon25"/>
      <sheetName val="Depreciation_25"/>
      <sheetName val="Matching_Sheet25"/>
      <sheetName val="Ttl_data25"/>
      <sheetName val="Depreciation_Methods25"/>
      <sheetName val="FINAL_TB_USD25"/>
      <sheetName val="DTax_April-June_03_Aman11"/>
      <sheetName val="ASAOFSCOA_5"/>
      <sheetName val="Trial_Bal_APTIC_12-20035"/>
      <sheetName val="Trial_bal_TPC_03-20045"/>
      <sheetName val="ASAOFSCOA_6"/>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OIS"/>
      <sheetName val="AFFILIES- P&amp;L NATURES"/>
      <sheetName val="Alim AFFILIES - P&amp;L NATURES"/>
      <sheetName val="AFFILIES - P&amp;L DISTRIBUTION"/>
      <sheetName val="Alim AFFILIES - Destination"/>
      <sheetName val="CLV assumptions"/>
      <sheetName val="working"/>
      <sheetName val="Dimension Groups"/>
      <sheetName val="Results Summary"/>
      <sheetName val="TopDown"/>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at 9"/>
      <sheetName val="2003-2004 "/>
      <sheetName val="DTAX"/>
      <sheetName val="Depreciation "/>
      <sheetName val="Q1"/>
    </sheetNames>
    <sheetDataSet>
      <sheetData sheetId="0"/>
      <sheetData sheetId="1" refreshError="1"/>
      <sheetData sheetId="2" refreshError="1"/>
      <sheetData sheetId="3" refreshError="1"/>
      <sheetData sheetId="4"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nalysis"/>
      <sheetName val="BS"/>
      <sheetName val="P&amp;L"/>
      <sheetName val="SCF"/>
      <sheetName val="Projected fixed assets"/>
      <sheetName val="2-5"/>
      <sheetName val="6-11"/>
      <sheetName val="Assumptions"/>
      <sheetName val="Ratio"/>
      <sheetName val="analysis sheet-bank"/>
      <sheetName val="FI"/>
      <sheetName val="SOCE"/>
      <sheetName val="PPE"/>
    </sheetNames>
    <sheetDataSet>
      <sheetData sheetId="0" refreshError="1"/>
      <sheetData sheetId="1"/>
      <sheetData sheetId="2"/>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ote of Deletion"/>
      <sheetName val="DELETIONS"/>
      <sheetName val="Deletions Nov - Dec 04"/>
      <sheetName val="Note Final December 2004 (2)"/>
      <sheetName val="Note Final October 2004"/>
      <sheetName val="note"/>
      <sheetName val="Book Value Upto 50000"/>
      <sheetName val="Book Value&gt;50000"/>
      <sheetName val="Deletions Vehicles"/>
      <sheetName val="Deletions 04"/>
      <sheetName val="Note of Deletion (2)"/>
      <sheetName val="Acct"/>
      <sheetName val="Grmt Ord"/>
      <sheetName val="Inventory"/>
      <sheetName val="Dropdown"/>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mpany Salaries"/>
      <sheetName val="Assumptions"/>
      <sheetName val="Rev. Summary"/>
      <sheetName val="OpEx"/>
      <sheetName val="CapEx"/>
      <sheetName val="P&amp;L"/>
      <sheetName val="Balance Sheet"/>
      <sheetName val="Fact Sheet"/>
      <sheetName val="Cash Flow St."/>
      <sheetName val="BS OT"/>
      <sheetName val="P&amp;L OT"/>
      <sheetName val="C Flow OT"/>
      <sheetName val=" Staff Count"/>
      <sheetName val="Indicators"/>
      <sheetName val="ORIX"/>
      <sheetName val="Sheet1"/>
      <sheetName val="Links"/>
      <sheetName val="note"/>
      <sheetName val="LO-Jan"/>
      <sheetName val="catalog2"/>
      <sheetName val="Synth"/>
      <sheetName val="Company_Salaries"/>
      <sheetName val="Rev__Summary"/>
      <sheetName val="Balance_Sheet"/>
      <sheetName val="Fact_Sheet"/>
      <sheetName val="Cash_Flow_St_"/>
      <sheetName val="BS_OT"/>
      <sheetName val="P&amp;L_OT"/>
      <sheetName val="C_Flow_OT"/>
      <sheetName val="_Staff_Count"/>
      <sheetName val="NNPL_P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WIP Movement"/>
      <sheetName val="Rupee E"/>
      <sheetName val="E&amp;E Amortization"/>
      <sheetName val="Zargun"/>
      <sheetName val="CL JV"/>
      <sheetName val="Balance Sheet"/>
      <sheetName val="P&amp;L"/>
      <sheetName val="Trial Final"/>
      <sheetName val="Trial 21 july 2014"/>
      <sheetName val="Note 1 to 11"/>
      <sheetName val="Note 12 to 15"/>
      <sheetName val="Reserve for MSU"/>
      <sheetName val="CF-W"/>
      <sheetName val="Cash flow"/>
      <sheetName val="CFW-DM"/>
      <sheetName val="Trial"/>
      <sheetName val="Adjusting Entry"/>
      <sheetName val="bANK bALANCES"/>
      <sheetName val="Note 14"/>
      <sheetName val="ASSETS"/>
      <sheetName val="Tax rate"/>
      <sheetName val="Note 36 (Prev)"/>
      <sheetName val="Note 15 old"/>
      <sheetName val="EXPL"/>
      <sheetName val="Note 35 to 39"/>
      <sheetName val="Note 36(revised)"/>
      <sheetName val="Note 37-40 (revised)"/>
      <sheetName val="Sheet5"/>
      <sheetName val="MG-2"/>
      <sheetName val="data"/>
      <sheetName val="MG-1"/>
      <sheetName val="a return"/>
      <sheetName val="Sheet3"/>
      <sheetName val="surplus"/>
      <sheetName val="tax"/>
      <sheetName val="Sheet2"/>
      <sheetName val="Overview"/>
      <sheetName val="def"/>
      <sheetName val="taxdep"/>
      <sheetName val="Payable to MPC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Wstat 97"/>
      <sheetName val="Wstat 96"/>
    </sheetNames>
    <sheetDataSet>
      <sheetData sheetId="0"/>
      <sheetData sheetId="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V"/>
      <sheetName val="Profit Proration"/>
      <sheetName val="Defered Tax"/>
      <sheetName val="Current Tax"/>
      <sheetName val="ADD TAXDEP  FIG"/>
      <sheetName val="DELETIONS"/>
      <sheetName val="Calc. of WDV"/>
      <sheetName val="ADDITIONS"/>
      <sheetName val="Expensive Cars"/>
      <sheetName val="LAND LAB EQUIP"/>
      <sheetName val="Factory Workshop Bldg"/>
      <sheetName val="Building Others"/>
      <sheetName val="furniture"/>
      <sheetName val="Heavy vehicles"/>
      <sheetName val="M. Cars"/>
      <sheetName val="Macninery Used in Pakistan"/>
      <sheetName val="Machinery New in Pakistan"/>
      <sheetName val="Others"/>
      <sheetName val="Computers"/>
      <sheetName val="LAND"/>
      <sheetName val="Cerruti working"/>
      <sheetName val="Tax Charge Reconciliation"/>
      <sheetName val="TAX CHARGE QUARTER"/>
      <sheetName val="Tax Charge Reconciliation 2003"/>
      <sheetName val="tax"/>
      <sheetName val="Deff. tax as on October 2004"/>
      <sheetName val="lc921471"/>
      <sheetName val="Profit_Proration"/>
      <sheetName val="Defered_Tax"/>
      <sheetName val="Current_Tax"/>
      <sheetName val="ADD_TAXDEP__FIG"/>
      <sheetName val="Calc__of_WDV"/>
      <sheetName val="Expensive_Cars"/>
      <sheetName val="LAND_LAB_EQUIP"/>
      <sheetName val="Factory_Workshop_Bldg"/>
      <sheetName val="Building_Others"/>
      <sheetName val="Heavy_vehicles"/>
      <sheetName val="M__Cars"/>
      <sheetName val="Macninery_Used_in_Pakistan"/>
      <sheetName val="Machinery_New_in_Pakistan"/>
      <sheetName val="Cerruti_working"/>
      <sheetName val="Tax_Charge_Reconciliation"/>
      <sheetName val="TAX_CHARGE_QUARTER"/>
      <sheetName val="Tax_Charge_Reconciliation_2003"/>
      <sheetName val="Revenue-Fire-Marine-Motor"/>
      <sheetName val="Grmt Ord"/>
      <sheetName val="Product ID"/>
      <sheetName val="Profit_Proration1"/>
      <sheetName val="Defered_Tax1"/>
      <sheetName val="Current_Tax1"/>
      <sheetName val="ADD_TAXDEP__FIG1"/>
      <sheetName val="Calc__of_WDV1"/>
      <sheetName val="Expensive_Cars1"/>
      <sheetName val="LAND_LAB_EQUIP1"/>
      <sheetName val="Factory_Workshop_Bldg1"/>
      <sheetName val="Building_Others1"/>
      <sheetName val="Heavy_vehicles1"/>
      <sheetName val="M__Cars1"/>
      <sheetName val="Macninery_Used_in_Pakistan1"/>
      <sheetName val="Machinery_New_in_Pakistan1"/>
      <sheetName val="Cerruti_working1"/>
      <sheetName val="Tax_Charge_Reconciliation1"/>
      <sheetName val="TAX_CHARGE_QUARTER1"/>
      <sheetName val="Tax_Charge_Reconciliation_20031"/>
      <sheetName val="Deff__tax_as_on_October_2004"/>
      <sheetName val="Dropdown"/>
      <sheetName val="31-July-09"/>
      <sheetName val="SUMMARY"/>
      <sheetName val="Pricing Table"/>
      <sheetName val="BOQ"/>
      <sheetName val="Sajad requireds"/>
      <sheetName val="Prepaid Sheet"/>
    </sheetNames>
    <sheetDataSet>
      <sheetData sheetId="0"/>
      <sheetData sheetId="1"/>
      <sheetData sheetId="2"/>
      <sheetData sheetId="3"/>
      <sheetData sheetId="4"/>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V"/>
      <sheetName val="BS"/>
      <sheetName val="R&amp;P"/>
      <sheetName val="Notes"/>
      <sheetName val="WP1"/>
      <sheetName val="FRS"/>
      <sheetName val="BVA"/>
      <sheetName val="EMP"/>
      <sheetName val="PFILE"/>
      <sheetName val="CF"/>
      <sheetName val="WP"/>
      <sheetName val="TOP"/>
      <sheetName val="Summary"/>
      <sheetName val="Revised Budget as per CNPP"/>
      <sheetName val="R &amp; E"/>
      <sheetName val="notes 1-4"/>
      <sheetName val="notes 5-16"/>
      <sheetName val="Trial"/>
      <sheetName val="Sheet1"/>
      <sheetName val="DTAX"/>
      <sheetName val="Depreciation "/>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cct"/>
      <sheetName val="12"/>
      <sheetName val="12.3"/>
      <sheetName val="19-19.1"/>
      <sheetName val="28"/>
      <sheetName val="15"/>
      <sheetName val="35"/>
      <sheetName val="JJ - Adjusted"/>
      <sheetName val="Sheet1"/>
      <sheetName val="cash flow working"/>
      <sheetName val="12.3 old"/>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nvoi"/>
    </sheetNames>
    <sheetDataSet>
      <sheetData sheetId="0"/>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quidity risk (all)"/>
      <sheetName val="Financial Liabilities mapping"/>
      <sheetName val="exposure to credit risk (all)"/>
      <sheetName val="Feuil2"/>
      <sheetName val="Actual"/>
      <sheetName val="Results Summary"/>
      <sheetName val="LO-Jan"/>
      <sheetName val="PCA"/>
      <sheetName val="Note 15 to 20"/>
      <sheetName val="Basic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mployee Information Sheet"/>
      <sheetName val="HRMIS 1"/>
      <sheetName val="HRMIS 2"/>
      <sheetName val="Quarterly Leave Report"/>
      <sheetName val="2. Staff Profile Information"/>
      <sheetName val="Monthly Leave Report"/>
      <sheetName val="Employmee Information (A)"/>
      <sheetName val="1. Employmee Information"/>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mployee Information Sheet"/>
      <sheetName val="HRMIS 1"/>
      <sheetName val="HRMIS 2"/>
      <sheetName val="Quarterly Leave Report"/>
      <sheetName val="2. Staff Profile Information"/>
      <sheetName val="Monthly Leave Report"/>
      <sheetName val="Employmee Information (A)"/>
      <sheetName val="1. Employmee Information"/>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lated parties CS"/>
      <sheetName val=" Other parties CS"/>
      <sheetName val="CMA debtors"/>
      <sheetName val="Advances(CWIP)"/>
      <sheetName val="CMA Advances CWIP"/>
      <sheetName val="Advances suppliers"/>
      <sheetName val="CMA Advances Suppliers"/>
      <sheetName val="Advances for land"/>
      <sheetName val="CMA Advances for land"/>
      <sheetName val="Sheet1"/>
      <sheetName val="Tickmarks"/>
      <sheetName val="Employee Information 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ddition"/>
      <sheetName val="deletion"/>
      <sheetName val="CMA addition"/>
      <sheetName val="Verification-addition"/>
      <sheetName val="Verification-deletion"/>
      <sheetName val="Tickmarks"/>
      <sheetName val="CMA debtors"/>
    </sheetNames>
    <sheetDataSet>
      <sheetData sheetId="0"/>
      <sheetData sheetId="1"/>
      <sheetData sheetId="2"/>
      <sheetData sheetId="3"/>
      <sheetData sheetId="4"/>
      <sheetData sheetId="5"/>
      <sheetData sheetId="6"/>
      <sheetData sheetId="7"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lyester"/>
      <sheetName val="Reconciliation"/>
      <sheetName val="Purchases"/>
      <sheetName val="Commission"/>
      <sheetName val="Freight"/>
      <sheetName val="Other Exp."/>
      <sheetName val="Shortage"/>
      <sheetName val="Yarn"/>
      <sheetName val="Waste"/>
      <sheetName val="CONVERTED 20-S"/>
      <sheetName val="Work in process"/>
      <sheetName val="Finished goods"/>
      <sheetName val="Doubling chg rec. frm wvg"/>
      <sheetName val="profit onY.trans.to wvg"/>
      <sheetName val="Cot purch"/>
      <sheetName val="Poly purch"/>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ead Sheet"/>
      <sheetName val="Valuation of Cotton"/>
      <sheetName val="Valuation of polyster"/>
      <sheetName val="Cotton imported"/>
      <sheetName val="cotton purchase 2007"/>
      <sheetName val="Lead-cott-ex"/>
      <sheetName val="Cott freight 07"/>
      <sheetName val="Commission 07"/>
      <sheetName val="cotton staking"/>
      <sheetName val="polyester purchase"/>
      <sheetName val="freight"/>
      <sheetName val="discount7"/>
      <sheetName val="WIP"/>
      <sheetName val="Yield (2)"/>
      <sheetName val="Production converted into 20s"/>
      <sheetName val="Mfgcost-WIP"/>
      <sheetName val="Finished goods"/>
      <sheetName val="YARN PRODUCTION"/>
      <sheetName val="WASTE PRODUCTION"/>
      <sheetName val="Wsate"/>
      <sheetName val="Tickmarks"/>
      <sheetName val="Addition"/>
      <sheetName val="Doubling chg rec. frm wvg"/>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roborative Enquiry"/>
      <sheetName val="Examination of doc"/>
      <sheetName val="cutoff"/>
      <sheetName val="Tickmarks"/>
      <sheetName val="Lead Sheet"/>
    </sheetNames>
    <sheetDataSet>
      <sheetData sheetId="0"/>
      <sheetData sheetId="1"/>
      <sheetData sheetId="2"/>
      <sheetData sheetId="3" refreshError="1"/>
      <sheetData sheetId="4"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quiry"/>
      <sheetName val="examination of documents"/>
      <sheetName val="Credit Notes"/>
      <sheetName val="cutoff"/>
      <sheetName val="Tickmarks"/>
      <sheetName val="Corroborative Enquiry"/>
    </sheetNames>
    <sheetDataSet>
      <sheetData sheetId="0"/>
      <sheetData sheetId="1"/>
      <sheetData sheetId="2"/>
      <sheetData sheetId="3"/>
      <sheetData sheetId="4"/>
      <sheetData sheetId="5"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consolidation"/>
      <sheetName val="Balance Sheet"/>
      <sheetName val="P &amp; L"/>
      <sheetName val="Cash Flow"/>
      <sheetName val="Changes in Equity"/>
      <sheetName val="Notes"/>
      <sheetName val="Policies-fin"/>
      <sheetName val="Operating Assets"/>
      <sheetName val="lease"/>
      <sheetName val="Financial instrument"/>
      <sheetName val="DEF TAX FIN"/>
      <sheetName val="Yarn"/>
      <sheetName val="CONVERTED 20-S"/>
      <sheetName val="Finished goods"/>
      <sheetName val="Work in process"/>
      <sheetName val="profit onY.trans.to wvg"/>
      <sheetName val="WEAVING"/>
      <sheetName val="DEPRECIATION"/>
      <sheetName val="DELETION (SPIN)"/>
      <sheetName val="DELETION (WEAV)"/>
      <sheetName val="TRADING"/>
      <sheetName val="SPINNING"/>
      <sheetName val="Inquiry"/>
    </sheetNames>
    <sheetDataSet>
      <sheetData sheetId="0"/>
      <sheetData sheetId="1"/>
      <sheetData sheetId="2" refreshError="1"/>
      <sheetData sheetId="3" refreshError="1"/>
      <sheetData sheetId="4" refreshError="1"/>
      <sheetData sheetId="5" refreshError="1"/>
      <sheetData sheetId="6"/>
      <sheetData sheetId="7"/>
      <sheetData sheetId="8"/>
      <sheetData sheetId="9"/>
      <sheetData sheetId="10" refreshError="1"/>
      <sheetData sheetId="11" refreshError="1"/>
      <sheetData sheetId="12" refreshError="1"/>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FORMATION"/>
      <sheetName val="forecast budget &amp; follow-up"/>
      <sheetName val="interim report"/>
      <sheetName val=" final report"/>
      <sheetName val="Budget follow-up infoeuro"/>
      <sheetName val="Graphique"/>
      <sheetName val="Amendment "/>
      <sheetName val="TDC DEVISE"/>
      <sheetName val="modif by HQ"/>
      <sheetName val="Import Saga"/>
      <sheetName val="Budget lines 582 664"/>
      <sheetName val="TCD FAO 664"/>
      <sheetName val="Import Saga 664"/>
      <sheetName val="Expat List 31-12-07"/>
      <sheetName val="Staff list 31-12-07"/>
      <sheetName val="Park Statement"/>
      <sheetName val="Contract"/>
      <sheetName val="FUEL 31-12-07"/>
      <sheetName val="Rental cars &amp; Office"/>
      <sheetName val="Stock 31-12-07"/>
      <sheetName val="TMP"/>
      <sheetName val="Taux Inforeur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rison"/>
      <sheetName val="Dis LH"/>
      <sheetName val="Dis CH"/>
      <sheetName val="Vehicle"/>
      <sheetName val="BD"/>
      <sheetName val="6M DTAX"/>
      <sheetName val="FA Recon"/>
      <sheetName val="entries"/>
      <sheetName val="Sheet1"/>
      <sheetName val="Def. Tax"/>
      <sheetName val="Tax Profit"/>
      <sheetName val="gratuity"/>
      <sheetName val="Bad debts"/>
      <sheetName val="CS-add"/>
      <sheetName val="Tax Dep"/>
      <sheetName val="deletiontop"/>
      <sheetName val="deletions 2005"/>
      <sheetName val="Infra Retirements"/>
      <sheetName val="lease payments"/>
      <sheetName val="OTHER ASSETS ADD 2005"/>
      <sheetName val="TO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Q1"/>
      <sheetName val="Q2"/>
      <sheetName val="Q2.1"/>
      <sheetName val="Q3"/>
      <sheetName val="Q4"/>
      <sheetName val="Q4.1"/>
      <sheetName val="Q4.2"/>
      <sheetName val="Q 5"/>
      <sheetName val="Q5.1"/>
      <sheetName val="Q6"/>
      <sheetName val="sheet"/>
      <sheetName val="Q4.1 (2)"/>
      <sheetName val="lc92147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rison"/>
      <sheetName val="Dis LH"/>
      <sheetName val="Dis CH"/>
      <sheetName val="Vehicle"/>
      <sheetName val="BD"/>
      <sheetName val="6M DTAX"/>
      <sheetName val="FA Recon"/>
      <sheetName val="Prov. 2003"/>
      <sheetName val="Def. Tax"/>
      <sheetName val="Tax Profit"/>
      <sheetName val="Acc. Dep."/>
      <sheetName val="Tax Dep."/>
      <sheetName val="Q1"/>
      <sheetName val="DropDowns"/>
      <sheetName val="TMPSHT (3)"/>
      <sheetName val="DT Work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cct"/>
      <sheetName val="12"/>
      <sheetName val="12.3"/>
      <sheetName val="19-19.1"/>
      <sheetName val="28"/>
      <sheetName val="15"/>
      <sheetName val="35"/>
      <sheetName val="JJ - Adjusted"/>
      <sheetName val="Sheet1"/>
      <sheetName val="cash flow working"/>
      <sheetName val="12.3 old"/>
      <sheetName val="Final  dec 2004"/>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Updated Trial 13"/>
      <sheetName val="Adj entry 13"/>
      <sheetName val="Trial Combine 18"/>
      <sheetName val="Adj entry 18"/>
      <sheetName val="grouping"/>
      <sheetName val="SOFP"/>
      <sheetName val="P &amp; L"/>
      <sheetName val="SOCI"/>
      <sheetName val="CASH FLOW"/>
      <sheetName val="CHANGES EQUITY "/>
      <sheetName val="NOTES"/>
      <sheetName val="Sheet3"/>
      <sheetName val="FIXED ASSETS"/>
      <sheetName val="C.tax computation"/>
      <sheetName val="Def tax"/>
      <sheetName val="Tax dep"/>
      <sheetName val="Sheet1"/>
      <sheetName val="Sheet2"/>
    </sheetNames>
    <sheetDataSet>
      <sheetData sheetId="0"/>
      <sheetData sheetId="1"/>
      <sheetData sheetId="2">
        <row r="81">
          <cell r="B81" t="str">
            <v>BAZI KNITWEAR</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ial Balance"/>
    </sheetNames>
    <sheetDataSet>
      <sheetData sheetId="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ial Balance"/>
    </sheetNames>
    <sheetDataSet>
      <sheetData sheetId="0"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 - 2014"/>
      <sheetName val="Sheet2"/>
      <sheetName val="Trial Balance"/>
      <sheetName val="Adjusting entries"/>
      <sheetName val="grouping"/>
      <sheetName val="B.Sheet "/>
      <sheetName val="P &amp; Loss"/>
      <sheetName val="SOCI"/>
      <sheetName val="cash.flow"/>
      <sheetName val="EQUITY"/>
      <sheetName val="Property, plant &amp; equipment"/>
      <sheetName val="NOTES"/>
      <sheetName val="Tax computation"/>
      <sheetName val="Tax Dep "/>
      <sheetName val="WPPF"/>
      <sheetName val="Deferred taxation"/>
      <sheetName val="Depreciation Cal. sched."/>
    </sheetNames>
    <sheetDataSet>
      <sheetData sheetId="0" refreshError="1"/>
      <sheetData sheetId="1" refreshError="1"/>
      <sheetData sheetId="2">
        <row r="1">
          <cell r="A1" t="str">
            <v>Account ID</v>
          </cell>
          <cell r="B1" t="str">
            <v>Account Description</v>
          </cell>
          <cell r="C1" t="str">
            <v>Account Type</v>
          </cell>
          <cell r="D1" t="str">
            <v>Trial Balnce</v>
          </cell>
          <cell r="F1" t="str">
            <v>Adjusting Entries</v>
          </cell>
          <cell r="H1" t="str">
            <v>Closing Balance (linked with A/C)</v>
          </cell>
        </row>
        <row r="2">
          <cell r="D2" t="str">
            <v>Debit Amt</v>
          </cell>
          <cell r="E2" t="str">
            <v>Credit Amt</v>
          </cell>
          <cell r="F2" t="str">
            <v>Debit Amt</v>
          </cell>
          <cell r="G2" t="str">
            <v>Credit Amt</v>
          </cell>
          <cell r="H2" t="str">
            <v>Debit Amt</v>
          </cell>
          <cell r="I2" t="str">
            <v>Credit Amt</v>
          </cell>
        </row>
        <row r="3">
          <cell r="C3" t="str">
            <v>Balance Sheet</v>
          </cell>
        </row>
        <row r="5">
          <cell r="C5" t="str">
            <v>Equity</v>
          </cell>
        </row>
        <row r="6">
          <cell r="A6" t="str">
            <v>1001</v>
          </cell>
          <cell r="B6" t="str">
            <v>Issued Sub &amp; Paid Up Capital</v>
          </cell>
          <cell r="C6" t="str">
            <v>Equity-doesn't close</v>
          </cell>
          <cell r="E6">
            <v>19360000</v>
          </cell>
          <cell r="H6">
            <v>0</v>
          </cell>
          <cell r="I6">
            <v>19360000</v>
          </cell>
          <cell r="J6">
            <v>19360000</v>
          </cell>
        </row>
        <row r="7">
          <cell r="A7" t="str">
            <v>1003</v>
          </cell>
          <cell r="B7" t="str">
            <v>Beginning Balance Equity</v>
          </cell>
          <cell r="C7" t="str">
            <v>Equity-doesn't close</v>
          </cell>
          <cell r="E7">
            <v>55309044</v>
          </cell>
          <cell r="H7">
            <v>0</v>
          </cell>
          <cell r="I7">
            <v>55309044</v>
          </cell>
          <cell r="J7">
            <v>55309044</v>
          </cell>
        </row>
        <row r="8">
          <cell r="E8">
            <v>74669044</v>
          </cell>
          <cell r="H8">
            <v>0</v>
          </cell>
          <cell r="I8">
            <v>74669044</v>
          </cell>
          <cell r="J8">
            <v>74669044</v>
          </cell>
        </row>
        <row r="9">
          <cell r="J9">
            <v>0</v>
          </cell>
        </row>
        <row r="10">
          <cell r="C10" t="str">
            <v>Accrued liabilities</v>
          </cell>
          <cell r="J10">
            <v>0</v>
          </cell>
        </row>
        <row r="11">
          <cell r="C11" t="str">
            <v>Salaries and wages payable</v>
          </cell>
          <cell r="J11">
            <v>0</v>
          </cell>
        </row>
        <row r="12">
          <cell r="A12" t="str">
            <v>3001</v>
          </cell>
          <cell r="B12" t="str">
            <v>Employees Salary P/B</v>
          </cell>
          <cell r="C12" t="str">
            <v>Accounts Payable</v>
          </cell>
          <cell r="E12">
            <v>1122792</v>
          </cell>
          <cell r="H12">
            <v>0</v>
          </cell>
          <cell r="I12">
            <v>1122792</v>
          </cell>
          <cell r="J12">
            <v>1122792</v>
          </cell>
        </row>
        <row r="13">
          <cell r="A13" t="str">
            <v>3002</v>
          </cell>
          <cell r="B13" t="str">
            <v>Staff Salary P/B</v>
          </cell>
          <cell r="C13" t="str">
            <v>Accounts Payable</v>
          </cell>
          <cell r="E13">
            <v>453216</v>
          </cell>
          <cell r="H13">
            <v>0</v>
          </cell>
          <cell r="I13">
            <v>453216</v>
          </cell>
          <cell r="J13">
            <v>453216</v>
          </cell>
        </row>
        <row r="14">
          <cell r="A14" t="str">
            <v>3003</v>
          </cell>
          <cell r="B14" t="str">
            <v>Directors Salary P/B</v>
          </cell>
          <cell r="C14" t="str">
            <v>Accounts Payable</v>
          </cell>
          <cell r="E14">
            <v>273000</v>
          </cell>
          <cell r="H14">
            <v>0</v>
          </cell>
          <cell r="I14">
            <v>273000</v>
          </cell>
          <cell r="J14">
            <v>273000</v>
          </cell>
        </row>
        <row r="15">
          <cell r="E15">
            <v>1849008</v>
          </cell>
          <cell r="H15">
            <v>0</v>
          </cell>
          <cell r="I15">
            <v>1849008</v>
          </cell>
          <cell r="J15">
            <v>1849008</v>
          </cell>
        </row>
        <row r="16">
          <cell r="J16">
            <v>0</v>
          </cell>
        </row>
        <row r="17">
          <cell r="C17" t="str">
            <v>Utilities Payable</v>
          </cell>
          <cell r="J17">
            <v>0</v>
          </cell>
        </row>
        <row r="18">
          <cell r="A18" t="str">
            <v>3021</v>
          </cell>
          <cell r="B18" t="str">
            <v>Telephone Payable -131</v>
          </cell>
          <cell r="C18" t="str">
            <v>Accounts Payable</v>
          </cell>
          <cell r="E18">
            <v>9101</v>
          </cell>
          <cell r="H18">
            <v>0</v>
          </cell>
          <cell r="I18">
            <v>9101</v>
          </cell>
          <cell r="J18">
            <v>9101</v>
          </cell>
        </row>
        <row r="19">
          <cell r="A19" t="str">
            <v>3022</v>
          </cell>
          <cell r="B19" t="str">
            <v>Telephone Payable -132</v>
          </cell>
          <cell r="C19" t="str">
            <v>Accounts Payable</v>
          </cell>
          <cell r="E19">
            <v>50</v>
          </cell>
          <cell r="H19">
            <v>0</v>
          </cell>
          <cell r="I19">
            <v>50</v>
          </cell>
          <cell r="J19">
            <v>50</v>
          </cell>
        </row>
        <row r="20">
          <cell r="A20" t="str">
            <v>3023</v>
          </cell>
          <cell r="B20" t="str">
            <v>Telephone Payable -898</v>
          </cell>
          <cell r="C20" t="str">
            <v>Accounts Payable</v>
          </cell>
          <cell r="E20">
            <v>170</v>
          </cell>
          <cell r="H20">
            <v>0</v>
          </cell>
          <cell r="I20">
            <v>170</v>
          </cell>
          <cell r="J20">
            <v>170</v>
          </cell>
        </row>
        <row r="21">
          <cell r="A21" t="str">
            <v>3035</v>
          </cell>
          <cell r="B21" t="str">
            <v>Electricity Payable 60-M</v>
          </cell>
          <cell r="C21" t="str">
            <v>Accounts Payable</v>
          </cell>
          <cell r="E21">
            <v>23113</v>
          </cell>
          <cell r="H21">
            <v>0</v>
          </cell>
          <cell r="I21">
            <v>23113</v>
          </cell>
          <cell r="J21">
            <v>23113</v>
          </cell>
        </row>
        <row r="22">
          <cell r="A22" t="str">
            <v>3053</v>
          </cell>
          <cell r="B22" t="str">
            <v>Electricity Payable 131-S</v>
          </cell>
          <cell r="C22" t="str">
            <v>Accounts Payable</v>
          </cell>
          <cell r="E22">
            <v>447502</v>
          </cell>
          <cell r="H22">
            <v>0</v>
          </cell>
          <cell r="I22">
            <v>447502</v>
          </cell>
          <cell r="J22">
            <v>447502</v>
          </cell>
        </row>
        <row r="23">
          <cell r="A23" t="str">
            <v>3054</v>
          </cell>
          <cell r="B23" t="str">
            <v>SUI Gas Payable</v>
          </cell>
          <cell r="C23" t="str">
            <v>Accounts Payable</v>
          </cell>
          <cell r="E23">
            <v>71377</v>
          </cell>
          <cell r="H23">
            <v>0</v>
          </cell>
          <cell r="I23">
            <v>71377</v>
          </cell>
          <cell r="J23">
            <v>71377</v>
          </cell>
        </row>
        <row r="24">
          <cell r="A24" t="str">
            <v>3055</v>
          </cell>
          <cell r="B24" t="str">
            <v>Telephone Payable 60-M</v>
          </cell>
          <cell r="C24" t="str">
            <v>Accounts Payable</v>
          </cell>
          <cell r="D24">
            <v>1060</v>
          </cell>
          <cell r="E24">
            <v>0</v>
          </cell>
          <cell r="G24">
            <v>1300</v>
          </cell>
          <cell r="H24">
            <v>0</v>
          </cell>
          <cell r="I24">
            <v>240</v>
          </cell>
          <cell r="J24">
            <v>240</v>
          </cell>
        </row>
        <row r="25">
          <cell r="A25" t="str">
            <v>3074</v>
          </cell>
          <cell r="B25" t="str">
            <v>PTCL Bill Payable 60-M (5675)</v>
          </cell>
          <cell r="C25" t="str">
            <v>Accounts Payable</v>
          </cell>
          <cell r="E25">
            <v>0</v>
          </cell>
          <cell r="H25">
            <v>0</v>
          </cell>
          <cell r="I25">
            <v>0</v>
          </cell>
          <cell r="J25">
            <v>0</v>
          </cell>
        </row>
        <row r="26">
          <cell r="B26" t="str">
            <v>Water expense</v>
          </cell>
          <cell r="G26">
            <v>10929</v>
          </cell>
          <cell r="H26">
            <v>0</v>
          </cell>
          <cell r="I26">
            <v>10929</v>
          </cell>
        </row>
        <row r="27">
          <cell r="A27" t="str">
            <v>3075</v>
          </cell>
          <cell r="B27" t="str">
            <v>PTCL Bill Payable 60-M (5676)</v>
          </cell>
          <cell r="C27" t="str">
            <v>Accounts Payable</v>
          </cell>
          <cell r="E27">
            <v>380</v>
          </cell>
          <cell r="H27">
            <v>0</v>
          </cell>
          <cell r="I27">
            <v>380</v>
          </cell>
          <cell r="J27">
            <v>380</v>
          </cell>
        </row>
        <row r="28">
          <cell r="E28">
            <v>551693</v>
          </cell>
          <cell r="H28">
            <v>0</v>
          </cell>
          <cell r="I28">
            <v>562862</v>
          </cell>
          <cell r="J28">
            <v>562862</v>
          </cell>
        </row>
        <row r="29">
          <cell r="J29">
            <v>0</v>
          </cell>
        </row>
        <row r="30">
          <cell r="C30" t="str">
            <v>Audit Fee</v>
          </cell>
          <cell r="E30">
            <v>0</v>
          </cell>
          <cell r="H30">
            <v>0</v>
          </cell>
          <cell r="I30">
            <v>0</v>
          </cell>
          <cell r="J30">
            <v>0</v>
          </cell>
        </row>
        <row r="31">
          <cell r="B31" t="str">
            <v>Auditors Remuneration P/B</v>
          </cell>
          <cell r="C31" t="str">
            <v>Accounts Payable</v>
          </cell>
          <cell r="E31">
            <v>0</v>
          </cell>
          <cell r="G31">
            <v>165000</v>
          </cell>
          <cell r="H31">
            <v>0</v>
          </cell>
          <cell r="I31">
            <v>165000</v>
          </cell>
          <cell r="J31">
            <v>165000</v>
          </cell>
        </row>
        <row r="32">
          <cell r="B32" t="str">
            <v>Ijarah Rent Payable</v>
          </cell>
          <cell r="C32" t="str">
            <v>Accounts Payable</v>
          </cell>
          <cell r="E32">
            <v>0</v>
          </cell>
          <cell r="G32">
            <v>202558</v>
          </cell>
          <cell r="H32">
            <v>0</v>
          </cell>
          <cell r="I32">
            <v>202558</v>
          </cell>
        </row>
        <row r="33">
          <cell r="E33">
            <v>0</v>
          </cell>
          <cell r="H33">
            <v>0</v>
          </cell>
          <cell r="I33">
            <v>165000</v>
          </cell>
          <cell r="J33">
            <v>165000</v>
          </cell>
        </row>
        <row r="34">
          <cell r="C34" t="str">
            <v>Trade Creditors</v>
          </cell>
          <cell r="J34">
            <v>0</v>
          </cell>
        </row>
        <row r="35">
          <cell r="A35" t="str">
            <v>3004</v>
          </cell>
          <cell r="B35" t="str">
            <v>International Industries Ltd</v>
          </cell>
          <cell r="C35" t="str">
            <v>Accounts Payable</v>
          </cell>
          <cell r="D35">
            <v>0</v>
          </cell>
          <cell r="E35">
            <v>44306597.369999997</v>
          </cell>
          <cell r="H35">
            <v>0</v>
          </cell>
          <cell r="I35">
            <v>44306597</v>
          </cell>
          <cell r="J35">
            <v>44306597</v>
          </cell>
        </row>
        <row r="36">
          <cell r="A36" t="str">
            <v>3007</v>
          </cell>
          <cell r="B36" t="str">
            <v>Briter Chemicals Co.</v>
          </cell>
          <cell r="C36" t="str">
            <v>Accounts Payable</v>
          </cell>
          <cell r="D36">
            <v>0</v>
          </cell>
          <cell r="E36">
            <v>1250500</v>
          </cell>
          <cell r="H36">
            <v>0</v>
          </cell>
          <cell r="I36">
            <v>1250500</v>
          </cell>
          <cell r="J36">
            <v>1250500</v>
          </cell>
        </row>
        <row r="37">
          <cell r="A37" t="str">
            <v>3008</v>
          </cell>
          <cell r="B37" t="str">
            <v>New Shalimar Steel</v>
          </cell>
          <cell r="C37" t="str">
            <v>Accounts Payable</v>
          </cell>
          <cell r="D37">
            <v>0</v>
          </cell>
          <cell r="E37">
            <v>675009</v>
          </cell>
          <cell r="H37">
            <v>0</v>
          </cell>
          <cell r="I37">
            <v>675009</v>
          </cell>
          <cell r="J37">
            <v>675009</v>
          </cell>
        </row>
        <row r="38">
          <cell r="A38" t="str">
            <v>3010</v>
          </cell>
          <cell r="B38" t="str">
            <v>New Light House (Pvt) Ltd</v>
          </cell>
          <cell r="C38" t="str">
            <v>Accounts Payable</v>
          </cell>
          <cell r="D38">
            <v>0</v>
          </cell>
          <cell r="E38">
            <v>379306</v>
          </cell>
          <cell r="H38">
            <v>0</v>
          </cell>
          <cell r="I38">
            <v>379306</v>
          </cell>
          <cell r="J38">
            <v>379306</v>
          </cell>
        </row>
        <row r="39">
          <cell r="A39" t="str">
            <v>3013</v>
          </cell>
          <cell r="B39" t="str">
            <v>Technocall Entarprises</v>
          </cell>
          <cell r="C39" t="str">
            <v>Accounts Payable</v>
          </cell>
          <cell r="D39">
            <v>0</v>
          </cell>
          <cell r="E39">
            <v>61355.73</v>
          </cell>
          <cell r="H39">
            <v>0</v>
          </cell>
          <cell r="I39">
            <v>61356</v>
          </cell>
          <cell r="J39">
            <v>61356</v>
          </cell>
        </row>
        <row r="40">
          <cell r="A40" t="str">
            <v>3026</v>
          </cell>
          <cell r="B40" t="str">
            <v>Omar Industries</v>
          </cell>
          <cell r="C40" t="str">
            <v>Accounts Payable</v>
          </cell>
          <cell r="D40">
            <v>0</v>
          </cell>
          <cell r="E40">
            <v>45249</v>
          </cell>
          <cell r="H40">
            <v>0</v>
          </cell>
          <cell r="I40">
            <v>45249</v>
          </cell>
          <cell r="J40">
            <v>45249</v>
          </cell>
        </row>
        <row r="41">
          <cell r="A41" t="str">
            <v>3037</v>
          </cell>
          <cell r="B41" t="str">
            <v>Tehama Packeges</v>
          </cell>
          <cell r="C41" t="str">
            <v>Accounts Payable</v>
          </cell>
          <cell r="D41">
            <v>0</v>
          </cell>
          <cell r="E41">
            <v>58214.44</v>
          </cell>
          <cell r="H41">
            <v>0</v>
          </cell>
          <cell r="I41">
            <v>58214</v>
          </cell>
          <cell r="J41">
            <v>58214</v>
          </cell>
        </row>
        <row r="42">
          <cell r="A42" t="str">
            <v>3046</v>
          </cell>
          <cell r="B42" t="str">
            <v>M Sharif &amp; Co.</v>
          </cell>
          <cell r="C42" t="str">
            <v>Accounts Payable</v>
          </cell>
          <cell r="D42">
            <v>0</v>
          </cell>
          <cell r="E42">
            <v>39053</v>
          </cell>
          <cell r="H42">
            <v>0</v>
          </cell>
          <cell r="I42">
            <v>39053</v>
          </cell>
          <cell r="J42">
            <v>39053</v>
          </cell>
        </row>
        <row r="43">
          <cell r="A43" t="str">
            <v>3063</v>
          </cell>
          <cell r="B43" t="str">
            <v>Akbari Chemicals</v>
          </cell>
          <cell r="C43" t="str">
            <v>Accounts Payable</v>
          </cell>
          <cell r="D43">
            <v>0</v>
          </cell>
          <cell r="E43">
            <v>0</v>
          </cell>
          <cell r="H43">
            <v>0</v>
          </cell>
          <cell r="I43">
            <v>0</v>
          </cell>
          <cell r="J43">
            <v>0</v>
          </cell>
        </row>
        <row r="44">
          <cell r="A44" t="str">
            <v>3065</v>
          </cell>
          <cell r="B44" t="str">
            <v>Mushtaq Iron &amp; Steel</v>
          </cell>
          <cell r="C44" t="str">
            <v>Accounts Payable</v>
          </cell>
          <cell r="D44">
            <v>0</v>
          </cell>
          <cell r="E44">
            <v>0</v>
          </cell>
          <cell r="H44">
            <v>0</v>
          </cell>
          <cell r="I44">
            <v>0</v>
          </cell>
          <cell r="J44">
            <v>0</v>
          </cell>
        </row>
        <row r="45">
          <cell r="A45" t="str">
            <v>3066</v>
          </cell>
          <cell r="B45" t="str">
            <v>Arif Brothers</v>
          </cell>
          <cell r="C45" t="str">
            <v>Accounts Payable</v>
          </cell>
          <cell r="D45">
            <v>0</v>
          </cell>
          <cell r="E45">
            <v>0</v>
          </cell>
          <cell r="H45">
            <v>0</v>
          </cell>
          <cell r="I45">
            <v>0</v>
          </cell>
          <cell r="J45">
            <v>0</v>
          </cell>
        </row>
        <row r="46">
          <cell r="A46" t="str">
            <v>3067</v>
          </cell>
          <cell r="B46" t="str">
            <v>Omer Industries</v>
          </cell>
          <cell r="C46" t="str">
            <v>Accounts Payable</v>
          </cell>
          <cell r="D46">
            <v>0</v>
          </cell>
          <cell r="E46">
            <v>9048</v>
          </cell>
          <cell r="H46">
            <v>0</v>
          </cell>
          <cell r="I46">
            <v>9048</v>
          </cell>
          <cell r="J46">
            <v>9048</v>
          </cell>
        </row>
        <row r="47">
          <cell r="A47" t="str">
            <v>3073</v>
          </cell>
          <cell r="B47" t="str">
            <v>Mohsin Machinery Store</v>
          </cell>
          <cell r="C47" t="str">
            <v>Accounts Payable</v>
          </cell>
          <cell r="D47">
            <v>0</v>
          </cell>
          <cell r="E47">
            <v>120000</v>
          </cell>
          <cell r="H47">
            <v>0</v>
          </cell>
          <cell r="I47">
            <v>120000</v>
          </cell>
          <cell r="J47">
            <v>120000</v>
          </cell>
        </row>
        <row r="48">
          <cell r="A48" t="str">
            <v>3076</v>
          </cell>
          <cell r="B48" t="str">
            <v>A &amp; A Pipe Industries</v>
          </cell>
          <cell r="C48" t="str">
            <v>Accounts Payable</v>
          </cell>
          <cell r="D48">
            <v>0</v>
          </cell>
          <cell r="E48">
            <v>0</v>
          </cell>
          <cell r="H48">
            <v>0</v>
          </cell>
          <cell r="I48">
            <v>0</v>
          </cell>
          <cell r="J48">
            <v>0</v>
          </cell>
        </row>
        <row r="49">
          <cell r="A49" t="str">
            <v>3077</v>
          </cell>
          <cell r="B49" t="str">
            <v>Usman International</v>
          </cell>
          <cell r="C49" t="str">
            <v>Accounts Payable</v>
          </cell>
          <cell r="D49">
            <v>0</v>
          </cell>
          <cell r="E49">
            <v>10626</v>
          </cell>
          <cell r="H49">
            <v>0</v>
          </cell>
          <cell r="I49">
            <v>10626</v>
          </cell>
          <cell r="J49">
            <v>10626</v>
          </cell>
        </row>
        <row r="50">
          <cell r="A50" t="str">
            <v>3079</v>
          </cell>
          <cell r="B50" t="str">
            <v>Arif Steel Centre</v>
          </cell>
          <cell r="C50" t="str">
            <v>Accounts Payable</v>
          </cell>
          <cell r="D50">
            <v>0</v>
          </cell>
          <cell r="E50">
            <v>164076</v>
          </cell>
          <cell r="H50">
            <v>0</v>
          </cell>
          <cell r="I50">
            <v>164076</v>
          </cell>
          <cell r="J50">
            <v>164076</v>
          </cell>
        </row>
        <row r="51">
          <cell r="A51" t="str">
            <v>3084</v>
          </cell>
          <cell r="B51" t="str">
            <v>QAMAR Steel Traders</v>
          </cell>
          <cell r="C51" t="str">
            <v>Accounts Payable</v>
          </cell>
          <cell r="D51">
            <v>0</v>
          </cell>
          <cell r="E51">
            <v>518998.06</v>
          </cell>
          <cell r="H51">
            <v>0</v>
          </cell>
          <cell r="I51">
            <v>518998</v>
          </cell>
          <cell r="J51">
            <v>518998</v>
          </cell>
        </row>
        <row r="52">
          <cell r="A52" t="str">
            <v>3085</v>
          </cell>
          <cell r="B52" t="str">
            <v>Automate Pakistan</v>
          </cell>
          <cell r="C52" t="str">
            <v>Accounts Payable</v>
          </cell>
          <cell r="D52">
            <v>0</v>
          </cell>
          <cell r="E52">
            <v>141726.93</v>
          </cell>
          <cell r="H52">
            <v>0</v>
          </cell>
          <cell r="I52">
            <v>141727</v>
          </cell>
          <cell r="J52">
            <v>141727</v>
          </cell>
        </row>
        <row r="53">
          <cell r="A53" t="str">
            <v>3006</v>
          </cell>
          <cell r="B53" t="str">
            <v>Briter Engineering Co.</v>
          </cell>
          <cell r="C53" t="str">
            <v>Accounts Payable</v>
          </cell>
          <cell r="D53">
            <v>0</v>
          </cell>
          <cell r="E53">
            <v>38.08</v>
          </cell>
          <cell r="H53">
            <v>0</v>
          </cell>
          <cell r="I53">
            <v>38</v>
          </cell>
          <cell r="J53">
            <v>38</v>
          </cell>
        </row>
        <row r="54">
          <cell r="A54" t="str">
            <v>3009</v>
          </cell>
          <cell r="B54" t="str">
            <v>Shalimar Steel Re Rolling</v>
          </cell>
          <cell r="C54" t="str">
            <v>Accounts Payable</v>
          </cell>
          <cell r="D54">
            <v>0</v>
          </cell>
          <cell r="E54">
            <v>14501</v>
          </cell>
          <cell r="H54">
            <v>0</v>
          </cell>
          <cell r="I54">
            <v>14501</v>
          </cell>
          <cell r="J54">
            <v>14501</v>
          </cell>
        </row>
        <row r="55">
          <cell r="A55" t="str">
            <v>3044</v>
          </cell>
          <cell r="B55" t="str">
            <v>Total Parco</v>
          </cell>
          <cell r="C55" t="str">
            <v>Accounts Payable</v>
          </cell>
          <cell r="D55">
            <v>0</v>
          </cell>
          <cell r="E55">
            <v>49018</v>
          </cell>
          <cell r="H55">
            <v>0</v>
          </cell>
          <cell r="I55">
            <v>49018</v>
          </cell>
          <cell r="J55">
            <v>49018</v>
          </cell>
        </row>
        <row r="56">
          <cell r="A56" t="str">
            <v>3048</v>
          </cell>
          <cell r="B56" t="str">
            <v>Insha Industries</v>
          </cell>
          <cell r="C56" t="str">
            <v>Accounts Payable</v>
          </cell>
          <cell r="D56">
            <v>0</v>
          </cell>
          <cell r="E56">
            <v>216881</v>
          </cell>
          <cell r="H56">
            <v>0</v>
          </cell>
          <cell r="I56">
            <v>216881</v>
          </cell>
          <cell r="J56">
            <v>216881</v>
          </cell>
        </row>
        <row r="57">
          <cell r="J57">
            <v>0</v>
          </cell>
        </row>
        <row r="58">
          <cell r="E58">
            <v>48060197.609999999</v>
          </cell>
          <cell r="I58">
            <v>48060197</v>
          </cell>
          <cell r="J58">
            <v>48060197</v>
          </cell>
        </row>
        <row r="59">
          <cell r="J59">
            <v>0</v>
          </cell>
        </row>
        <row r="60">
          <cell r="C60" t="str">
            <v>Advance to supplier</v>
          </cell>
          <cell r="J60">
            <v>0</v>
          </cell>
        </row>
        <row r="61">
          <cell r="A61" t="str">
            <v>3028</v>
          </cell>
          <cell r="B61" t="str">
            <v>Techmen Engineering</v>
          </cell>
          <cell r="C61" t="str">
            <v>Accounts Payable</v>
          </cell>
          <cell r="D61">
            <v>55081.85</v>
          </cell>
          <cell r="E61">
            <v>0</v>
          </cell>
          <cell r="H61">
            <v>55082</v>
          </cell>
          <cell r="I61">
            <v>0</v>
          </cell>
          <cell r="J61">
            <v>55082</v>
          </cell>
        </row>
        <row r="62">
          <cell r="A62" t="str">
            <v>3005</v>
          </cell>
          <cell r="B62" t="str">
            <v>Briter Electroplating Co.</v>
          </cell>
          <cell r="C62" t="str">
            <v>Accounts Payable</v>
          </cell>
          <cell r="D62">
            <v>835590</v>
          </cell>
          <cell r="E62">
            <v>0</v>
          </cell>
          <cell r="H62">
            <v>835590</v>
          </cell>
          <cell r="I62">
            <v>0</v>
          </cell>
          <cell r="J62">
            <v>835590</v>
          </cell>
        </row>
        <row r="63">
          <cell r="A63" t="str">
            <v>3020</v>
          </cell>
          <cell r="B63" t="str">
            <v>Faisal Steel Corp.</v>
          </cell>
          <cell r="C63" t="str">
            <v>Accounts Payable</v>
          </cell>
          <cell r="D63">
            <v>1555294</v>
          </cell>
          <cell r="E63">
            <v>0</v>
          </cell>
          <cell r="H63">
            <v>1555294</v>
          </cell>
          <cell r="I63">
            <v>0</v>
          </cell>
          <cell r="J63">
            <v>1555294</v>
          </cell>
        </row>
        <row r="64">
          <cell r="A64" t="str">
            <v>3036</v>
          </cell>
          <cell r="B64" t="str">
            <v>Javaid International (Pvt) Ltd</v>
          </cell>
          <cell r="C64" t="str">
            <v>Accounts Payable</v>
          </cell>
          <cell r="D64">
            <v>113756</v>
          </cell>
          <cell r="E64">
            <v>0</v>
          </cell>
          <cell r="H64">
            <v>113756</v>
          </cell>
          <cell r="I64">
            <v>0</v>
          </cell>
          <cell r="J64">
            <v>113756</v>
          </cell>
        </row>
        <row r="65">
          <cell r="A65" t="str">
            <v>3041</v>
          </cell>
          <cell r="B65" t="str">
            <v>Salman Steel Craft</v>
          </cell>
          <cell r="C65" t="str">
            <v>Accounts Payable</v>
          </cell>
          <cell r="D65">
            <v>326955</v>
          </cell>
          <cell r="E65">
            <v>0</v>
          </cell>
          <cell r="H65">
            <v>326955</v>
          </cell>
          <cell r="I65">
            <v>0</v>
          </cell>
          <cell r="J65">
            <v>326955</v>
          </cell>
        </row>
        <row r="66">
          <cell r="D66">
            <v>2886676.85</v>
          </cell>
          <cell r="H66">
            <v>2886677</v>
          </cell>
          <cell r="J66">
            <v>2886677</v>
          </cell>
        </row>
        <row r="67">
          <cell r="J67">
            <v>0</v>
          </cell>
        </row>
        <row r="68">
          <cell r="C68" t="str">
            <v>Sale Tax refund</v>
          </cell>
          <cell r="J68">
            <v>0</v>
          </cell>
        </row>
        <row r="69">
          <cell r="A69" t="str">
            <v>3039</v>
          </cell>
          <cell r="B69" t="str">
            <v>Sales Tax</v>
          </cell>
          <cell r="C69" t="str">
            <v>Refundable</v>
          </cell>
          <cell r="D69">
            <v>0</v>
          </cell>
          <cell r="E69">
            <v>36090.19</v>
          </cell>
          <cell r="F69">
            <v>96942</v>
          </cell>
          <cell r="H69">
            <v>60852</v>
          </cell>
          <cell r="I69">
            <v>0</v>
          </cell>
          <cell r="J69">
            <v>60852</v>
          </cell>
          <cell r="K69">
            <v>9028</v>
          </cell>
          <cell r="L69">
            <v>4675</v>
          </cell>
        </row>
        <row r="70">
          <cell r="J70">
            <v>0</v>
          </cell>
          <cell r="K70">
            <v>1534.76</v>
          </cell>
          <cell r="L70">
            <v>10671.75</v>
          </cell>
        </row>
        <row r="71">
          <cell r="E71">
            <v>36090.19</v>
          </cell>
          <cell r="H71">
            <v>60852</v>
          </cell>
          <cell r="I71">
            <v>0</v>
          </cell>
          <cell r="J71">
            <v>60852</v>
          </cell>
        </row>
        <row r="72">
          <cell r="C72" t="str">
            <v>Sales Tax With Held payable</v>
          </cell>
          <cell r="J72">
            <v>0</v>
          </cell>
        </row>
        <row r="73">
          <cell r="J73">
            <v>0</v>
          </cell>
        </row>
        <row r="74">
          <cell r="A74" t="str">
            <v>3131</v>
          </cell>
          <cell r="B74" t="str">
            <v>Tax Akram &amp; Sons.</v>
          </cell>
          <cell r="C74" t="str">
            <v>Other Current Liabilities</v>
          </cell>
          <cell r="D74">
            <v>0</v>
          </cell>
          <cell r="E74">
            <v>622</v>
          </cell>
          <cell r="H74">
            <v>0</v>
          </cell>
          <cell r="I74">
            <v>622</v>
          </cell>
          <cell r="J74">
            <v>622</v>
          </cell>
        </row>
        <row r="75">
          <cell r="A75" t="str">
            <v>3134</v>
          </cell>
          <cell r="B75" t="str">
            <v>Tax Automate pakistan</v>
          </cell>
          <cell r="C75" t="str">
            <v>Other Current Liabilities</v>
          </cell>
          <cell r="D75">
            <v>0</v>
          </cell>
          <cell r="E75">
            <v>111738</v>
          </cell>
          <cell r="H75">
            <v>0</v>
          </cell>
          <cell r="I75">
            <v>111738</v>
          </cell>
          <cell r="J75">
            <v>111738</v>
          </cell>
        </row>
        <row r="76">
          <cell r="A76" t="str">
            <v>3104</v>
          </cell>
          <cell r="B76" t="str">
            <v>Tax Tehama Packeges</v>
          </cell>
          <cell r="C76" t="str">
            <v>Other Current Liabilities</v>
          </cell>
          <cell r="E76">
            <v>82.43</v>
          </cell>
          <cell r="H76">
            <v>0</v>
          </cell>
          <cell r="I76">
            <v>82</v>
          </cell>
          <cell r="J76">
            <v>82</v>
          </cell>
        </row>
        <row r="77">
          <cell r="A77" t="str">
            <v>3103</v>
          </cell>
          <cell r="B77" t="str">
            <v>Tax Techmen Engg</v>
          </cell>
          <cell r="C77" t="str">
            <v>Other Current Liabilities</v>
          </cell>
          <cell r="D77">
            <v>0</v>
          </cell>
          <cell r="E77">
            <v>19412.740000000002</v>
          </cell>
          <cell r="H77">
            <v>0</v>
          </cell>
          <cell r="I77">
            <v>19413</v>
          </cell>
          <cell r="J77">
            <v>19413</v>
          </cell>
        </row>
        <row r="78">
          <cell r="A78" t="str">
            <v>5224</v>
          </cell>
          <cell r="B78" t="str">
            <v>S.T.W.H AHL</v>
          </cell>
          <cell r="C78" t="str">
            <v>Other Current Liabilities</v>
          </cell>
          <cell r="D78">
            <v>0</v>
          </cell>
          <cell r="E78">
            <v>262400.07</v>
          </cell>
          <cell r="F78">
            <v>262400</v>
          </cell>
          <cell r="H78">
            <v>0</v>
          </cell>
          <cell r="I78">
            <v>0</v>
          </cell>
          <cell r="J78">
            <v>0</v>
          </cell>
        </row>
        <row r="79">
          <cell r="A79" t="str">
            <v>5225</v>
          </cell>
          <cell r="B79" t="str">
            <v>S.T.W.H PQM</v>
          </cell>
          <cell r="C79" t="str">
            <v>Other Current Liabilities</v>
          </cell>
          <cell r="D79">
            <v>0</v>
          </cell>
          <cell r="E79">
            <v>9509</v>
          </cell>
          <cell r="F79">
            <v>9509</v>
          </cell>
          <cell r="H79">
            <v>0</v>
          </cell>
          <cell r="I79">
            <v>0</v>
          </cell>
          <cell r="J79">
            <v>0</v>
          </cell>
        </row>
        <row r="80">
          <cell r="A80" t="str">
            <v>5236</v>
          </cell>
          <cell r="B80" t="str">
            <v>S.T.W.H Tehama Packages</v>
          </cell>
          <cell r="C80" t="str">
            <v>Other Current Liabilities</v>
          </cell>
          <cell r="D80">
            <v>0</v>
          </cell>
          <cell r="E80">
            <v>3452.23</v>
          </cell>
          <cell r="F80">
            <v>3452</v>
          </cell>
          <cell r="H80">
            <v>0</v>
          </cell>
          <cell r="I80">
            <v>0</v>
          </cell>
          <cell r="J80">
            <v>0</v>
          </cell>
        </row>
        <row r="81">
          <cell r="A81" t="str">
            <v>5237</v>
          </cell>
          <cell r="B81" t="str">
            <v>S.T.W.H Technocall</v>
          </cell>
          <cell r="C81" t="str">
            <v>Other Current Liabilities</v>
          </cell>
          <cell r="D81">
            <v>0</v>
          </cell>
          <cell r="E81">
            <v>1235.3900000000001</v>
          </cell>
          <cell r="F81">
            <v>1235</v>
          </cell>
          <cell r="H81">
            <v>0</v>
          </cell>
          <cell r="I81">
            <v>0</v>
          </cell>
          <cell r="J81">
            <v>0</v>
          </cell>
        </row>
        <row r="82">
          <cell r="A82" t="str">
            <v>5238</v>
          </cell>
          <cell r="B82" t="str">
            <v>S.T.W.H Techmen</v>
          </cell>
          <cell r="C82" t="str">
            <v>Other Current Liabilities</v>
          </cell>
          <cell r="D82">
            <v>0</v>
          </cell>
          <cell r="E82">
            <v>22519.97</v>
          </cell>
          <cell r="F82">
            <v>22520</v>
          </cell>
          <cell r="H82">
            <v>0</v>
          </cell>
          <cell r="I82">
            <v>0</v>
          </cell>
          <cell r="J82">
            <v>0</v>
          </cell>
        </row>
        <row r="83">
          <cell r="A83" t="str">
            <v>5239</v>
          </cell>
          <cell r="B83" t="str">
            <v>S.T.W.H. Omar Industries</v>
          </cell>
          <cell r="C83" t="str">
            <v>Other Current Liabilities</v>
          </cell>
          <cell r="D83">
            <v>0</v>
          </cell>
          <cell r="E83">
            <v>1335</v>
          </cell>
          <cell r="F83">
            <v>1335</v>
          </cell>
          <cell r="H83">
            <v>0</v>
          </cell>
          <cell r="I83">
            <v>0</v>
          </cell>
          <cell r="J83">
            <v>0</v>
          </cell>
        </row>
        <row r="84">
          <cell r="A84" t="str">
            <v>5240</v>
          </cell>
          <cell r="B84" t="str">
            <v>S.T.W.H New Light Hous</v>
          </cell>
          <cell r="C84" t="str">
            <v>Other Current Liabilities</v>
          </cell>
          <cell r="D84">
            <v>0</v>
          </cell>
          <cell r="E84">
            <v>2485</v>
          </cell>
          <cell r="F84">
            <v>2485</v>
          </cell>
          <cell r="H84">
            <v>0</v>
          </cell>
          <cell r="I84">
            <v>0</v>
          </cell>
          <cell r="J84">
            <v>0</v>
          </cell>
        </row>
        <row r="85">
          <cell r="E85">
            <v>434791.83</v>
          </cell>
          <cell r="I85">
            <v>131855</v>
          </cell>
          <cell r="J85">
            <v>131855</v>
          </cell>
        </row>
        <row r="86">
          <cell r="C86" t="str">
            <v>Salary Tax Payable</v>
          </cell>
          <cell r="J86">
            <v>0</v>
          </cell>
        </row>
        <row r="87">
          <cell r="J87">
            <v>0</v>
          </cell>
        </row>
        <row r="88">
          <cell r="A88" t="str">
            <v>3102</v>
          </cell>
          <cell r="B88" t="str">
            <v>Salary Tax Payable</v>
          </cell>
          <cell r="D88">
            <v>0</v>
          </cell>
          <cell r="E88">
            <v>5382</v>
          </cell>
          <cell r="H88">
            <v>0</v>
          </cell>
          <cell r="I88">
            <v>5382</v>
          </cell>
          <cell r="J88">
            <v>5382</v>
          </cell>
        </row>
        <row r="89">
          <cell r="E89">
            <v>5382</v>
          </cell>
          <cell r="I89">
            <v>5382</v>
          </cell>
          <cell r="J89">
            <v>5382</v>
          </cell>
        </row>
        <row r="90">
          <cell r="C90" t="str">
            <v>Advance Tax Deducted (Asset)</v>
          </cell>
          <cell r="J90">
            <v>0</v>
          </cell>
        </row>
        <row r="91">
          <cell r="A91" t="str">
            <v>5221</v>
          </cell>
          <cell r="B91" t="str">
            <v>Tax Deducted AHL</v>
          </cell>
          <cell r="C91" t="str">
            <v>Other Current Assets</v>
          </cell>
          <cell r="D91">
            <v>5066122</v>
          </cell>
          <cell r="E91">
            <v>0</v>
          </cell>
          <cell r="F91">
            <v>48807</v>
          </cell>
          <cell r="H91">
            <v>5114929</v>
          </cell>
          <cell r="I91">
            <v>0</v>
          </cell>
          <cell r="J91">
            <v>5114929</v>
          </cell>
        </row>
        <row r="92">
          <cell r="A92" t="str">
            <v>5222</v>
          </cell>
          <cell r="B92" t="str">
            <v>Tax Deducted Metro</v>
          </cell>
          <cell r="C92" t="str">
            <v>Other Current Assets</v>
          </cell>
          <cell r="D92">
            <v>0</v>
          </cell>
          <cell r="E92">
            <v>0</v>
          </cell>
          <cell r="H92">
            <v>0</v>
          </cell>
          <cell r="I92">
            <v>0</v>
          </cell>
          <cell r="J92">
            <v>0</v>
          </cell>
        </row>
        <row r="93">
          <cell r="A93" t="str">
            <v>5223</v>
          </cell>
          <cell r="B93" t="str">
            <v>Tax Deducted PQM</v>
          </cell>
          <cell r="C93" t="str">
            <v>Other Current Assets</v>
          </cell>
          <cell r="D93">
            <v>24650</v>
          </cell>
          <cell r="E93">
            <v>0</v>
          </cell>
          <cell r="F93">
            <v>94071</v>
          </cell>
          <cell r="H93">
            <v>118721</v>
          </cell>
          <cell r="I93">
            <v>0</v>
          </cell>
          <cell r="J93">
            <v>118721</v>
          </cell>
        </row>
        <row r="94">
          <cell r="A94" t="str">
            <v>5233</v>
          </cell>
          <cell r="B94" t="str">
            <v>Tax Deducted AJR</v>
          </cell>
          <cell r="C94" t="str">
            <v>Other Current Assets</v>
          </cell>
          <cell r="D94">
            <v>10135</v>
          </cell>
          <cell r="E94">
            <v>0</v>
          </cell>
          <cell r="H94">
            <v>10135</v>
          </cell>
          <cell r="I94">
            <v>0</v>
          </cell>
          <cell r="J94">
            <v>10135</v>
          </cell>
        </row>
        <row r="95">
          <cell r="A95" t="str">
            <v>5241</v>
          </cell>
          <cell r="B95" t="str">
            <v>Tax ZXMCO</v>
          </cell>
          <cell r="C95" t="str">
            <v>Other Current Assets</v>
          </cell>
          <cell r="D95">
            <v>0</v>
          </cell>
          <cell r="E95">
            <v>0</v>
          </cell>
          <cell r="H95">
            <v>0</v>
          </cell>
          <cell r="I95">
            <v>0</v>
          </cell>
          <cell r="J95">
            <v>0</v>
          </cell>
        </row>
        <row r="96">
          <cell r="A96" t="str">
            <v>5242</v>
          </cell>
          <cell r="B96" t="str">
            <v>ST WH Akbari Chemicals</v>
          </cell>
          <cell r="D96">
            <v>1355</v>
          </cell>
          <cell r="G96">
            <v>1355</v>
          </cell>
          <cell r="H96">
            <v>0</v>
          </cell>
          <cell r="I96">
            <v>0</v>
          </cell>
          <cell r="J96">
            <v>0</v>
          </cell>
        </row>
        <row r="97">
          <cell r="A97" t="str">
            <v>5244</v>
          </cell>
          <cell r="B97" t="str">
            <v>ST WH Briter Chemicals</v>
          </cell>
          <cell r="D97">
            <v>39780</v>
          </cell>
          <cell r="G97">
            <v>39780</v>
          </cell>
          <cell r="H97">
            <v>0</v>
          </cell>
          <cell r="I97">
            <v>0</v>
          </cell>
          <cell r="J97">
            <v>0</v>
          </cell>
        </row>
        <row r="98">
          <cell r="A98" t="str">
            <v>5245</v>
          </cell>
          <cell r="B98" t="str">
            <v>W.H Tax MBL Akbar Chowk</v>
          </cell>
          <cell r="D98">
            <v>8460</v>
          </cell>
          <cell r="F98">
            <v>1500</v>
          </cell>
          <cell r="H98">
            <v>9960</v>
          </cell>
          <cell r="I98">
            <v>0</v>
          </cell>
          <cell r="J98">
            <v>9960</v>
          </cell>
          <cell r="K98">
            <v>0</v>
          </cell>
        </row>
        <row r="99">
          <cell r="A99" t="str">
            <v>5247</v>
          </cell>
          <cell r="B99" t="str">
            <v>S.T.W.H AJR</v>
          </cell>
          <cell r="D99">
            <v>2320</v>
          </cell>
          <cell r="G99">
            <v>2320</v>
          </cell>
          <cell r="H99">
            <v>0</v>
          </cell>
          <cell r="I99">
            <v>0</v>
          </cell>
          <cell r="J99">
            <v>0</v>
          </cell>
        </row>
        <row r="100">
          <cell r="A100" t="str">
            <v>5226</v>
          </cell>
          <cell r="B100" t="str">
            <v>I Tax Electricity</v>
          </cell>
          <cell r="C100" t="str">
            <v>Other Current Assets</v>
          </cell>
          <cell r="D100">
            <v>437652</v>
          </cell>
          <cell r="E100">
            <v>0</v>
          </cell>
          <cell r="H100">
            <v>437652</v>
          </cell>
          <cell r="I100">
            <v>0</v>
          </cell>
          <cell r="J100">
            <v>437652</v>
          </cell>
        </row>
        <row r="101">
          <cell r="A101" t="str">
            <v>5228</v>
          </cell>
          <cell r="B101" t="str">
            <v>I Tax Telephone</v>
          </cell>
          <cell r="C101" t="str">
            <v>Other Current Assets</v>
          </cell>
          <cell r="D101">
            <v>13161</v>
          </cell>
          <cell r="E101">
            <v>0</v>
          </cell>
          <cell r="H101">
            <v>13161</v>
          </cell>
          <cell r="I101">
            <v>0</v>
          </cell>
          <cell r="J101">
            <v>13161</v>
          </cell>
        </row>
        <row r="102">
          <cell r="A102" t="str">
            <v>5229</v>
          </cell>
          <cell r="B102" t="str">
            <v>W H Tax Alfalah</v>
          </cell>
          <cell r="C102" t="str">
            <v>Other Current Assets</v>
          </cell>
          <cell r="D102">
            <v>0</v>
          </cell>
          <cell r="E102">
            <v>0</v>
          </cell>
          <cell r="H102">
            <v>0</v>
          </cell>
          <cell r="I102">
            <v>0</v>
          </cell>
          <cell r="J102">
            <v>0</v>
          </cell>
        </row>
        <row r="103">
          <cell r="A103" t="str">
            <v>5230</v>
          </cell>
          <cell r="B103" t="str">
            <v>W.H Tax Meezan</v>
          </cell>
          <cell r="C103" t="str">
            <v>Other Current Assets</v>
          </cell>
          <cell r="D103">
            <v>35530.35</v>
          </cell>
          <cell r="E103">
            <v>0</v>
          </cell>
          <cell r="G103">
            <v>6140</v>
          </cell>
          <cell r="H103">
            <v>29390</v>
          </cell>
          <cell r="I103">
            <v>0</v>
          </cell>
          <cell r="J103">
            <v>29390</v>
          </cell>
          <cell r="K103">
            <v>39350</v>
          </cell>
          <cell r="L103">
            <v>-6140.35</v>
          </cell>
        </row>
        <row r="104">
          <cell r="A104" t="str">
            <v>5231</v>
          </cell>
          <cell r="B104" t="str">
            <v>W.H Tax Askari</v>
          </cell>
          <cell r="C104" t="str">
            <v>Other Current Assets</v>
          </cell>
          <cell r="D104">
            <v>3172.2</v>
          </cell>
          <cell r="E104">
            <v>0</v>
          </cell>
          <cell r="F104">
            <v>2514</v>
          </cell>
          <cell r="H104">
            <v>5686</v>
          </cell>
          <cell r="I104">
            <v>0</v>
          </cell>
          <cell r="J104">
            <v>5686</v>
          </cell>
          <cell r="K104">
            <v>-2513</v>
          </cell>
          <cell r="L104">
            <v>100</v>
          </cell>
        </row>
        <row r="105">
          <cell r="A105" t="str">
            <v>5232</v>
          </cell>
          <cell r="B105" t="str">
            <v>W.H Tax Silk Bank</v>
          </cell>
          <cell r="C105" t="str">
            <v>Other Current Assets</v>
          </cell>
          <cell r="D105">
            <v>0</v>
          </cell>
          <cell r="E105">
            <v>0</v>
          </cell>
          <cell r="H105">
            <v>0</v>
          </cell>
          <cell r="I105">
            <v>0</v>
          </cell>
          <cell r="J105">
            <v>0</v>
          </cell>
          <cell r="K105">
            <v>45036</v>
          </cell>
        </row>
        <row r="106">
          <cell r="A106" t="str">
            <v>3129</v>
          </cell>
          <cell r="B106" t="str">
            <v>S.T.W.H Automate</v>
          </cell>
          <cell r="D106">
            <v>139709</v>
          </cell>
          <cell r="E106">
            <v>0</v>
          </cell>
          <cell r="G106">
            <v>139709</v>
          </cell>
          <cell r="H106">
            <v>0</v>
          </cell>
          <cell r="I106">
            <v>0</v>
          </cell>
          <cell r="J106">
            <v>0</v>
          </cell>
        </row>
        <row r="107">
          <cell r="A107" t="str">
            <v>3105</v>
          </cell>
          <cell r="B107" t="str">
            <v>Tax Omar Indusrties</v>
          </cell>
          <cell r="D107">
            <v>365</v>
          </cell>
          <cell r="H107">
            <v>365</v>
          </cell>
          <cell r="I107">
            <v>0</v>
          </cell>
          <cell r="J107">
            <v>365</v>
          </cell>
        </row>
        <row r="108">
          <cell r="A108" t="str">
            <v>3106</v>
          </cell>
          <cell r="B108" t="str">
            <v>Tax Technocall</v>
          </cell>
          <cell r="C108" t="str">
            <v>Other Current Liabilities</v>
          </cell>
          <cell r="D108">
            <v>1666.61</v>
          </cell>
          <cell r="E108">
            <v>0</v>
          </cell>
          <cell r="H108">
            <v>1667</v>
          </cell>
          <cell r="I108">
            <v>0</v>
          </cell>
          <cell r="J108">
            <v>1667</v>
          </cell>
        </row>
        <row r="109">
          <cell r="D109">
            <v>5784078.1600000001</v>
          </cell>
          <cell r="H109">
            <v>5741666</v>
          </cell>
          <cell r="J109">
            <v>5741666</v>
          </cell>
        </row>
        <row r="110">
          <cell r="J110">
            <v>0</v>
          </cell>
        </row>
        <row r="111">
          <cell r="C111" t="str">
            <v>Long Term Loan</v>
          </cell>
          <cell r="J111">
            <v>0</v>
          </cell>
        </row>
        <row r="112">
          <cell r="A112" t="str">
            <v>3109</v>
          </cell>
          <cell r="B112" t="str">
            <v>Director's Loan</v>
          </cell>
          <cell r="C112" t="str">
            <v>Other Current Liabilities</v>
          </cell>
          <cell r="D112">
            <v>0</v>
          </cell>
          <cell r="E112">
            <v>19271207</v>
          </cell>
          <cell r="G112">
            <v>88898</v>
          </cell>
          <cell r="H112">
            <v>0</v>
          </cell>
          <cell r="I112">
            <v>19360105</v>
          </cell>
          <cell r="J112">
            <v>19360105</v>
          </cell>
        </row>
        <row r="113">
          <cell r="A113" t="str">
            <v>3130</v>
          </cell>
          <cell r="B113" t="str">
            <v>CAR IJARAH</v>
          </cell>
          <cell r="D113">
            <v>0</v>
          </cell>
          <cell r="E113">
            <v>3500000</v>
          </cell>
          <cell r="F113">
            <v>3500000</v>
          </cell>
          <cell r="H113">
            <v>0</v>
          </cell>
          <cell r="I113">
            <v>0</v>
          </cell>
          <cell r="J113">
            <v>0</v>
          </cell>
        </row>
        <row r="114">
          <cell r="D114">
            <v>0</v>
          </cell>
          <cell r="E114">
            <v>22771207</v>
          </cell>
          <cell r="H114">
            <v>0</v>
          </cell>
          <cell r="I114">
            <v>19360105</v>
          </cell>
          <cell r="J114">
            <v>19360105</v>
          </cell>
        </row>
        <row r="115">
          <cell r="J115">
            <v>0</v>
          </cell>
        </row>
        <row r="116">
          <cell r="C116" t="str">
            <v>Expenses Payable</v>
          </cell>
          <cell r="D116">
            <v>0</v>
          </cell>
          <cell r="E116">
            <v>0</v>
          </cell>
          <cell r="H116">
            <v>0</v>
          </cell>
          <cell r="I116">
            <v>0</v>
          </cell>
          <cell r="J116">
            <v>0</v>
          </cell>
        </row>
        <row r="117">
          <cell r="A117" t="str">
            <v>3117</v>
          </cell>
          <cell r="B117" t="str">
            <v>Deffered Taxation</v>
          </cell>
          <cell r="C117" t="str">
            <v>Other Current Liabilities</v>
          </cell>
          <cell r="D117">
            <v>0</v>
          </cell>
          <cell r="E117">
            <v>803623</v>
          </cell>
          <cell r="G117">
            <v>659215</v>
          </cell>
          <cell r="H117">
            <v>0</v>
          </cell>
          <cell r="I117">
            <v>1462838</v>
          </cell>
          <cell r="J117">
            <v>1462838</v>
          </cell>
        </row>
        <row r="118">
          <cell r="A118" t="str">
            <v>3119</v>
          </cell>
          <cell r="B118" t="str">
            <v>Workers Welfare Fund</v>
          </cell>
          <cell r="C118" t="str">
            <v>Other Current Liabilities</v>
          </cell>
          <cell r="D118">
            <v>0</v>
          </cell>
          <cell r="E118">
            <v>337244</v>
          </cell>
          <cell r="F118">
            <v>337244</v>
          </cell>
          <cell r="G118">
            <v>179481.56</v>
          </cell>
          <cell r="H118">
            <v>0</v>
          </cell>
          <cell r="I118">
            <v>179482</v>
          </cell>
          <cell r="J118">
            <v>179482</v>
          </cell>
        </row>
        <row r="119">
          <cell r="A119" t="str">
            <v>3123</v>
          </cell>
          <cell r="B119" t="str">
            <v>Workers WPPF Payable</v>
          </cell>
          <cell r="C119" t="str">
            <v>Other Current Liabilities</v>
          </cell>
          <cell r="D119">
            <v>0</v>
          </cell>
          <cell r="E119">
            <v>902819</v>
          </cell>
          <cell r="F119">
            <v>902819</v>
          </cell>
          <cell r="G119">
            <v>419896</v>
          </cell>
          <cell r="H119">
            <v>0</v>
          </cell>
          <cell r="I119">
            <v>419896</v>
          </cell>
          <cell r="J119">
            <v>419896</v>
          </cell>
        </row>
        <row r="120">
          <cell r="A120" t="str">
            <v>3125</v>
          </cell>
          <cell r="B120" t="str">
            <v>Staff Gratuity</v>
          </cell>
          <cell r="C120" t="str">
            <v>Accounts Payable</v>
          </cell>
          <cell r="D120">
            <v>0</v>
          </cell>
          <cell r="E120">
            <v>1504400</v>
          </cell>
          <cell r="G120">
            <v>1194014</v>
          </cell>
          <cell r="H120">
            <v>0</v>
          </cell>
          <cell r="I120">
            <v>2698414</v>
          </cell>
          <cell r="J120">
            <v>2698414</v>
          </cell>
        </row>
        <row r="121">
          <cell r="D121">
            <v>0</v>
          </cell>
          <cell r="E121">
            <v>3548086</v>
          </cell>
          <cell r="H121">
            <v>0</v>
          </cell>
          <cell r="I121">
            <v>4760630</v>
          </cell>
          <cell r="J121">
            <v>4760630</v>
          </cell>
        </row>
        <row r="122">
          <cell r="J122">
            <v>0</v>
          </cell>
        </row>
        <row r="123">
          <cell r="C123" t="str">
            <v>Overdraft</v>
          </cell>
          <cell r="J123">
            <v>0</v>
          </cell>
        </row>
        <row r="124">
          <cell r="A124" t="str">
            <v>3126</v>
          </cell>
          <cell r="B124" t="str">
            <v>Meezan Murabaha Account</v>
          </cell>
          <cell r="C124" t="str">
            <v>Other Current Liabilities</v>
          </cell>
          <cell r="D124">
            <v>0</v>
          </cell>
          <cell r="E124">
            <v>24885757.199999999</v>
          </cell>
          <cell r="G124">
            <v>29610</v>
          </cell>
          <cell r="H124">
            <v>0</v>
          </cell>
          <cell r="I124">
            <v>24915367</v>
          </cell>
          <cell r="J124">
            <v>24915367</v>
          </cell>
        </row>
        <row r="125">
          <cell r="D125">
            <v>0</v>
          </cell>
          <cell r="E125">
            <v>24885757.199999999</v>
          </cell>
          <cell r="H125">
            <v>0</v>
          </cell>
          <cell r="I125">
            <v>24915367</v>
          </cell>
          <cell r="J125">
            <v>24915367</v>
          </cell>
          <cell r="K125">
            <v>0</v>
          </cell>
        </row>
        <row r="126">
          <cell r="C126" t="str">
            <v>Fixed assets</v>
          </cell>
          <cell r="J126">
            <v>0</v>
          </cell>
        </row>
        <row r="127">
          <cell r="A127" t="str">
            <v>4000</v>
          </cell>
          <cell r="B127" t="str">
            <v>Cost of Land</v>
          </cell>
          <cell r="C127" t="str">
            <v>Fixed Assets</v>
          </cell>
          <cell r="D127">
            <v>75870000</v>
          </cell>
          <cell r="E127">
            <v>0</v>
          </cell>
          <cell r="H127">
            <v>75870000</v>
          </cell>
          <cell r="I127">
            <v>0</v>
          </cell>
          <cell r="J127">
            <v>75870000</v>
          </cell>
        </row>
        <row r="128">
          <cell r="A128" t="str">
            <v>4001</v>
          </cell>
          <cell r="B128" t="str">
            <v>Cost of Building</v>
          </cell>
          <cell r="C128" t="str">
            <v>Fixed Assets</v>
          </cell>
          <cell r="D128">
            <v>2377086</v>
          </cell>
          <cell r="E128">
            <v>0</v>
          </cell>
          <cell r="H128">
            <v>2377086</v>
          </cell>
          <cell r="I128">
            <v>0</v>
          </cell>
          <cell r="J128">
            <v>2377086</v>
          </cell>
        </row>
        <row r="129">
          <cell r="A129" t="str">
            <v>4003</v>
          </cell>
          <cell r="B129" t="str">
            <v>Cost of Plant &amp; Machinery</v>
          </cell>
          <cell r="C129" t="str">
            <v>Fixed Assets</v>
          </cell>
          <cell r="D129">
            <v>9332216</v>
          </cell>
          <cell r="E129">
            <v>0</v>
          </cell>
          <cell r="F129">
            <v>200000</v>
          </cell>
          <cell r="H129">
            <v>9532216</v>
          </cell>
          <cell r="I129">
            <v>0</v>
          </cell>
          <cell r="J129">
            <v>9532216</v>
          </cell>
        </row>
        <row r="130">
          <cell r="A130" t="str">
            <v>4005</v>
          </cell>
          <cell r="B130" t="str">
            <v>Cost of  Furniture &amp; fix.</v>
          </cell>
          <cell r="C130" t="str">
            <v>Fixed Assets</v>
          </cell>
          <cell r="D130">
            <v>812261</v>
          </cell>
          <cell r="E130">
            <v>0</v>
          </cell>
          <cell r="H130">
            <v>812261</v>
          </cell>
          <cell r="I130">
            <v>0</v>
          </cell>
          <cell r="J130">
            <v>812261</v>
          </cell>
        </row>
        <row r="131">
          <cell r="A131" t="str">
            <v>4007</v>
          </cell>
          <cell r="B131" t="str">
            <v>Cost of Vehicles</v>
          </cell>
          <cell r="C131" t="str">
            <v>Fixed Assets</v>
          </cell>
          <cell r="D131">
            <v>4469720</v>
          </cell>
          <cell r="E131">
            <v>0</v>
          </cell>
          <cell r="H131">
            <v>4469720</v>
          </cell>
          <cell r="I131">
            <v>0</v>
          </cell>
          <cell r="J131">
            <v>4469720</v>
          </cell>
        </row>
        <row r="132">
          <cell r="A132" t="str">
            <v>4009</v>
          </cell>
          <cell r="B132" t="str">
            <v>Generator</v>
          </cell>
          <cell r="C132" t="str">
            <v>Fixed Assets</v>
          </cell>
          <cell r="D132">
            <v>1255000</v>
          </cell>
          <cell r="E132">
            <v>0</v>
          </cell>
          <cell r="H132">
            <v>1255000</v>
          </cell>
          <cell r="I132">
            <v>0</v>
          </cell>
          <cell r="J132">
            <v>1255000</v>
          </cell>
        </row>
        <row r="133">
          <cell r="A133" t="str">
            <v>4011</v>
          </cell>
          <cell r="B133" t="str">
            <v>Cost of Office Equipment</v>
          </cell>
          <cell r="C133" t="str">
            <v>Fixed Assets</v>
          </cell>
          <cell r="D133">
            <v>529845</v>
          </cell>
          <cell r="E133">
            <v>0</v>
          </cell>
          <cell r="H133">
            <v>529845</v>
          </cell>
          <cell r="I133">
            <v>0</v>
          </cell>
          <cell r="J133">
            <v>529845</v>
          </cell>
        </row>
        <row r="134">
          <cell r="A134" t="str">
            <v>4013</v>
          </cell>
          <cell r="B134" t="str">
            <v>Cost of Computers</v>
          </cell>
          <cell r="C134" t="str">
            <v>Fixed Assets</v>
          </cell>
          <cell r="D134">
            <v>37500</v>
          </cell>
          <cell r="E134">
            <v>0</v>
          </cell>
          <cell r="H134">
            <v>37500</v>
          </cell>
          <cell r="I134">
            <v>0</v>
          </cell>
          <cell r="J134">
            <v>37500</v>
          </cell>
        </row>
        <row r="135">
          <cell r="A135" t="str">
            <v>4022</v>
          </cell>
          <cell r="B135" t="str">
            <v>Vehicle under Ijara</v>
          </cell>
          <cell r="D135">
            <v>12000000</v>
          </cell>
          <cell r="E135">
            <v>0</v>
          </cell>
          <cell r="G135">
            <v>12000000</v>
          </cell>
          <cell r="H135">
            <v>0</v>
          </cell>
          <cell r="I135">
            <v>0</v>
          </cell>
          <cell r="J135">
            <v>0</v>
          </cell>
        </row>
        <row r="136">
          <cell r="D136">
            <v>106683628</v>
          </cell>
          <cell r="H136">
            <v>94883628</v>
          </cell>
          <cell r="J136">
            <v>94883628</v>
          </cell>
        </row>
        <row r="137">
          <cell r="J137">
            <v>0</v>
          </cell>
        </row>
        <row r="138">
          <cell r="B138" t="str">
            <v>Capital Work in Proess</v>
          </cell>
          <cell r="D138">
            <v>458000</v>
          </cell>
          <cell r="F138">
            <v>504000</v>
          </cell>
          <cell r="H138">
            <v>962000</v>
          </cell>
        </row>
        <row r="139">
          <cell r="H139">
            <v>962000</v>
          </cell>
        </row>
        <row r="140">
          <cell r="C140" t="str">
            <v>Long Term Deposits</v>
          </cell>
          <cell r="J140">
            <v>0</v>
          </cell>
        </row>
        <row r="141">
          <cell r="A141" t="str">
            <v>3128</v>
          </cell>
          <cell r="B141" t="str">
            <v>Advance Against Vehicle</v>
          </cell>
          <cell r="C141" t="str">
            <v>Other Current Assets</v>
          </cell>
          <cell r="D141">
            <v>1400000</v>
          </cell>
          <cell r="E141">
            <v>0</v>
          </cell>
          <cell r="H141">
            <v>1400000</v>
          </cell>
          <cell r="I141">
            <v>0</v>
          </cell>
          <cell r="J141">
            <v>1400000</v>
          </cell>
        </row>
        <row r="142">
          <cell r="A142" t="str">
            <v>5210</v>
          </cell>
          <cell r="B142" t="str">
            <v>Security Deposit</v>
          </cell>
          <cell r="C142" t="str">
            <v>Other Current Assets</v>
          </cell>
          <cell r="D142">
            <v>1754526</v>
          </cell>
          <cell r="E142">
            <v>0</v>
          </cell>
          <cell r="H142">
            <v>1754526</v>
          </cell>
          <cell r="I142">
            <v>0</v>
          </cell>
          <cell r="J142">
            <v>1754526</v>
          </cell>
        </row>
        <row r="143">
          <cell r="B143" t="str">
            <v>Security Deposit (car Ijarah)</v>
          </cell>
          <cell r="F143">
            <v>6960000</v>
          </cell>
          <cell r="H143">
            <v>6960000</v>
          </cell>
          <cell r="I143">
            <v>0</v>
          </cell>
          <cell r="J143">
            <v>6960000</v>
          </cell>
        </row>
        <row r="144">
          <cell r="J144">
            <v>0</v>
          </cell>
        </row>
        <row r="145">
          <cell r="D145">
            <v>3154526</v>
          </cell>
          <cell r="E145">
            <v>0</v>
          </cell>
          <cell r="H145">
            <v>10114526</v>
          </cell>
          <cell r="I145">
            <v>0</v>
          </cell>
          <cell r="J145">
            <v>10114526</v>
          </cell>
        </row>
        <row r="146">
          <cell r="J146">
            <v>0</v>
          </cell>
        </row>
        <row r="147">
          <cell r="C147" t="str">
            <v>Accumulated Depreciation</v>
          </cell>
          <cell r="J147">
            <v>0</v>
          </cell>
        </row>
        <row r="148">
          <cell r="A148" t="str">
            <v>4002</v>
          </cell>
          <cell r="B148" t="str">
            <v>Acc. Dep. Building</v>
          </cell>
          <cell r="C148" t="str">
            <v>Accumulated Depreciation</v>
          </cell>
          <cell r="D148">
            <v>0</v>
          </cell>
          <cell r="E148">
            <v>799364</v>
          </cell>
          <cell r="G148">
            <v>78886</v>
          </cell>
          <cell r="H148">
            <v>0</v>
          </cell>
          <cell r="I148">
            <v>878250</v>
          </cell>
          <cell r="J148">
            <v>878250</v>
          </cell>
        </row>
        <row r="149">
          <cell r="A149" t="str">
            <v>4004</v>
          </cell>
          <cell r="B149" t="str">
            <v>Acc. Dep. Plant &amp; Machinery</v>
          </cell>
          <cell r="C149" t="str">
            <v>Accumulated Depreciation</v>
          </cell>
          <cell r="D149">
            <v>0</v>
          </cell>
          <cell r="E149">
            <v>2264111</v>
          </cell>
          <cell r="G149">
            <v>691811</v>
          </cell>
          <cell r="H149">
            <v>0</v>
          </cell>
          <cell r="I149">
            <v>2955922</v>
          </cell>
          <cell r="J149">
            <v>2955922</v>
          </cell>
        </row>
        <row r="150">
          <cell r="A150" t="str">
            <v>4006</v>
          </cell>
          <cell r="B150" t="str">
            <v>Acc. Dep. Furniture &amp; Fix</v>
          </cell>
          <cell r="C150" t="str">
            <v>Accumulated Depreciation</v>
          </cell>
          <cell r="D150">
            <v>0</v>
          </cell>
          <cell r="E150">
            <v>228770</v>
          </cell>
          <cell r="G150">
            <v>58349</v>
          </cell>
          <cell r="H150">
            <v>0</v>
          </cell>
          <cell r="I150">
            <v>287119</v>
          </cell>
          <cell r="J150">
            <v>287119</v>
          </cell>
        </row>
        <row r="151">
          <cell r="A151" t="str">
            <v>4008</v>
          </cell>
          <cell r="B151" t="str">
            <v>Acc. Dep. Vehicle</v>
          </cell>
          <cell r="C151" t="str">
            <v>Accumulated Depreciation</v>
          </cell>
          <cell r="D151">
            <v>0</v>
          </cell>
          <cell r="E151">
            <v>530887</v>
          </cell>
          <cell r="G151">
            <v>302133</v>
          </cell>
          <cell r="H151">
            <v>0</v>
          </cell>
          <cell r="I151">
            <v>833020</v>
          </cell>
          <cell r="J151">
            <v>833020</v>
          </cell>
        </row>
        <row r="152">
          <cell r="A152" t="str">
            <v>4010</v>
          </cell>
          <cell r="B152" t="str">
            <v>Acc. Dep. Generator</v>
          </cell>
          <cell r="C152" t="str">
            <v>Accumulated Depreciation</v>
          </cell>
          <cell r="D152">
            <v>0</v>
          </cell>
          <cell r="E152">
            <v>588042</v>
          </cell>
          <cell r="G152">
            <v>205446</v>
          </cell>
          <cell r="H152">
            <v>0</v>
          </cell>
          <cell r="I152">
            <v>793488</v>
          </cell>
          <cell r="J152">
            <v>793488</v>
          </cell>
        </row>
        <row r="153">
          <cell r="A153" t="str">
            <v>4012</v>
          </cell>
          <cell r="B153" t="str">
            <v>Acc. Dep. Office Equipment</v>
          </cell>
          <cell r="C153" t="str">
            <v>Accumulated Depreciation</v>
          </cell>
          <cell r="D153">
            <v>0</v>
          </cell>
          <cell r="E153">
            <v>122908</v>
          </cell>
          <cell r="G153">
            <v>40694</v>
          </cell>
          <cell r="H153">
            <v>0</v>
          </cell>
          <cell r="I153">
            <v>163602</v>
          </cell>
          <cell r="J153">
            <v>163602</v>
          </cell>
        </row>
        <row r="154">
          <cell r="A154" t="str">
            <v>4014</v>
          </cell>
          <cell r="B154" t="str">
            <v>Acc. Dep. Computers</v>
          </cell>
          <cell r="C154" t="str">
            <v>Accumulated Depreciation</v>
          </cell>
          <cell r="D154">
            <v>0</v>
          </cell>
          <cell r="E154">
            <v>20555</v>
          </cell>
          <cell r="G154">
            <v>4236</v>
          </cell>
          <cell r="H154">
            <v>0</v>
          </cell>
          <cell r="I154">
            <v>24791</v>
          </cell>
          <cell r="J154">
            <v>24791</v>
          </cell>
        </row>
        <row r="155">
          <cell r="D155">
            <v>0</v>
          </cell>
          <cell r="E155">
            <v>4554637</v>
          </cell>
          <cell r="H155">
            <v>0</v>
          </cell>
          <cell r="I155">
            <v>5936192</v>
          </cell>
          <cell r="J155">
            <v>5936192</v>
          </cell>
        </row>
        <row r="156">
          <cell r="J156">
            <v>0</v>
          </cell>
        </row>
        <row r="157">
          <cell r="A157" t="str">
            <v>4018</v>
          </cell>
          <cell r="B157" t="str">
            <v>Cost of Tools &amp; Equipment</v>
          </cell>
          <cell r="D157">
            <v>4506582</v>
          </cell>
          <cell r="E157">
            <v>0</v>
          </cell>
          <cell r="H157">
            <v>4506582</v>
          </cell>
          <cell r="I157">
            <v>0</v>
          </cell>
          <cell r="J157">
            <v>4506582</v>
          </cell>
        </row>
        <row r="158">
          <cell r="A158" t="str">
            <v>4020</v>
          </cell>
          <cell r="B158" t="str">
            <v>Cartons</v>
          </cell>
          <cell r="D158">
            <v>307200</v>
          </cell>
          <cell r="E158">
            <v>0</v>
          </cell>
          <cell r="G158">
            <v>307200</v>
          </cell>
          <cell r="H158">
            <v>0</v>
          </cell>
          <cell r="I158">
            <v>0</v>
          </cell>
          <cell r="J158">
            <v>0</v>
          </cell>
        </row>
        <row r="159">
          <cell r="D159">
            <v>4813782</v>
          </cell>
          <cell r="H159">
            <v>4506582</v>
          </cell>
          <cell r="J159">
            <v>4506582</v>
          </cell>
        </row>
        <row r="160">
          <cell r="J160">
            <v>0</v>
          </cell>
        </row>
        <row r="161">
          <cell r="C161" t="str">
            <v>Cash at Bank</v>
          </cell>
          <cell r="J161">
            <v>0</v>
          </cell>
        </row>
        <row r="162">
          <cell r="A162" t="str">
            <v>5001</v>
          </cell>
          <cell r="B162" t="str">
            <v>Silk Bank Limited</v>
          </cell>
          <cell r="C162" t="str">
            <v>Cash</v>
          </cell>
          <cell r="D162">
            <v>638.08000000000004</v>
          </cell>
          <cell r="E162">
            <v>0</v>
          </cell>
          <cell r="H162">
            <v>638</v>
          </cell>
          <cell r="I162">
            <v>0</v>
          </cell>
          <cell r="J162">
            <v>638</v>
          </cell>
        </row>
        <row r="163">
          <cell r="A163" t="str">
            <v>5002</v>
          </cell>
          <cell r="B163" t="str">
            <v>Bank Alfalah Township</v>
          </cell>
          <cell r="C163" t="str">
            <v>Cash</v>
          </cell>
          <cell r="D163">
            <v>7323</v>
          </cell>
          <cell r="E163">
            <v>0</v>
          </cell>
          <cell r="G163">
            <v>7320</v>
          </cell>
          <cell r="H163">
            <v>3</v>
          </cell>
          <cell r="I163">
            <v>0</v>
          </cell>
          <cell r="J163">
            <v>3</v>
          </cell>
        </row>
        <row r="164">
          <cell r="A164" t="str">
            <v>5003</v>
          </cell>
          <cell r="B164" t="str">
            <v>Habib Bank Limited</v>
          </cell>
          <cell r="C164" t="str">
            <v>Cash</v>
          </cell>
          <cell r="D164">
            <v>4094</v>
          </cell>
          <cell r="E164">
            <v>0</v>
          </cell>
          <cell r="H164">
            <v>4094</v>
          </cell>
          <cell r="I164">
            <v>0</v>
          </cell>
          <cell r="J164">
            <v>4094</v>
          </cell>
        </row>
        <row r="165">
          <cell r="A165" t="str">
            <v>5004</v>
          </cell>
          <cell r="B165" t="str">
            <v>Meezan Bank Limited</v>
          </cell>
          <cell r="C165" t="str">
            <v>Cash</v>
          </cell>
          <cell r="D165">
            <v>15190.53</v>
          </cell>
          <cell r="E165">
            <v>0</v>
          </cell>
          <cell r="H165">
            <v>15191</v>
          </cell>
          <cell r="I165">
            <v>0</v>
          </cell>
          <cell r="J165">
            <v>15191</v>
          </cell>
        </row>
        <row r="166">
          <cell r="A166" t="str">
            <v>5006</v>
          </cell>
          <cell r="B166" t="str">
            <v>Meezan Bank (Akbar Chowk)</v>
          </cell>
          <cell r="C166" t="str">
            <v>Cash</v>
          </cell>
          <cell r="D166">
            <v>11465412.16</v>
          </cell>
          <cell r="E166">
            <v>0</v>
          </cell>
          <cell r="H166">
            <v>11465412</v>
          </cell>
          <cell r="I166">
            <v>0</v>
          </cell>
          <cell r="J166">
            <v>11465412</v>
          </cell>
        </row>
        <row r="167">
          <cell r="D167">
            <v>11492657.77</v>
          </cell>
          <cell r="H167">
            <v>11485338</v>
          </cell>
          <cell r="J167">
            <v>11485338</v>
          </cell>
        </row>
        <row r="168">
          <cell r="C168" t="str">
            <v>Cash In Hand</v>
          </cell>
          <cell r="J168">
            <v>0</v>
          </cell>
        </row>
        <row r="169">
          <cell r="A169" t="str">
            <v>5010</v>
          </cell>
          <cell r="B169" t="str">
            <v>Cash in Hand</v>
          </cell>
          <cell r="C169" t="str">
            <v>Cash</v>
          </cell>
          <cell r="D169">
            <v>18597</v>
          </cell>
          <cell r="E169">
            <v>0</v>
          </cell>
          <cell r="H169">
            <v>18597</v>
          </cell>
          <cell r="I169">
            <v>0</v>
          </cell>
          <cell r="J169">
            <v>18597</v>
          </cell>
        </row>
        <row r="170">
          <cell r="D170">
            <v>18597</v>
          </cell>
          <cell r="E170">
            <v>0</v>
          </cell>
          <cell r="H170">
            <v>18597</v>
          </cell>
          <cell r="I170">
            <v>0</v>
          </cell>
          <cell r="J170">
            <v>18597</v>
          </cell>
        </row>
        <row r="171">
          <cell r="C171" t="str">
            <v>Bank Overdraft</v>
          </cell>
          <cell r="J171">
            <v>0</v>
          </cell>
        </row>
        <row r="172">
          <cell r="A172" t="str">
            <v>5005</v>
          </cell>
          <cell r="B172" t="str">
            <v>Askari Bank Limited</v>
          </cell>
          <cell r="C172" t="str">
            <v>Cash</v>
          </cell>
          <cell r="D172">
            <v>0</v>
          </cell>
          <cell r="E172">
            <v>15729865.25</v>
          </cell>
          <cell r="H172">
            <v>0</v>
          </cell>
          <cell r="I172">
            <v>15729865</v>
          </cell>
          <cell r="J172">
            <v>15729865</v>
          </cell>
        </row>
        <row r="173">
          <cell r="E173">
            <v>15729865.25</v>
          </cell>
          <cell r="I173">
            <v>15729865</v>
          </cell>
          <cell r="J173">
            <v>15729865</v>
          </cell>
        </row>
        <row r="174">
          <cell r="C174" t="str">
            <v>Trade Receivable</v>
          </cell>
          <cell r="J174">
            <v>0</v>
          </cell>
        </row>
        <row r="175">
          <cell r="A175" t="str">
            <v>5101</v>
          </cell>
          <cell r="B175" t="str">
            <v>Atlas Honda Limited</v>
          </cell>
          <cell r="C175" t="str">
            <v>Accounts Receivable</v>
          </cell>
          <cell r="D175">
            <v>25839370.68</v>
          </cell>
          <cell r="E175">
            <v>0</v>
          </cell>
          <cell r="G175">
            <v>705588</v>
          </cell>
          <cell r="H175">
            <v>25133783</v>
          </cell>
          <cell r="I175">
            <v>0</v>
          </cell>
          <cell r="J175">
            <v>25133783</v>
          </cell>
        </row>
        <row r="176">
          <cell r="A176" t="str">
            <v>5102</v>
          </cell>
          <cell r="B176" t="str">
            <v>Metro Hi-Tech (Pvt) Ltd.</v>
          </cell>
          <cell r="C176" t="str">
            <v>Accounts Receivable</v>
          </cell>
          <cell r="D176">
            <v>9326546</v>
          </cell>
          <cell r="E176">
            <v>0</v>
          </cell>
          <cell r="H176">
            <v>9326546</v>
          </cell>
          <cell r="I176">
            <v>0</v>
          </cell>
          <cell r="J176">
            <v>9326546</v>
          </cell>
        </row>
        <row r="177">
          <cell r="A177" t="str">
            <v>5103</v>
          </cell>
          <cell r="B177" t="str">
            <v>Plum Qingqi Motors</v>
          </cell>
          <cell r="C177" t="str">
            <v>Accounts Receivable</v>
          </cell>
          <cell r="D177">
            <v>2569572.35</v>
          </cell>
          <cell r="E177">
            <v>0</v>
          </cell>
          <cell r="G177">
            <v>94071</v>
          </cell>
          <cell r="H177">
            <v>2475501</v>
          </cell>
          <cell r="I177">
            <v>0</v>
          </cell>
          <cell r="J177">
            <v>2475501</v>
          </cell>
        </row>
        <row r="178">
          <cell r="A178" t="str">
            <v>5105</v>
          </cell>
          <cell r="B178" t="str">
            <v>Omar Industries</v>
          </cell>
          <cell r="C178" t="str">
            <v>Accounts Receivable</v>
          </cell>
          <cell r="D178">
            <v>23763.32</v>
          </cell>
          <cell r="E178">
            <v>0</v>
          </cell>
          <cell r="H178">
            <v>23763</v>
          </cell>
          <cell r="I178">
            <v>0</v>
          </cell>
          <cell r="J178">
            <v>23763</v>
          </cell>
        </row>
        <row r="179">
          <cell r="A179" t="str">
            <v>5111</v>
          </cell>
          <cell r="B179" t="str">
            <v>Pak Hero Indusrties</v>
          </cell>
          <cell r="C179" t="str">
            <v>Accounts Receivable</v>
          </cell>
          <cell r="D179">
            <v>0</v>
          </cell>
          <cell r="E179">
            <v>0</v>
          </cell>
          <cell r="H179">
            <v>0</v>
          </cell>
          <cell r="I179">
            <v>0</v>
          </cell>
          <cell r="J179">
            <v>0</v>
          </cell>
        </row>
        <row r="180">
          <cell r="A180" t="str">
            <v>5112</v>
          </cell>
          <cell r="B180" t="str">
            <v>ZXMCO Pakistan (Pvt) Ltd.</v>
          </cell>
          <cell r="C180" t="str">
            <v>Accounts Receivable</v>
          </cell>
          <cell r="D180">
            <v>11323</v>
          </cell>
          <cell r="E180">
            <v>0</v>
          </cell>
          <cell r="H180">
            <v>11323</v>
          </cell>
          <cell r="I180">
            <v>0</v>
          </cell>
          <cell r="J180">
            <v>11323</v>
          </cell>
        </row>
        <row r="181">
          <cell r="A181" t="str">
            <v>5114</v>
          </cell>
          <cell r="B181" t="str">
            <v>Rashid &amp; Company</v>
          </cell>
          <cell r="C181" t="str">
            <v>Accounts Receivable</v>
          </cell>
          <cell r="D181">
            <v>304204.36</v>
          </cell>
          <cell r="E181">
            <v>0</v>
          </cell>
          <cell r="H181">
            <v>304204</v>
          </cell>
          <cell r="I181">
            <v>0</v>
          </cell>
          <cell r="J181">
            <v>304204</v>
          </cell>
        </row>
        <row r="182">
          <cell r="A182" t="str">
            <v>5115</v>
          </cell>
          <cell r="B182" t="str">
            <v>AJR Metal Febricators</v>
          </cell>
          <cell r="C182" t="str">
            <v>Accounts Receivable</v>
          </cell>
          <cell r="D182">
            <v>23135.14</v>
          </cell>
          <cell r="E182">
            <v>0</v>
          </cell>
          <cell r="H182">
            <v>23135</v>
          </cell>
          <cell r="I182">
            <v>0</v>
          </cell>
          <cell r="J182">
            <v>23135</v>
          </cell>
        </row>
        <row r="183">
          <cell r="A183" t="str">
            <v>5116</v>
          </cell>
          <cell r="B183" t="str">
            <v>Omega Industries</v>
          </cell>
          <cell r="D183">
            <v>545435.75</v>
          </cell>
          <cell r="E183">
            <v>0</v>
          </cell>
          <cell r="H183">
            <v>545436</v>
          </cell>
          <cell r="I183">
            <v>0</v>
          </cell>
          <cell r="J183">
            <v>545436</v>
          </cell>
        </row>
        <row r="184">
          <cell r="D184">
            <v>38643350.600000001</v>
          </cell>
          <cell r="H184">
            <v>37843691</v>
          </cell>
          <cell r="J184">
            <v>37843691</v>
          </cell>
        </row>
        <row r="185">
          <cell r="C185" t="str">
            <v>Opening Stock</v>
          </cell>
          <cell r="J185">
            <v>0</v>
          </cell>
        </row>
        <row r="186">
          <cell r="A186" t="str">
            <v>5201</v>
          </cell>
          <cell r="B186" t="str">
            <v>Stock in Trade</v>
          </cell>
          <cell r="C186" t="str">
            <v>Inventory</v>
          </cell>
          <cell r="D186">
            <v>7101759</v>
          </cell>
          <cell r="E186">
            <v>0</v>
          </cell>
          <cell r="F186">
            <v>12504125</v>
          </cell>
          <cell r="H186">
            <v>19605884</v>
          </cell>
          <cell r="I186">
            <v>0</v>
          </cell>
          <cell r="J186">
            <v>19605884</v>
          </cell>
        </row>
        <row r="187">
          <cell r="A187" t="str">
            <v>5202</v>
          </cell>
          <cell r="B187" t="str">
            <v>Finished Goods</v>
          </cell>
          <cell r="C187" t="str">
            <v>Inventory</v>
          </cell>
          <cell r="D187">
            <v>19358576</v>
          </cell>
          <cell r="E187">
            <v>0</v>
          </cell>
          <cell r="G187">
            <v>9879576</v>
          </cell>
          <cell r="H187">
            <v>9479000</v>
          </cell>
          <cell r="I187">
            <v>0</v>
          </cell>
          <cell r="J187">
            <v>9479000</v>
          </cell>
        </row>
        <row r="188">
          <cell r="D188">
            <v>26460335</v>
          </cell>
          <cell r="E188">
            <v>0</v>
          </cell>
          <cell r="H188">
            <v>29084884</v>
          </cell>
          <cell r="I188">
            <v>0</v>
          </cell>
          <cell r="J188">
            <v>29084884</v>
          </cell>
        </row>
        <row r="189">
          <cell r="J189">
            <v>0</v>
          </cell>
        </row>
        <row r="190">
          <cell r="J190">
            <v>0</v>
          </cell>
        </row>
        <row r="191">
          <cell r="J191">
            <v>0</v>
          </cell>
        </row>
        <row r="192">
          <cell r="C192" t="str">
            <v>Advance and Prepayments</v>
          </cell>
          <cell r="J192">
            <v>0</v>
          </cell>
        </row>
        <row r="193">
          <cell r="A193" t="str">
            <v>5211</v>
          </cell>
          <cell r="B193" t="str">
            <v>Advance for Expenses</v>
          </cell>
          <cell r="C193" t="str">
            <v>Other Current Assets</v>
          </cell>
          <cell r="D193">
            <v>24402</v>
          </cell>
          <cell r="E193">
            <v>0</v>
          </cell>
          <cell r="F193">
            <v>10060</v>
          </cell>
          <cell r="H193">
            <v>34462</v>
          </cell>
          <cell r="I193">
            <v>0</v>
          </cell>
          <cell r="J193">
            <v>34462</v>
          </cell>
        </row>
        <row r="194">
          <cell r="A194" t="str">
            <v>5214</v>
          </cell>
          <cell r="B194" t="str">
            <v>Advance to Employees</v>
          </cell>
          <cell r="C194" t="str">
            <v>Other Current Assets</v>
          </cell>
          <cell r="D194">
            <v>203479</v>
          </cell>
          <cell r="E194">
            <v>0</v>
          </cell>
          <cell r="H194">
            <v>203479</v>
          </cell>
          <cell r="I194">
            <v>0</v>
          </cell>
          <cell r="J194">
            <v>203479</v>
          </cell>
        </row>
        <row r="195">
          <cell r="A195" t="str">
            <v>5215</v>
          </cell>
          <cell r="B195" t="str">
            <v>Advance to Staff</v>
          </cell>
          <cell r="C195" t="str">
            <v>Other Current Assets</v>
          </cell>
          <cell r="D195">
            <v>61007</v>
          </cell>
          <cell r="E195">
            <v>0</v>
          </cell>
          <cell r="H195">
            <v>61007</v>
          </cell>
          <cell r="I195">
            <v>0</v>
          </cell>
          <cell r="J195">
            <v>61007</v>
          </cell>
        </row>
        <row r="196">
          <cell r="A196" t="str">
            <v>5219</v>
          </cell>
          <cell r="B196" t="str">
            <v>Prepaid Insurance</v>
          </cell>
          <cell r="C196" t="str">
            <v>Other Current Assets</v>
          </cell>
          <cell r="D196">
            <v>0</v>
          </cell>
          <cell r="E196">
            <v>0</v>
          </cell>
          <cell r="F196">
            <v>17595</v>
          </cell>
          <cell r="H196">
            <v>17595</v>
          </cell>
          <cell r="I196">
            <v>0</v>
          </cell>
          <cell r="J196">
            <v>17595</v>
          </cell>
        </row>
        <row r="197">
          <cell r="A197" t="str">
            <v>3060</v>
          </cell>
          <cell r="B197" t="str">
            <v>M. Akram Sons</v>
          </cell>
          <cell r="D197">
            <v>15540</v>
          </cell>
          <cell r="E197">
            <v>0</v>
          </cell>
          <cell r="H197">
            <v>15540</v>
          </cell>
          <cell r="I197">
            <v>0</v>
          </cell>
          <cell r="J197">
            <v>15540</v>
          </cell>
        </row>
        <row r="198">
          <cell r="D198">
            <v>304428</v>
          </cell>
          <cell r="H198">
            <v>332083</v>
          </cell>
          <cell r="J198">
            <v>332083</v>
          </cell>
        </row>
        <row r="199">
          <cell r="J199">
            <v>0</v>
          </cell>
        </row>
        <row r="200">
          <cell r="J200">
            <v>0</v>
          </cell>
        </row>
        <row r="201">
          <cell r="C201" t="str">
            <v>Tax Refund due (Asset)</v>
          </cell>
          <cell r="J201">
            <v>0</v>
          </cell>
        </row>
        <row r="202">
          <cell r="A202" t="str">
            <v>5213</v>
          </cell>
          <cell r="B202" t="str">
            <v>Tax Refund from Govt.</v>
          </cell>
          <cell r="C202" t="str">
            <v>Other Current Assets</v>
          </cell>
          <cell r="D202">
            <v>3984862</v>
          </cell>
          <cell r="E202">
            <v>0</v>
          </cell>
          <cell r="G202">
            <v>3327406.7895999998</v>
          </cell>
          <cell r="H202">
            <v>657455</v>
          </cell>
          <cell r="I202">
            <v>0</v>
          </cell>
          <cell r="J202">
            <v>657455</v>
          </cell>
        </row>
        <row r="203">
          <cell r="A203" t="str">
            <v>5248</v>
          </cell>
          <cell r="B203" t="str">
            <v>I Tax Import</v>
          </cell>
          <cell r="D203">
            <v>619247</v>
          </cell>
          <cell r="H203">
            <v>619247</v>
          </cell>
          <cell r="I203">
            <v>0</v>
          </cell>
          <cell r="J203">
            <v>619247</v>
          </cell>
          <cell r="K203">
            <v>619247</v>
          </cell>
        </row>
        <row r="204">
          <cell r="A204" t="str">
            <v>5250</v>
          </cell>
          <cell r="B204" t="str">
            <v>Advance Tax</v>
          </cell>
          <cell r="D204">
            <v>1300000</v>
          </cell>
          <cell r="E204">
            <v>0</v>
          </cell>
          <cell r="H204">
            <v>1300000</v>
          </cell>
          <cell r="I204">
            <v>0</v>
          </cell>
          <cell r="J204">
            <v>1300000</v>
          </cell>
        </row>
        <row r="205">
          <cell r="D205">
            <v>5904109</v>
          </cell>
          <cell r="E205">
            <v>0</v>
          </cell>
          <cell r="H205">
            <v>2576702</v>
          </cell>
          <cell r="I205">
            <v>0</v>
          </cell>
          <cell r="J205">
            <v>2576702</v>
          </cell>
        </row>
        <row r="206">
          <cell r="J206">
            <v>0</v>
          </cell>
        </row>
        <row r="207">
          <cell r="C207" t="str">
            <v>Sales Revenue</v>
          </cell>
          <cell r="J207">
            <v>0</v>
          </cell>
        </row>
        <row r="208">
          <cell r="A208" t="str">
            <v>6001</v>
          </cell>
          <cell r="B208" t="str">
            <v>Sales GST</v>
          </cell>
          <cell r="C208" t="str">
            <v>Income</v>
          </cell>
          <cell r="D208">
            <v>0</v>
          </cell>
          <cell r="E208">
            <v>212428474</v>
          </cell>
          <cell r="H208">
            <v>0</v>
          </cell>
          <cell r="I208">
            <v>212428474</v>
          </cell>
          <cell r="J208">
            <v>212428474</v>
          </cell>
        </row>
        <row r="209">
          <cell r="A209" t="str">
            <v>6007</v>
          </cell>
          <cell r="B209" t="str">
            <v>Zero Rated Sales</v>
          </cell>
          <cell r="C209" t="str">
            <v>Income</v>
          </cell>
          <cell r="D209">
            <v>0</v>
          </cell>
          <cell r="E209">
            <v>1800000</v>
          </cell>
          <cell r="H209">
            <v>0</v>
          </cell>
          <cell r="I209">
            <v>1800000</v>
          </cell>
          <cell r="J209">
            <v>1800000</v>
          </cell>
        </row>
        <row r="210">
          <cell r="D210">
            <v>0</v>
          </cell>
          <cell r="E210">
            <v>214228474</v>
          </cell>
          <cell r="H210">
            <v>0</v>
          </cell>
          <cell r="I210">
            <v>214228474</v>
          </cell>
          <cell r="J210">
            <v>214228474</v>
          </cell>
          <cell r="K210">
            <v>210805700</v>
          </cell>
        </row>
        <row r="211">
          <cell r="C211" t="str">
            <v>Sales Return</v>
          </cell>
          <cell r="J211">
            <v>0</v>
          </cell>
        </row>
        <row r="212">
          <cell r="A212" t="str">
            <v>6002</v>
          </cell>
          <cell r="B212" t="str">
            <v>Sales Return GST</v>
          </cell>
          <cell r="C212" t="str">
            <v>Income</v>
          </cell>
          <cell r="D212">
            <v>1065053.48</v>
          </cell>
          <cell r="E212">
            <v>0</v>
          </cell>
          <cell r="F212">
            <v>557721</v>
          </cell>
          <cell r="H212">
            <v>1622774</v>
          </cell>
          <cell r="I212">
            <v>0</v>
          </cell>
          <cell r="J212">
            <v>1622774</v>
          </cell>
        </row>
        <row r="213">
          <cell r="D213">
            <v>1065053.48</v>
          </cell>
          <cell r="E213">
            <v>0</v>
          </cell>
          <cell r="H213">
            <v>1622774</v>
          </cell>
          <cell r="I213">
            <v>0</v>
          </cell>
          <cell r="J213">
            <v>1622774</v>
          </cell>
        </row>
        <row r="214">
          <cell r="J214">
            <v>0</v>
          </cell>
        </row>
        <row r="215">
          <cell r="C215" t="str">
            <v>Other Income</v>
          </cell>
          <cell r="J215">
            <v>0</v>
          </cell>
        </row>
        <row r="216">
          <cell r="A216" t="str">
            <v>6006</v>
          </cell>
          <cell r="B216" t="str">
            <v>Other Income</v>
          </cell>
          <cell r="C216" t="str">
            <v>Income</v>
          </cell>
          <cell r="D216">
            <v>0</v>
          </cell>
          <cell r="E216">
            <v>314823</v>
          </cell>
          <cell r="H216">
            <v>0</v>
          </cell>
          <cell r="I216">
            <v>314823</v>
          </cell>
          <cell r="J216">
            <v>314823</v>
          </cell>
        </row>
        <row r="217">
          <cell r="D217">
            <v>0</v>
          </cell>
          <cell r="E217">
            <v>314823</v>
          </cell>
          <cell r="H217">
            <v>0</v>
          </cell>
          <cell r="I217">
            <v>314823</v>
          </cell>
          <cell r="J217">
            <v>314823</v>
          </cell>
        </row>
        <row r="218">
          <cell r="C218" t="str">
            <v>Purchases</v>
          </cell>
          <cell r="J218">
            <v>0</v>
          </cell>
        </row>
        <row r="219">
          <cell r="A219" t="str">
            <v>7001</v>
          </cell>
          <cell r="B219" t="str">
            <v>Purchase GST</v>
          </cell>
          <cell r="C219" t="str">
            <v>Cost of Sales</v>
          </cell>
          <cell r="D219">
            <v>149087712.22999999</v>
          </cell>
          <cell r="E219">
            <v>0</v>
          </cell>
          <cell r="F219">
            <v>311800</v>
          </cell>
          <cell r="H219">
            <v>149399512</v>
          </cell>
          <cell r="I219">
            <v>0</v>
          </cell>
          <cell r="J219">
            <v>149399512</v>
          </cell>
        </row>
        <row r="220">
          <cell r="A220" t="str">
            <v>7003</v>
          </cell>
          <cell r="B220" t="str">
            <v>Purchase Non GST</v>
          </cell>
          <cell r="C220" t="str">
            <v>Cost of Sales</v>
          </cell>
          <cell r="D220">
            <v>0</v>
          </cell>
          <cell r="E220">
            <v>0</v>
          </cell>
          <cell r="H220">
            <v>0</v>
          </cell>
          <cell r="I220">
            <v>0</v>
          </cell>
          <cell r="J220">
            <v>0</v>
          </cell>
        </row>
        <row r="221">
          <cell r="A221" t="str">
            <v>7015</v>
          </cell>
          <cell r="B221" t="str">
            <v>Imports</v>
          </cell>
          <cell r="D221">
            <v>7810455.2800000003</v>
          </cell>
          <cell r="E221">
            <v>0</v>
          </cell>
          <cell r="H221">
            <v>7810455</v>
          </cell>
          <cell r="I221">
            <v>0</v>
          </cell>
          <cell r="J221">
            <v>7810455</v>
          </cell>
        </row>
        <row r="222">
          <cell r="A222" t="str">
            <v>7016</v>
          </cell>
          <cell r="B222" t="str">
            <v>Custom &amp; Clearing Charges</v>
          </cell>
          <cell r="D222">
            <v>1789732</v>
          </cell>
          <cell r="H222">
            <v>1789732</v>
          </cell>
          <cell r="I222">
            <v>0</v>
          </cell>
          <cell r="J222">
            <v>1789732</v>
          </cell>
        </row>
        <row r="223">
          <cell r="D223">
            <v>158687899.50999999</v>
          </cell>
          <cell r="H223">
            <v>158999699</v>
          </cell>
          <cell r="J223">
            <v>158999699</v>
          </cell>
          <cell r="K223">
            <v>30821</v>
          </cell>
        </row>
        <row r="224">
          <cell r="C224" t="str">
            <v>Purchase Return</v>
          </cell>
          <cell r="J224">
            <v>0</v>
          </cell>
        </row>
        <row r="225">
          <cell r="A225" t="str">
            <v>7002</v>
          </cell>
          <cell r="B225" t="str">
            <v>Purchase Return GST</v>
          </cell>
          <cell r="C225" t="str">
            <v>Cost of Sales</v>
          </cell>
          <cell r="D225">
            <v>0</v>
          </cell>
          <cell r="E225">
            <v>0</v>
          </cell>
          <cell r="H225">
            <v>0</v>
          </cell>
          <cell r="I225">
            <v>0</v>
          </cell>
          <cell r="J225">
            <v>0</v>
          </cell>
        </row>
        <row r="226">
          <cell r="E226">
            <v>0</v>
          </cell>
          <cell r="I226">
            <v>0</v>
          </cell>
          <cell r="J226">
            <v>0</v>
          </cell>
        </row>
        <row r="227">
          <cell r="C227" t="str">
            <v>Factiry Overhead</v>
          </cell>
          <cell r="J227">
            <v>0</v>
          </cell>
        </row>
        <row r="228">
          <cell r="A228" t="str">
            <v>7005</v>
          </cell>
          <cell r="B228" t="str">
            <v>Stores</v>
          </cell>
          <cell r="C228" t="str">
            <v>Cost of Sales</v>
          </cell>
          <cell r="D228">
            <v>3898957</v>
          </cell>
          <cell r="E228">
            <v>0</v>
          </cell>
          <cell r="H228">
            <v>3898957</v>
          </cell>
          <cell r="I228">
            <v>0</v>
          </cell>
          <cell r="J228">
            <v>3898957</v>
          </cell>
        </row>
        <row r="229">
          <cell r="A229" t="str">
            <v>7007</v>
          </cell>
          <cell r="B229" t="str">
            <v>Employees Salary Expense</v>
          </cell>
          <cell r="C229" t="str">
            <v>Cost of Sales</v>
          </cell>
          <cell r="D229">
            <v>13002185</v>
          </cell>
          <cell r="E229">
            <v>0</v>
          </cell>
          <cell r="F229">
            <v>578444</v>
          </cell>
          <cell r="H229">
            <v>13580629</v>
          </cell>
          <cell r="I229">
            <v>0</v>
          </cell>
          <cell r="J229">
            <v>13580629</v>
          </cell>
        </row>
        <row r="230">
          <cell r="A230" t="str">
            <v>7008</v>
          </cell>
          <cell r="B230" t="str">
            <v>SUI Gas Expense</v>
          </cell>
          <cell r="C230" t="str">
            <v>Cost of Sales</v>
          </cell>
          <cell r="D230">
            <v>1239392.75</v>
          </cell>
          <cell r="E230">
            <v>0</v>
          </cell>
          <cell r="F230">
            <v>10082</v>
          </cell>
          <cell r="H230">
            <v>1249475</v>
          </cell>
          <cell r="I230">
            <v>0</v>
          </cell>
          <cell r="J230">
            <v>1249475</v>
          </cell>
        </row>
        <row r="231">
          <cell r="A231" t="str">
            <v>7009</v>
          </cell>
          <cell r="B231" t="str">
            <v>Electricity Expense</v>
          </cell>
          <cell r="C231" t="str">
            <v>Cost of Sales</v>
          </cell>
          <cell r="D231">
            <v>7770589</v>
          </cell>
          <cell r="E231">
            <v>0</v>
          </cell>
          <cell r="G231">
            <v>186133</v>
          </cell>
          <cell r="H231">
            <v>7584456</v>
          </cell>
          <cell r="I231">
            <v>0</v>
          </cell>
          <cell r="J231">
            <v>7584456</v>
          </cell>
        </row>
        <row r="232">
          <cell r="A232" t="str">
            <v>7010</v>
          </cell>
          <cell r="B232" t="str">
            <v>Dies Consumed</v>
          </cell>
          <cell r="C232" t="str">
            <v>Cost of Sales</v>
          </cell>
          <cell r="D232">
            <v>9719</v>
          </cell>
          <cell r="E232">
            <v>0</v>
          </cell>
          <cell r="H232">
            <v>9719</v>
          </cell>
          <cell r="I232">
            <v>0</v>
          </cell>
          <cell r="J232">
            <v>9719</v>
          </cell>
        </row>
        <row r="233">
          <cell r="A233" t="str">
            <v>7011</v>
          </cell>
          <cell r="B233" t="str">
            <v>Transportation</v>
          </cell>
          <cell r="C233" t="str">
            <v>Cost of Sales</v>
          </cell>
          <cell r="D233">
            <v>84600</v>
          </cell>
          <cell r="E233">
            <v>0</v>
          </cell>
          <cell r="H233">
            <v>84600</v>
          </cell>
          <cell r="I233">
            <v>0</v>
          </cell>
          <cell r="J233">
            <v>84600</v>
          </cell>
        </row>
        <row r="234">
          <cell r="A234" t="str">
            <v>7012</v>
          </cell>
          <cell r="B234" t="str">
            <v>Repair &amp; Maint. Factory</v>
          </cell>
          <cell r="C234" t="str">
            <v>Cost of Sales</v>
          </cell>
          <cell r="D234">
            <v>921128</v>
          </cell>
          <cell r="E234">
            <v>0</v>
          </cell>
          <cell r="H234">
            <v>921128</v>
          </cell>
          <cell r="I234">
            <v>0</v>
          </cell>
          <cell r="J234">
            <v>921128</v>
          </cell>
        </row>
        <row r="235">
          <cell r="B235" t="str">
            <v>Depreciation</v>
          </cell>
          <cell r="C235" t="str">
            <v>Cost of Sales</v>
          </cell>
          <cell r="D235">
            <v>0</v>
          </cell>
          <cell r="E235">
            <v>0</v>
          </cell>
          <cell r="F235">
            <v>1082512</v>
          </cell>
          <cell r="H235">
            <v>1082512</v>
          </cell>
          <cell r="I235">
            <v>0</v>
          </cell>
          <cell r="J235">
            <v>1082512</v>
          </cell>
        </row>
        <row r="236">
          <cell r="D236">
            <v>26926570.75</v>
          </cell>
          <cell r="E236">
            <v>0</v>
          </cell>
          <cell r="H236">
            <v>28411476</v>
          </cell>
          <cell r="I236">
            <v>0</v>
          </cell>
          <cell r="J236">
            <v>28411476</v>
          </cell>
        </row>
        <row r="237">
          <cell r="C237" t="str">
            <v>Operating Expenses</v>
          </cell>
          <cell r="J237">
            <v>0</v>
          </cell>
        </row>
        <row r="238">
          <cell r="A238" t="str">
            <v>7006</v>
          </cell>
          <cell r="B238" t="str">
            <v>Staff Salary Expense</v>
          </cell>
          <cell r="C238" t="str">
            <v>Expenses</v>
          </cell>
          <cell r="D238">
            <v>5091784</v>
          </cell>
          <cell r="E238">
            <v>0</v>
          </cell>
          <cell r="F238">
            <v>704468</v>
          </cell>
          <cell r="G238">
            <v>902819</v>
          </cell>
          <cell r="H238">
            <v>4893433</v>
          </cell>
          <cell r="I238">
            <v>0</v>
          </cell>
          <cell r="J238">
            <v>4893433</v>
          </cell>
        </row>
        <row r="239">
          <cell r="A239" t="str">
            <v>8002</v>
          </cell>
          <cell r="B239" t="str">
            <v>Directors Salary Expense</v>
          </cell>
          <cell r="C239" t="str">
            <v>Expenses</v>
          </cell>
          <cell r="D239">
            <v>3276000</v>
          </cell>
          <cell r="E239">
            <v>0</v>
          </cell>
          <cell r="H239">
            <v>3276000</v>
          </cell>
          <cell r="I239">
            <v>0</v>
          </cell>
          <cell r="J239">
            <v>3276000</v>
          </cell>
        </row>
        <row r="240">
          <cell r="A240" t="str">
            <v>8010</v>
          </cell>
          <cell r="B240" t="str">
            <v>Telephone Expense</v>
          </cell>
          <cell r="C240" t="str">
            <v>Expenses</v>
          </cell>
          <cell r="D240">
            <v>107189</v>
          </cell>
          <cell r="E240">
            <v>0</v>
          </cell>
          <cell r="F240">
            <v>1300</v>
          </cell>
          <cell r="H240">
            <v>108489</v>
          </cell>
          <cell r="I240">
            <v>0</v>
          </cell>
          <cell r="J240">
            <v>108489</v>
          </cell>
        </row>
        <row r="241">
          <cell r="A241" t="str">
            <v>8011</v>
          </cell>
          <cell r="B241" t="str">
            <v>Water Expense</v>
          </cell>
          <cell r="C241" t="str">
            <v>Expenses</v>
          </cell>
          <cell r="D241">
            <v>309917</v>
          </cell>
          <cell r="E241">
            <v>0</v>
          </cell>
          <cell r="F241">
            <v>7929</v>
          </cell>
          <cell r="H241">
            <v>317846</v>
          </cell>
          <cell r="I241">
            <v>0</v>
          </cell>
          <cell r="J241">
            <v>317846</v>
          </cell>
        </row>
        <row r="242">
          <cell r="A242" t="str">
            <v>8012</v>
          </cell>
          <cell r="B242" t="str">
            <v>EOBI</v>
          </cell>
          <cell r="C242" t="str">
            <v>Expenses</v>
          </cell>
          <cell r="D242">
            <v>201168</v>
          </cell>
          <cell r="E242">
            <v>0</v>
          </cell>
          <cell r="H242">
            <v>201168</v>
          </cell>
          <cell r="I242">
            <v>0</v>
          </cell>
          <cell r="J242">
            <v>201168</v>
          </cell>
        </row>
        <row r="243">
          <cell r="A243" t="str">
            <v>8013</v>
          </cell>
          <cell r="B243" t="str">
            <v>Carriage &amp; Freight</v>
          </cell>
          <cell r="D243">
            <v>95880</v>
          </cell>
          <cell r="E243">
            <v>0</v>
          </cell>
          <cell r="H243">
            <v>95880</v>
          </cell>
          <cell r="I243">
            <v>0</v>
          </cell>
          <cell r="J243">
            <v>95880</v>
          </cell>
        </row>
        <row r="244">
          <cell r="A244" t="str">
            <v>8014</v>
          </cell>
          <cell r="B244" t="str">
            <v>Insurance</v>
          </cell>
          <cell r="C244" t="str">
            <v>Expenses</v>
          </cell>
          <cell r="D244">
            <v>146333</v>
          </cell>
          <cell r="E244">
            <v>0</v>
          </cell>
          <cell r="G244">
            <v>17595</v>
          </cell>
          <cell r="H244">
            <v>128738</v>
          </cell>
          <cell r="I244">
            <v>0</v>
          </cell>
          <cell r="J244">
            <v>128738</v>
          </cell>
        </row>
        <row r="245">
          <cell r="A245" t="str">
            <v>8015</v>
          </cell>
          <cell r="B245" t="str">
            <v>Entertainment</v>
          </cell>
          <cell r="C245" t="str">
            <v>Expenses</v>
          </cell>
          <cell r="D245">
            <v>398479</v>
          </cell>
          <cell r="E245">
            <v>0</v>
          </cell>
          <cell r="H245">
            <v>398479</v>
          </cell>
          <cell r="I245">
            <v>0</v>
          </cell>
          <cell r="J245">
            <v>398479</v>
          </cell>
        </row>
        <row r="246">
          <cell r="A246" t="str">
            <v>8026</v>
          </cell>
          <cell r="B246" t="str">
            <v>Packig material</v>
          </cell>
          <cell r="D246">
            <v>220851</v>
          </cell>
          <cell r="E246">
            <v>0</v>
          </cell>
          <cell r="H246">
            <v>220851</v>
          </cell>
          <cell r="I246">
            <v>0</v>
          </cell>
          <cell r="J246">
            <v>220851</v>
          </cell>
        </row>
        <row r="247">
          <cell r="A247" t="str">
            <v>8019</v>
          </cell>
          <cell r="B247" t="str">
            <v>Printing &amp; Stationery</v>
          </cell>
          <cell r="C247" t="str">
            <v>Expenses</v>
          </cell>
          <cell r="D247">
            <v>178627</v>
          </cell>
          <cell r="E247">
            <v>0</v>
          </cell>
          <cell r="F247">
            <v>15000</v>
          </cell>
          <cell r="H247">
            <v>193627</v>
          </cell>
          <cell r="I247">
            <v>0</v>
          </cell>
          <cell r="J247">
            <v>193627</v>
          </cell>
        </row>
        <row r="248">
          <cell r="A248" t="str">
            <v>8020</v>
          </cell>
          <cell r="B248" t="str">
            <v>Postage &amp; Courier</v>
          </cell>
          <cell r="C248" t="str">
            <v>Expenses</v>
          </cell>
          <cell r="D248">
            <v>15510</v>
          </cell>
          <cell r="E248">
            <v>0</v>
          </cell>
          <cell r="H248">
            <v>15510</v>
          </cell>
          <cell r="I248">
            <v>0</v>
          </cell>
          <cell r="J248">
            <v>15510</v>
          </cell>
        </row>
        <row r="249">
          <cell r="A249" t="str">
            <v>8021</v>
          </cell>
          <cell r="B249" t="str">
            <v>Repair &amp; Maint. Office</v>
          </cell>
          <cell r="C249" t="str">
            <v>Expenses</v>
          </cell>
          <cell r="D249">
            <v>0</v>
          </cell>
          <cell r="E249">
            <v>0</v>
          </cell>
          <cell r="H249">
            <v>0</v>
          </cell>
          <cell r="I249">
            <v>0</v>
          </cell>
          <cell r="J249">
            <v>0</v>
          </cell>
        </row>
        <row r="250">
          <cell r="A250" t="str">
            <v>8022</v>
          </cell>
          <cell r="B250" t="str">
            <v>Vehicle Running</v>
          </cell>
          <cell r="C250" t="str">
            <v>Expenses</v>
          </cell>
          <cell r="D250">
            <v>287772</v>
          </cell>
          <cell r="E250">
            <v>0</v>
          </cell>
          <cell r="G250">
            <v>10060</v>
          </cell>
          <cell r="H250">
            <v>277712</v>
          </cell>
          <cell r="I250">
            <v>0</v>
          </cell>
          <cell r="J250">
            <v>277712</v>
          </cell>
        </row>
        <row r="251">
          <cell r="A251" t="str">
            <v>8023</v>
          </cell>
          <cell r="B251" t="str">
            <v>Travelling &amp; Conveyance</v>
          </cell>
          <cell r="C251" t="str">
            <v>Expenses</v>
          </cell>
          <cell r="D251">
            <v>273879</v>
          </cell>
          <cell r="E251">
            <v>0</v>
          </cell>
          <cell r="H251">
            <v>273879</v>
          </cell>
          <cell r="I251">
            <v>0</v>
          </cell>
          <cell r="J251">
            <v>273879</v>
          </cell>
        </row>
        <row r="252">
          <cell r="A252" t="str">
            <v>8024</v>
          </cell>
          <cell r="B252" t="str">
            <v>Misc. Expenses</v>
          </cell>
          <cell r="C252" t="str">
            <v>Expenses</v>
          </cell>
          <cell r="D252">
            <v>32243</v>
          </cell>
          <cell r="E252">
            <v>0</v>
          </cell>
          <cell r="H252">
            <v>32243</v>
          </cell>
          <cell r="I252">
            <v>0</v>
          </cell>
          <cell r="J252">
            <v>32243</v>
          </cell>
        </row>
        <row r="253">
          <cell r="A253" t="str">
            <v>8027</v>
          </cell>
          <cell r="B253" t="str">
            <v>Newspaper &amp; Periodical</v>
          </cell>
          <cell r="C253" t="str">
            <v>Expenses</v>
          </cell>
          <cell r="D253">
            <v>28967</v>
          </cell>
          <cell r="E253">
            <v>0</v>
          </cell>
          <cell r="H253">
            <v>28967</v>
          </cell>
          <cell r="I253">
            <v>0</v>
          </cell>
          <cell r="J253">
            <v>28967</v>
          </cell>
        </row>
        <row r="254">
          <cell r="A254" t="str">
            <v>8028</v>
          </cell>
          <cell r="B254" t="str">
            <v>Vehicle Running</v>
          </cell>
          <cell r="C254" t="str">
            <v>Expenses</v>
          </cell>
          <cell r="D254">
            <v>13000</v>
          </cell>
          <cell r="E254">
            <v>0</v>
          </cell>
          <cell r="H254">
            <v>13000</v>
          </cell>
          <cell r="I254">
            <v>0</v>
          </cell>
          <cell r="J254">
            <v>13000</v>
          </cell>
        </row>
        <row r="255">
          <cell r="A255" t="str">
            <v>8029</v>
          </cell>
          <cell r="B255" t="str">
            <v>Toll Tax</v>
          </cell>
          <cell r="C255" t="str">
            <v>Expenses</v>
          </cell>
          <cell r="D255">
            <v>0</v>
          </cell>
          <cell r="E255">
            <v>0</v>
          </cell>
          <cell r="H255">
            <v>0</v>
          </cell>
          <cell r="I255">
            <v>0</v>
          </cell>
          <cell r="J255">
            <v>0</v>
          </cell>
        </row>
        <row r="256">
          <cell r="A256" t="str">
            <v>8030</v>
          </cell>
          <cell r="B256" t="str">
            <v>PIEDMEC Exppense</v>
          </cell>
          <cell r="C256" t="str">
            <v>Expenses</v>
          </cell>
          <cell r="D256">
            <v>0</v>
          </cell>
          <cell r="E256">
            <v>0</v>
          </cell>
          <cell r="H256">
            <v>0</v>
          </cell>
          <cell r="I256">
            <v>0</v>
          </cell>
          <cell r="J256">
            <v>0</v>
          </cell>
        </row>
        <row r="257">
          <cell r="A257" t="str">
            <v>8031</v>
          </cell>
          <cell r="B257" t="str">
            <v>PESSI</v>
          </cell>
          <cell r="C257" t="str">
            <v>Expenses</v>
          </cell>
          <cell r="D257">
            <v>363035</v>
          </cell>
          <cell r="E257">
            <v>0</v>
          </cell>
          <cell r="H257">
            <v>363035</v>
          </cell>
          <cell r="I257">
            <v>0</v>
          </cell>
          <cell r="J257">
            <v>363035</v>
          </cell>
        </row>
        <row r="258">
          <cell r="A258" t="str">
            <v>8041</v>
          </cell>
          <cell r="B258" t="str">
            <v>Office Expense</v>
          </cell>
          <cell r="C258" t="str">
            <v>Expenses</v>
          </cell>
          <cell r="D258">
            <v>15128</v>
          </cell>
          <cell r="E258">
            <v>0</v>
          </cell>
          <cell r="F258">
            <v>186133</v>
          </cell>
          <cell r="G258">
            <v>119772</v>
          </cell>
          <cell r="H258">
            <v>81489</v>
          </cell>
          <cell r="I258">
            <v>0</v>
          </cell>
          <cell r="J258">
            <v>81489</v>
          </cell>
        </row>
        <row r="259">
          <cell r="A259" t="str">
            <v>8044</v>
          </cell>
          <cell r="B259" t="str">
            <v>Fuel for Generator</v>
          </cell>
          <cell r="C259" t="str">
            <v>Expenses</v>
          </cell>
          <cell r="D259">
            <v>1139831.0900000001</v>
          </cell>
          <cell r="E259">
            <v>0</v>
          </cell>
          <cell r="H259">
            <v>1139831</v>
          </cell>
          <cell r="I259">
            <v>0</v>
          </cell>
          <cell r="J259">
            <v>1139831</v>
          </cell>
        </row>
        <row r="260">
          <cell r="A260" t="str">
            <v>8047</v>
          </cell>
          <cell r="B260" t="str">
            <v>Legal &amp; Professional Charges</v>
          </cell>
          <cell r="C260" t="str">
            <v>Expenses</v>
          </cell>
          <cell r="D260">
            <v>1006136.2</v>
          </cell>
          <cell r="E260">
            <v>0</v>
          </cell>
          <cell r="G260">
            <v>508338</v>
          </cell>
          <cell r="H260">
            <v>497798</v>
          </cell>
          <cell r="I260">
            <v>0</v>
          </cell>
          <cell r="J260">
            <v>497798</v>
          </cell>
        </row>
        <row r="261">
          <cell r="A261" t="str">
            <v>8050</v>
          </cell>
          <cell r="B261" t="str">
            <v>Water Expense 60-M</v>
          </cell>
          <cell r="C261" t="str">
            <v>Expenses</v>
          </cell>
          <cell r="D261">
            <v>32100</v>
          </cell>
          <cell r="E261">
            <v>0</v>
          </cell>
          <cell r="F261">
            <v>3000</v>
          </cell>
          <cell r="H261">
            <v>35100</v>
          </cell>
          <cell r="I261">
            <v>0</v>
          </cell>
          <cell r="J261">
            <v>35100</v>
          </cell>
        </row>
        <row r="262">
          <cell r="A262" t="str">
            <v>8051</v>
          </cell>
          <cell r="B262" t="str">
            <v>Generator Expense</v>
          </cell>
          <cell r="C262" t="str">
            <v>Expenses</v>
          </cell>
          <cell r="D262">
            <v>0</v>
          </cell>
          <cell r="E262">
            <v>0</v>
          </cell>
          <cell r="H262">
            <v>0</v>
          </cell>
          <cell r="I262">
            <v>0</v>
          </cell>
          <cell r="J262">
            <v>0</v>
          </cell>
        </row>
        <row r="263">
          <cell r="A263" t="str">
            <v>8052</v>
          </cell>
          <cell r="B263" t="str">
            <v>Medical Expense</v>
          </cell>
          <cell r="C263" t="str">
            <v>Expenses</v>
          </cell>
          <cell r="D263">
            <v>165042</v>
          </cell>
          <cell r="E263">
            <v>0</v>
          </cell>
          <cell r="H263">
            <v>165042</v>
          </cell>
          <cell r="I263">
            <v>0</v>
          </cell>
          <cell r="J263">
            <v>165042</v>
          </cell>
        </row>
        <row r="264">
          <cell r="A264" t="str">
            <v>8053</v>
          </cell>
          <cell r="B264" t="str">
            <v>Fee &amp; Subscription</v>
          </cell>
          <cell r="C264" t="str">
            <v>Expenses</v>
          </cell>
          <cell r="D264">
            <v>0</v>
          </cell>
          <cell r="E264">
            <v>0</v>
          </cell>
          <cell r="H264">
            <v>0</v>
          </cell>
          <cell r="I264">
            <v>0</v>
          </cell>
          <cell r="J264">
            <v>0</v>
          </cell>
        </row>
        <row r="265">
          <cell r="B265" t="str">
            <v>Auditors Remuneration</v>
          </cell>
          <cell r="C265" t="str">
            <v>Expenses</v>
          </cell>
          <cell r="D265">
            <v>0</v>
          </cell>
          <cell r="E265">
            <v>0</v>
          </cell>
          <cell r="F265">
            <v>150000</v>
          </cell>
          <cell r="H265">
            <v>150000</v>
          </cell>
          <cell r="I265">
            <v>0</v>
          </cell>
          <cell r="J265">
            <v>150000</v>
          </cell>
        </row>
        <row r="266">
          <cell r="B266" t="str">
            <v>Bad debt expense</v>
          </cell>
          <cell r="C266" t="str">
            <v>Expenses</v>
          </cell>
          <cell r="D266">
            <v>0</v>
          </cell>
          <cell r="E266">
            <v>0</v>
          </cell>
          <cell r="H266">
            <v>0</v>
          </cell>
          <cell r="I266">
            <v>0</v>
          </cell>
          <cell r="J266">
            <v>0</v>
          </cell>
        </row>
        <row r="267">
          <cell r="B267" t="str">
            <v>Depreciation</v>
          </cell>
          <cell r="C267" t="str">
            <v>Expenses</v>
          </cell>
          <cell r="D267">
            <v>0</v>
          </cell>
          <cell r="E267">
            <v>0</v>
          </cell>
          <cell r="F267">
            <v>99043</v>
          </cell>
          <cell r="H267">
            <v>99043</v>
          </cell>
          <cell r="I267">
            <v>0</v>
          </cell>
          <cell r="J267">
            <v>99043</v>
          </cell>
        </row>
        <row r="268">
          <cell r="B268" t="str">
            <v>WWF</v>
          </cell>
          <cell r="C268" t="str">
            <v>Expenses</v>
          </cell>
          <cell r="D268">
            <v>0</v>
          </cell>
          <cell r="E268">
            <v>0</v>
          </cell>
          <cell r="F268">
            <v>179481.56</v>
          </cell>
          <cell r="H268">
            <v>179482</v>
          </cell>
          <cell r="I268">
            <v>0</v>
          </cell>
          <cell r="J268">
            <v>179482</v>
          </cell>
        </row>
        <row r="269">
          <cell r="B269" t="str">
            <v>WPPF</v>
          </cell>
          <cell r="C269" t="str">
            <v>Expenses</v>
          </cell>
          <cell r="D269">
            <v>0</v>
          </cell>
          <cell r="F269">
            <v>419896</v>
          </cell>
          <cell r="H269">
            <v>419896</v>
          </cell>
          <cell r="I269">
            <v>0</v>
          </cell>
          <cell r="J269">
            <v>419896</v>
          </cell>
        </row>
        <row r="270">
          <cell r="B270" t="str">
            <v>Tax expense</v>
          </cell>
          <cell r="C270" t="str">
            <v>Expenses</v>
          </cell>
          <cell r="D270">
            <v>0</v>
          </cell>
          <cell r="E270">
            <v>0</v>
          </cell>
          <cell r="F270">
            <v>2990162.7895999998</v>
          </cell>
          <cell r="H270">
            <v>2990163</v>
          </cell>
          <cell r="I270">
            <v>0</v>
          </cell>
          <cell r="J270">
            <v>2990163</v>
          </cell>
        </row>
        <row r="271">
          <cell r="B271" t="str">
            <v>Deferred tax expense / income</v>
          </cell>
          <cell r="C271" t="str">
            <v>Expenses</v>
          </cell>
          <cell r="D271">
            <v>0</v>
          </cell>
          <cell r="E271">
            <v>0</v>
          </cell>
          <cell r="F271">
            <v>659215</v>
          </cell>
          <cell r="H271">
            <v>659215</v>
          </cell>
          <cell r="I271">
            <v>0</v>
          </cell>
          <cell r="J271">
            <v>659215</v>
          </cell>
        </row>
        <row r="272">
          <cell r="A272" t="str">
            <v>8057</v>
          </cell>
          <cell r="B272" t="str">
            <v>Extra Tax</v>
          </cell>
          <cell r="D272">
            <v>12564.42</v>
          </cell>
          <cell r="E272">
            <v>0</v>
          </cell>
          <cell r="G272">
            <v>12564</v>
          </cell>
          <cell r="H272">
            <v>0</v>
          </cell>
          <cell r="I272">
            <v>0</v>
          </cell>
          <cell r="J272">
            <v>0</v>
          </cell>
        </row>
        <row r="273">
          <cell r="D273">
            <v>13411435.710000001</v>
          </cell>
          <cell r="E273">
            <v>0</v>
          </cell>
          <cell r="H273">
            <v>17255916</v>
          </cell>
          <cell r="I273">
            <v>0</v>
          </cell>
          <cell r="J273">
            <v>17255916</v>
          </cell>
        </row>
        <row r="274">
          <cell r="J274">
            <v>0</v>
          </cell>
        </row>
        <row r="275">
          <cell r="J275">
            <v>0</v>
          </cell>
        </row>
        <row r="276">
          <cell r="J276">
            <v>0</v>
          </cell>
        </row>
        <row r="277">
          <cell r="C277" t="str">
            <v>Finance cost (Bank Charges)</v>
          </cell>
          <cell r="J277">
            <v>0</v>
          </cell>
        </row>
        <row r="278">
          <cell r="A278" t="str">
            <v>8033</v>
          </cell>
          <cell r="B278" t="str">
            <v>Bank Charges (HBL)</v>
          </cell>
          <cell r="C278" t="str">
            <v>Expenses</v>
          </cell>
          <cell r="D278">
            <v>0</v>
          </cell>
          <cell r="E278">
            <v>0</v>
          </cell>
          <cell r="H278">
            <v>0</v>
          </cell>
          <cell r="I278">
            <v>0</v>
          </cell>
          <cell r="J278">
            <v>0</v>
          </cell>
        </row>
        <row r="279">
          <cell r="A279" t="str">
            <v>8034</v>
          </cell>
          <cell r="B279" t="str">
            <v>Bank Charges (BAL)</v>
          </cell>
          <cell r="C279" t="str">
            <v>Expenses</v>
          </cell>
          <cell r="D279">
            <v>0</v>
          </cell>
          <cell r="E279">
            <v>0</v>
          </cell>
          <cell r="F279">
            <v>7320</v>
          </cell>
          <cell r="H279">
            <v>7320</v>
          </cell>
          <cell r="I279">
            <v>0</v>
          </cell>
          <cell r="J279">
            <v>7320</v>
          </cell>
        </row>
        <row r="280">
          <cell r="A280" t="str">
            <v>8035</v>
          </cell>
          <cell r="B280" t="str">
            <v>Bank Charges Askari</v>
          </cell>
          <cell r="C280" t="str">
            <v>Expenses</v>
          </cell>
          <cell r="D280">
            <v>35996.04</v>
          </cell>
          <cell r="E280">
            <v>0</v>
          </cell>
          <cell r="F280">
            <v>4338</v>
          </cell>
          <cell r="G280">
            <v>2514</v>
          </cell>
          <cell r="H280">
            <v>37820</v>
          </cell>
          <cell r="I280">
            <v>0</v>
          </cell>
          <cell r="J280">
            <v>37820</v>
          </cell>
        </row>
        <row r="281">
          <cell r="A281" t="str">
            <v>8036</v>
          </cell>
          <cell r="B281" t="str">
            <v>Bank Charges Silk Bank</v>
          </cell>
          <cell r="C281" t="str">
            <v>Expenses</v>
          </cell>
          <cell r="D281">
            <v>0</v>
          </cell>
          <cell r="E281">
            <v>0</v>
          </cell>
          <cell r="H281">
            <v>0</v>
          </cell>
          <cell r="I281">
            <v>0</v>
          </cell>
          <cell r="J281">
            <v>0</v>
          </cell>
        </row>
        <row r="282">
          <cell r="A282" t="str">
            <v>8037</v>
          </cell>
          <cell r="B282" t="str">
            <v>Bank Charges Meezan</v>
          </cell>
          <cell r="C282" t="str">
            <v>Expenses</v>
          </cell>
          <cell r="D282">
            <v>1212.82</v>
          </cell>
          <cell r="E282">
            <v>0</v>
          </cell>
          <cell r="H282">
            <v>1213</v>
          </cell>
          <cell r="I282">
            <v>0</v>
          </cell>
          <cell r="J282">
            <v>1213</v>
          </cell>
        </row>
        <row r="283">
          <cell r="A283" t="str">
            <v>8055</v>
          </cell>
          <cell r="B283" t="str">
            <v>Bank Charges MBL (Akb chok)</v>
          </cell>
          <cell r="C283" t="str">
            <v>Expenses</v>
          </cell>
          <cell r="D283">
            <v>9815.35</v>
          </cell>
          <cell r="E283">
            <v>0</v>
          </cell>
          <cell r="F283">
            <v>16140</v>
          </cell>
          <cell r="G283">
            <v>1500</v>
          </cell>
          <cell r="H283">
            <v>24455</v>
          </cell>
          <cell r="I283">
            <v>0</v>
          </cell>
          <cell r="J283">
            <v>24455</v>
          </cell>
        </row>
        <row r="284">
          <cell r="A284" t="str">
            <v>8056</v>
          </cell>
          <cell r="B284" t="str">
            <v>CAR IJARAH rentalsExpense</v>
          </cell>
          <cell r="D284">
            <v>777880</v>
          </cell>
          <cell r="E284">
            <v>0</v>
          </cell>
          <cell r="F284">
            <v>1732558</v>
          </cell>
          <cell r="H284">
            <v>2510438</v>
          </cell>
          <cell r="I284">
            <v>0</v>
          </cell>
          <cell r="J284">
            <v>2510438</v>
          </cell>
        </row>
        <row r="285">
          <cell r="D285">
            <v>824904.21</v>
          </cell>
          <cell r="H285">
            <v>2581246</v>
          </cell>
          <cell r="J285">
            <v>2581246</v>
          </cell>
        </row>
        <row r="286">
          <cell r="C286" t="str">
            <v>Finance Cost (Markup)</v>
          </cell>
          <cell r="J286">
            <v>0</v>
          </cell>
        </row>
        <row r="287">
          <cell r="A287" t="str">
            <v>8054</v>
          </cell>
          <cell r="B287" t="str">
            <v>Markup Murabaha - Meezan</v>
          </cell>
          <cell r="C287" t="str">
            <v>Expenses</v>
          </cell>
          <cell r="D287">
            <v>2516252.84</v>
          </cell>
          <cell r="E287">
            <v>0</v>
          </cell>
          <cell r="F287">
            <v>29610</v>
          </cell>
          <cell r="H287">
            <v>2545863</v>
          </cell>
          <cell r="I287">
            <v>0</v>
          </cell>
          <cell r="J287">
            <v>2545863</v>
          </cell>
          <cell r="K287">
            <v>2540013</v>
          </cell>
        </row>
        <row r="288">
          <cell r="A288" t="str">
            <v>8038</v>
          </cell>
          <cell r="B288" t="str">
            <v>Askari Bank</v>
          </cell>
          <cell r="C288" t="str">
            <v>Expenses</v>
          </cell>
          <cell r="D288">
            <v>1601712.2</v>
          </cell>
          <cell r="E288">
            <v>0</v>
          </cell>
          <cell r="H288">
            <v>1601712</v>
          </cell>
          <cell r="I288">
            <v>0</v>
          </cell>
          <cell r="J288">
            <v>1601712</v>
          </cell>
          <cell r="K288">
            <v>1601712</v>
          </cell>
          <cell r="L288">
            <v>39444</v>
          </cell>
        </row>
        <row r="289">
          <cell r="A289" t="str">
            <v>8045</v>
          </cell>
          <cell r="B289" t="str">
            <v>Cost of Sales (Effect of closing stock)</v>
          </cell>
          <cell r="C289" t="str">
            <v>Expenses</v>
          </cell>
          <cell r="D289">
            <v>0</v>
          </cell>
          <cell r="E289">
            <v>0</v>
          </cell>
          <cell r="G289">
            <v>2624549</v>
          </cell>
          <cell r="H289">
            <v>0</v>
          </cell>
          <cell r="I289">
            <v>2624549</v>
          </cell>
          <cell r="J289">
            <v>2624549</v>
          </cell>
        </row>
        <row r="290">
          <cell r="D290">
            <v>4117965.04</v>
          </cell>
          <cell r="H290">
            <v>4147575</v>
          </cell>
          <cell r="J290">
            <v>4147575</v>
          </cell>
        </row>
        <row r="292">
          <cell r="A292">
            <v>0</v>
          </cell>
          <cell r="B292" t="str">
            <v>Total:</v>
          </cell>
          <cell r="C292">
            <v>0</v>
          </cell>
          <cell r="D292">
            <v>411639057.07999998</v>
          </cell>
          <cell r="E292">
            <v>411639056.07999998</v>
          </cell>
          <cell r="F292">
            <v>35228766</v>
          </cell>
          <cell r="G292">
            <v>35228766</v>
          </cell>
          <cell r="H292">
            <v>413515912</v>
          </cell>
          <cell r="I292">
            <v>413515911</v>
          </cell>
        </row>
        <row r="294">
          <cell r="E294">
            <v>1.0000000596046399</v>
          </cell>
          <cell r="G294">
            <v>0</v>
          </cell>
          <cell r="I294">
            <v>1</v>
          </cell>
        </row>
      </sheetData>
      <sheetData sheetId="3" refreshError="1"/>
      <sheetData sheetId="4"/>
      <sheetData sheetId="5"/>
      <sheetData sheetId="6"/>
      <sheetData sheetId="7" refreshError="1"/>
      <sheetData sheetId="8" refreshError="1"/>
      <sheetData sheetId="9" refreshError="1"/>
      <sheetData sheetId="10" refreshError="1"/>
      <sheetData sheetId="11">
        <row r="164">
          <cell r="L164">
            <v>7101759</v>
          </cell>
        </row>
        <row r="165">
          <cell r="J165">
            <v>9479000</v>
          </cell>
          <cell r="L165">
            <v>19358576</v>
          </cell>
        </row>
      </sheetData>
      <sheetData sheetId="12" refreshError="1"/>
      <sheetData sheetId="13" refreshError="1"/>
      <sheetData sheetId="14" refreshError="1"/>
      <sheetData sheetId="15" refreshError="1"/>
      <sheetData sheetId="1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ial Balance"/>
    </sheetNames>
    <sheetDataSet>
      <sheetData sheetId="0"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ial Balance"/>
      <sheetName val="Adjusting entries"/>
      <sheetName val="B.Sheet "/>
      <sheetName val="P &amp; Loss"/>
      <sheetName val="SOCI"/>
      <sheetName val="cash.flow"/>
      <sheetName val="EQUITY"/>
      <sheetName val="Property, plant &amp; equipment"/>
      <sheetName val="NOTES"/>
      <sheetName val="Tax computation"/>
      <sheetName val="Tax Dep "/>
      <sheetName val="WPPF"/>
      <sheetName val="Deferred taxation"/>
    </sheetNames>
    <sheetDataSet>
      <sheetData sheetId="0">
        <row r="1">
          <cell r="A1" t="str">
            <v>Account ID</v>
          </cell>
          <cell r="B1" t="str">
            <v>Account Description</v>
          </cell>
          <cell r="C1" t="str">
            <v>Account Type</v>
          </cell>
          <cell r="D1" t="str">
            <v>Trial Balnce</v>
          </cell>
          <cell r="F1" t="str">
            <v>Adjusting Entries</v>
          </cell>
          <cell r="H1" t="str">
            <v>Closing Balance (linked with A/C)</v>
          </cell>
        </row>
        <row r="2">
          <cell r="D2" t="str">
            <v>Debit Amt</v>
          </cell>
          <cell r="E2" t="str">
            <v>Credit Amt</v>
          </cell>
          <cell r="F2" t="str">
            <v>Debit Amt</v>
          </cell>
          <cell r="G2" t="str">
            <v>Credit Amt</v>
          </cell>
          <cell r="H2" t="str">
            <v>Debit Amt</v>
          </cell>
          <cell r="I2" t="str">
            <v>Credit Amt</v>
          </cell>
        </row>
        <row r="3">
          <cell r="C3" t="str">
            <v>Balance Sheet</v>
          </cell>
        </row>
        <row r="5">
          <cell r="C5" t="str">
            <v>Equity</v>
          </cell>
        </row>
        <row r="6">
          <cell r="A6" t="str">
            <v>1001</v>
          </cell>
          <cell r="B6" t="str">
            <v>Issued Sub &amp; Paid Up Capital</v>
          </cell>
          <cell r="C6" t="str">
            <v>Equity-doesn't close</v>
          </cell>
          <cell r="E6">
            <v>19360000</v>
          </cell>
          <cell r="I6">
            <v>19360000</v>
          </cell>
        </row>
        <row r="7">
          <cell r="A7" t="str">
            <v>1003</v>
          </cell>
          <cell r="B7" t="str">
            <v>Beginning Balance Equity</v>
          </cell>
          <cell r="C7" t="str">
            <v>Equity-doesn't close</v>
          </cell>
          <cell r="E7">
            <v>44043252</v>
          </cell>
          <cell r="I7">
            <v>44043252</v>
          </cell>
        </row>
        <row r="8">
          <cell r="E8">
            <v>63403252</v>
          </cell>
          <cell r="I8">
            <v>63403252</v>
          </cell>
        </row>
        <row r="9">
          <cell r="C9" t="str">
            <v>Accrued liabilities</v>
          </cell>
        </row>
        <row r="10">
          <cell r="C10" t="str">
            <v>Salaries and wages payable</v>
          </cell>
        </row>
        <row r="11">
          <cell r="A11" t="str">
            <v>3001</v>
          </cell>
          <cell r="B11" t="str">
            <v>Employees Salary P/B</v>
          </cell>
          <cell r="C11" t="str">
            <v>Accounts Payable</v>
          </cell>
          <cell r="E11">
            <v>888183</v>
          </cell>
          <cell r="I11">
            <v>888183</v>
          </cell>
        </row>
        <row r="12">
          <cell r="A12" t="str">
            <v>3002</v>
          </cell>
          <cell r="B12" t="str">
            <v>Staff Salary P/B</v>
          </cell>
          <cell r="C12" t="str">
            <v>Accounts Payable</v>
          </cell>
          <cell r="E12">
            <v>375730</v>
          </cell>
          <cell r="I12">
            <v>375730</v>
          </cell>
        </row>
        <row r="13">
          <cell r="A13" t="str">
            <v>3003</v>
          </cell>
          <cell r="B13" t="str">
            <v>Directors Salary P/B</v>
          </cell>
          <cell r="C13" t="str">
            <v>Accounts Payable</v>
          </cell>
          <cell r="E13">
            <v>296000</v>
          </cell>
          <cell r="I13">
            <v>296000</v>
          </cell>
        </row>
        <row r="14">
          <cell r="E14">
            <v>1559913</v>
          </cell>
          <cell r="I14">
            <v>1559913</v>
          </cell>
        </row>
        <row r="15">
          <cell r="C15" t="str">
            <v>Utilities Payable</v>
          </cell>
        </row>
        <row r="16">
          <cell r="A16" t="str">
            <v>3021</v>
          </cell>
          <cell r="B16" t="str">
            <v>Telephone Payable -131</v>
          </cell>
          <cell r="C16" t="str">
            <v>Accounts Payable</v>
          </cell>
          <cell r="E16">
            <v>4040</v>
          </cell>
          <cell r="G16">
            <v>9341</v>
          </cell>
          <cell r="I16">
            <v>13381</v>
          </cell>
        </row>
        <row r="17">
          <cell r="A17" t="str">
            <v>3022</v>
          </cell>
          <cell r="B17" t="str">
            <v>Telephone Payable -132</v>
          </cell>
          <cell r="C17" t="str">
            <v>Accounts Payable</v>
          </cell>
          <cell r="E17">
            <v>280</v>
          </cell>
          <cell r="I17">
            <v>280</v>
          </cell>
        </row>
        <row r="18">
          <cell r="A18" t="str">
            <v>3023</v>
          </cell>
          <cell r="B18" t="str">
            <v>Telephone Payable -898</v>
          </cell>
          <cell r="C18" t="str">
            <v>Accounts Payable</v>
          </cell>
          <cell r="E18">
            <v>3210</v>
          </cell>
          <cell r="I18">
            <v>3210</v>
          </cell>
        </row>
        <row r="19">
          <cell r="A19" t="str">
            <v>3035</v>
          </cell>
          <cell r="B19" t="str">
            <v>Electricity Payable 60-M</v>
          </cell>
          <cell r="C19" t="str">
            <v>Accounts Payable</v>
          </cell>
          <cell r="E19">
            <v>22316</v>
          </cell>
          <cell r="I19">
            <v>22316</v>
          </cell>
        </row>
        <row r="20">
          <cell r="A20" t="str">
            <v>3053</v>
          </cell>
          <cell r="B20" t="str">
            <v>Electricity Payable 131-S</v>
          </cell>
          <cell r="C20" t="str">
            <v>Accounts Payable</v>
          </cell>
          <cell r="E20">
            <v>485793</v>
          </cell>
          <cell r="I20">
            <v>485793</v>
          </cell>
        </row>
        <row r="21">
          <cell r="A21" t="str">
            <v>3054</v>
          </cell>
          <cell r="B21" t="str">
            <v>SUI Gas Payable</v>
          </cell>
          <cell r="C21" t="str">
            <v>Accounts Payable</v>
          </cell>
          <cell r="E21">
            <v>91059</v>
          </cell>
          <cell r="I21">
            <v>91059</v>
          </cell>
        </row>
        <row r="22">
          <cell r="A22" t="str">
            <v>3055</v>
          </cell>
          <cell r="B22" t="str">
            <v>Telephone Payable 60-M</v>
          </cell>
          <cell r="C22" t="str">
            <v>Accounts Payable</v>
          </cell>
          <cell r="E22">
            <v>1110</v>
          </cell>
          <cell r="I22">
            <v>1110</v>
          </cell>
        </row>
        <row r="23">
          <cell r="A23" t="str">
            <v>3074</v>
          </cell>
          <cell r="B23" t="str">
            <v>PTCL Bill Payable 60-M (5675)</v>
          </cell>
          <cell r="C23" t="str">
            <v>Accounts Payable</v>
          </cell>
          <cell r="E23">
            <v>630</v>
          </cell>
          <cell r="I23">
            <v>630</v>
          </cell>
        </row>
        <row r="24">
          <cell r="A24" t="str">
            <v>3075</v>
          </cell>
          <cell r="B24" t="str">
            <v>PTCL Bill Payable 60-M (5676)</v>
          </cell>
          <cell r="C24" t="str">
            <v>Accounts Payable</v>
          </cell>
          <cell r="E24">
            <v>2760</v>
          </cell>
          <cell r="I24">
            <v>2760</v>
          </cell>
        </row>
        <row r="25">
          <cell r="E25">
            <v>611198</v>
          </cell>
          <cell r="I25">
            <v>620539</v>
          </cell>
        </row>
        <row r="26">
          <cell r="C26" t="str">
            <v>Audit Fee</v>
          </cell>
        </row>
        <row r="27">
          <cell r="B27" t="str">
            <v>Auditors Remuneration P/B</v>
          </cell>
          <cell r="C27" t="str">
            <v>Accounts Payable</v>
          </cell>
          <cell r="E27">
            <v>150000</v>
          </cell>
          <cell r="I27">
            <v>150000</v>
          </cell>
        </row>
        <row r="28">
          <cell r="E28">
            <v>150000</v>
          </cell>
          <cell r="I28">
            <v>150000</v>
          </cell>
        </row>
        <row r="29">
          <cell r="C29" t="str">
            <v>Trade Creditors</v>
          </cell>
        </row>
        <row r="30">
          <cell r="A30" t="str">
            <v>3004</v>
          </cell>
          <cell r="B30" t="str">
            <v>International Industries Ltd</v>
          </cell>
          <cell r="C30" t="str">
            <v>Accounts Payable</v>
          </cell>
          <cell r="E30">
            <v>40697930.75</v>
          </cell>
          <cell r="F30">
            <v>6000000</v>
          </cell>
          <cell r="I30">
            <v>34697931</v>
          </cell>
        </row>
        <row r="31">
          <cell r="A31" t="str">
            <v>3005</v>
          </cell>
          <cell r="B31" t="str">
            <v>Briter Electroplating Co.</v>
          </cell>
          <cell r="C31" t="str">
            <v>Accounts Payable</v>
          </cell>
          <cell r="E31">
            <v>7177341.7999999998</v>
          </cell>
          <cell r="F31">
            <v>672800</v>
          </cell>
          <cell r="I31">
            <v>6504542</v>
          </cell>
        </row>
        <row r="32">
          <cell r="A32" t="str">
            <v>3007</v>
          </cell>
          <cell r="B32" t="str">
            <v>Briter Chemicals Co.</v>
          </cell>
          <cell r="C32" t="str">
            <v>Accounts Payable</v>
          </cell>
          <cell r="E32">
            <v>1587900.48</v>
          </cell>
          <cell r="I32">
            <v>1587900</v>
          </cell>
        </row>
        <row r="33">
          <cell r="A33" t="str">
            <v>3008</v>
          </cell>
          <cell r="B33" t="str">
            <v>New Shalimar Steel</v>
          </cell>
          <cell r="C33" t="str">
            <v>Accounts Payable</v>
          </cell>
          <cell r="E33">
            <v>1463601.01</v>
          </cell>
          <cell r="G33">
            <v>884762</v>
          </cell>
          <cell r="I33">
            <v>2348363</v>
          </cell>
        </row>
        <row r="34">
          <cell r="A34" t="str">
            <v>3010</v>
          </cell>
          <cell r="B34" t="str">
            <v>New Light House (Pvt) Ltd</v>
          </cell>
          <cell r="C34" t="str">
            <v>Accounts Payable</v>
          </cell>
          <cell r="E34">
            <v>687147.16</v>
          </cell>
          <cell r="I34">
            <v>687147</v>
          </cell>
        </row>
        <row r="35">
          <cell r="A35" t="str">
            <v>3013</v>
          </cell>
          <cell r="B35" t="str">
            <v>Technocall Entarprises</v>
          </cell>
          <cell r="C35" t="str">
            <v>Accounts Payable</v>
          </cell>
          <cell r="E35">
            <v>13851.5</v>
          </cell>
          <cell r="I35">
            <v>13852</v>
          </cell>
        </row>
        <row r="36">
          <cell r="A36" t="str">
            <v>3020</v>
          </cell>
          <cell r="B36" t="str">
            <v>Faisal Steel Corp.</v>
          </cell>
          <cell r="C36" t="str">
            <v>Accounts Payable</v>
          </cell>
          <cell r="E36">
            <v>47180.68</v>
          </cell>
          <cell r="G36">
            <v>90</v>
          </cell>
          <cell r="I36">
            <v>47271</v>
          </cell>
        </row>
        <row r="37">
          <cell r="A37" t="str">
            <v>3026</v>
          </cell>
          <cell r="B37" t="str">
            <v>Omar Industries</v>
          </cell>
          <cell r="C37" t="str">
            <v>Accounts Payable</v>
          </cell>
          <cell r="E37">
            <v>8674</v>
          </cell>
          <cell r="I37">
            <v>8674</v>
          </cell>
        </row>
        <row r="38">
          <cell r="A38" t="str">
            <v>3036</v>
          </cell>
          <cell r="B38" t="str">
            <v>Javaid International (Pvt) Ltd</v>
          </cell>
          <cell r="C38" t="str">
            <v>Accounts Payable</v>
          </cell>
          <cell r="E38">
            <v>2</v>
          </cell>
          <cell r="I38">
            <v>2</v>
          </cell>
        </row>
        <row r="39">
          <cell r="A39" t="str">
            <v>3037</v>
          </cell>
          <cell r="B39" t="str">
            <v>Tehama Packeges</v>
          </cell>
          <cell r="C39" t="str">
            <v>Accounts Payable</v>
          </cell>
          <cell r="E39">
            <v>27964.880000000001</v>
          </cell>
          <cell r="I39">
            <v>27965</v>
          </cell>
        </row>
        <row r="40">
          <cell r="A40" t="str">
            <v>3041</v>
          </cell>
          <cell r="B40" t="str">
            <v>Salman Steel Craft</v>
          </cell>
          <cell r="C40" t="str">
            <v>Accounts Payable</v>
          </cell>
          <cell r="E40">
            <v>462452.96</v>
          </cell>
          <cell r="I40">
            <v>462453</v>
          </cell>
        </row>
        <row r="41">
          <cell r="A41" t="str">
            <v>3046</v>
          </cell>
          <cell r="B41" t="str">
            <v>M Sharif &amp; Co.</v>
          </cell>
          <cell r="C41" t="str">
            <v>Accounts Payable</v>
          </cell>
          <cell r="E41">
            <v>39053</v>
          </cell>
          <cell r="I41">
            <v>39053</v>
          </cell>
        </row>
        <row r="42">
          <cell r="A42" t="str">
            <v>3063</v>
          </cell>
          <cell r="B42" t="str">
            <v>Akbari Chemicals</v>
          </cell>
          <cell r="C42" t="str">
            <v>Accounts Payable</v>
          </cell>
          <cell r="E42">
            <v>248602</v>
          </cell>
          <cell r="F42">
            <v>248602</v>
          </cell>
          <cell r="H42">
            <v>0</v>
          </cell>
          <cell r="I42">
            <v>0</v>
          </cell>
        </row>
        <row r="43">
          <cell r="A43" t="str">
            <v>3065</v>
          </cell>
          <cell r="B43" t="str">
            <v>Mushtaq Iron &amp; Steel</v>
          </cell>
          <cell r="C43" t="str">
            <v>Accounts Payable</v>
          </cell>
          <cell r="E43">
            <v>0.32</v>
          </cell>
          <cell r="I43">
            <v>0</v>
          </cell>
        </row>
        <row r="44">
          <cell r="A44" t="str">
            <v>3066</v>
          </cell>
          <cell r="B44" t="str">
            <v>Arif Brothers</v>
          </cell>
          <cell r="C44" t="str">
            <v>Accounts Payable</v>
          </cell>
          <cell r="E44">
            <v>452445.24</v>
          </cell>
          <cell r="I44">
            <v>452445</v>
          </cell>
        </row>
        <row r="45">
          <cell r="A45" t="str">
            <v>3067</v>
          </cell>
          <cell r="B45" t="str">
            <v>Omer Industries</v>
          </cell>
          <cell r="C45" t="str">
            <v>Accounts Payable</v>
          </cell>
          <cell r="E45">
            <v>9048</v>
          </cell>
          <cell r="I45">
            <v>9048</v>
          </cell>
        </row>
        <row r="46">
          <cell r="A46" t="str">
            <v>3073</v>
          </cell>
          <cell r="B46" t="str">
            <v>Mohsin Machinery Store</v>
          </cell>
          <cell r="C46" t="str">
            <v>Accounts Payable</v>
          </cell>
          <cell r="E46">
            <v>120000</v>
          </cell>
          <cell r="I46">
            <v>120000</v>
          </cell>
        </row>
        <row r="47">
          <cell r="A47" t="str">
            <v>3076</v>
          </cell>
          <cell r="B47" t="str">
            <v>A &amp; A Pipe Industries</v>
          </cell>
          <cell r="C47" t="str">
            <v>Accounts Payable</v>
          </cell>
          <cell r="E47">
            <v>1857856</v>
          </cell>
          <cell r="I47">
            <v>1857856</v>
          </cell>
        </row>
        <row r="48">
          <cell r="A48" t="str">
            <v>3077</v>
          </cell>
          <cell r="B48" t="str">
            <v>Usman International</v>
          </cell>
          <cell r="C48" t="str">
            <v>Accounts Payable</v>
          </cell>
          <cell r="E48">
            <v>768265</v>
          </cell>
          <cell r="F48">
            <v>290983</v>
          </cell>
          <cell r="I48">
            <v>477282</v>
          </cell>
        </row>
        <row r="49">
          <cell r="A49" t="str">
            <v>3079</v>
          </cell>
          <cell r="B49" t="str">
            <v>Arif Steel Centre</v>
          </cell>
          <cell r="C49" t="str">
            <v>Accounts Payable</v>
          </cell>
          <cell r="E49">
            <v>164076.12</v>
          </cell>
          <cell r="I49">
            <v>164076</v>
          </cell>
        </row>
        <row r="50">
          <cell r="E50">
            <v>55833392.899999999</v>
          </cell>
          <cell r="I50">
            <v>49505860</v>
          </cell>
        </row>
        <row r="52">
          <cell r="C52" t="str">
            <v>Advance to supplier</v>
          </cell>
        </row>
        <row r="53">
          <cell r="A53" t="str">
            <v>3006</v>
          </cell>
          <cell r="B53" t="str">
            <v>Briter Engineering Co.</v>
          </cell>
          <cell r="C53" t="str">
            <v>Accounts Payable</v>
          </cell>
          <cell r="D53">
            <v>672760</v>
          </cell>
          <cell r="G53">
            <v>672800</v>
          </cell>
          <cell r="H53">
            <v>-40</v>
          </cell>
        </row>
        <row r="54">
          <cell r="A54" t="str">
            <v>3009</v>
          </cell>
          <cell r="B54" t="str">
            <v>Shalimar Steel Re Rolling</v>
          </cell>
          <cell r="C54" t="str">
            <v>Accounts Payable</v>
          </cell>
          <cell r="D54">
            <v>159211.54999999999</v>
          </cell>
          <cell r="H54">
            <v>159212</v>
          </cell>
        </row>
        <row r="55">
          <cell r="A55" t="str">
            <v>3028</v>
          </cell>
          <cell r="B55" t="str">
            <v>Techmen Engineering</v>
          </cell>
          <cell r="C55" t="str">
            <v>Accounts Payable</v>
          </cell>
          <cell r="D55">
            <v>61240.44</v>
          </cell>
          <cell r="G55">
            <v>68398</v>
          </cell>
          <cell r="H55">
            <v>-7158</v>
          </cell>
        </row>
        <row r="56">
          <cell r="A56" t="str">
            <v>3044</v>
          </cell>
          <cell r="B56" t="str">
            <v>Total Parco</v>
          </cell>
          <cell r="C56" t="str">
            <v>Accounts Payable</v>
          </cell>
          <cell r="D56">
            <v>77445</v>
          </cell>
          <cell r="H56">
            <v>77445</v>
          </cell>
        </row>
        <row r="57">
          <cell r="A57" t="str">
            <v>3048</v>
          </cell>
          <cell r="B57" t="str">
            <v>Insha Industries</v>
          </cell>
          <cell r="C57" t="str">
            <v>Accounts Payable</v>
          </cell>
          <cell r="D57">
            <v>142476.12</v>
          </cell>
          <cell r="G57">
            <v>140868</v>
          </cell>
          <cell r="H57">
            <v>1608</v>
          </cell>
        </row>
        <row r="58">
          <cell r="A58" t="str">
            <v>3064</v>
          </cell>
          <cell r="B58" t="str">
            <v>Iqbal Power Press</v>
          </cell>
          <cell r="C58" t="str">
            <v>Accounts Payable</v>
          </cell>
          <cell r="D58">
            <v>83000</v>
          </cell>
          <cell r="H58">
            <v>83000</v>
          </cell>
        </row>
        <row r="59">
          <cell r="A59" t="str">
            <v>3078</v>
          </cell>
          <cell r="B59" t="str">
            <v>Khalid Service Station</v>
          </cell>
          <cell r="C59" t="str">
            <v>Accounts Payable</v>
          </cell>
          <cell r="D59">
            <v>900</v>
          </cell>
          <cell r="H59">
            <v>900</v>
          </cell>
        </row>
        <row r="60">
          <cell r="D60">
            <v>1197033.1100000001</v>
          </cell>
          <cell r="H60">
            <v>314967</v>
          </cell>
        </row>
        <row r="65">
          <cell r="C65" t="str">
            <v>Sale Tax Payable</v>
          </cell>
        </row>
        <row r="66">
          <cell r="A66" t="str">
            <v>3039</v>
          </cell>
          <cell r="B66" t="str">
            <v>Sales Tax</v>
          </cell>
          <cell r="C66" t="str">
            <v>Accounts Payable</v>
          </cell>
          <cell r="E66">
            <v>159038.59</v>
          </cell>
          <cell r="F66">
            <v>238772.24</v>
          </cell>
          <cell r="G66">
            <v>35840</v>
          </cell>
          <cell r="I66">
            <v>-43894</v>
          </cell>
        </row>
        <row r="67">
          <cell r="A67" t="str">
            <v>3106</v>
          </cell>
          <cell r="B67" t="str">
            <v>Tax Technocall</v>
          </cell>
          <cell r="C67" t="str">
            <v>Other Current Liabilities</v>
          </cell>
          <cell r="E67">
            <v>6</v>
          </cell>
          <cell r="I67">
            <v>6</v>
          </cell>
        </row>
        <row r="68">
          <cell r="E68">
            <v>159044.59</v>
          </cell>
          <cell r="I68">
            <v>-43888</v>
          </cell>
        </row>
        <row r="70">
          <cell r="C70" t="str">
            <v>Advance Tax Deducted (Asset)</v>
          </cell>
        </row>
        <row r="71">
          <cell r="A71" t="str">
            <v>3103</v>
          </cell>
          <cell r="B71" t="str">
            <v>Tax Techmen Engg</v>
          </cell>
          <cell r="C71" t="str">
            <v>Other Current Liabilities</v>
          </cell>
          <cell r="D71">
            <v>242.78</v>
          </cell>
          <cell r="G71">
            <v>243</v>
          </cell>
          <cell r="H71">
            <v>0</v>
          </cell>
        </row>
        <row r="72">
          <cell r="A72" t="str">
            <v>5221</v>
          </cell>
          <cell r="B72" t="str">
            <v>Tax Deducted AHL</v>
          </cell>
          <cell r="C72" t="str">
            <v>Other Current Assets</v>
          </cell>
          <cell r="D72">
            <v>5166737</v>
          </cell>
          <cell r="H72">
            <v>5166737</v>
          </cell>
        </row>
        <row r="73">
          <cell r="A73" t="str">
            <v>5222</v>
          </cell>
          <cell r="B73" t="str">
            <v>Tax Deducted Metro</v>
          </cell>
          <cell r="C73" t="str">
            <v>Other Current Assets</v>
          </cell>
          <cell r="D73">
            <v>143500</v>
          </cell>
          <cell r="G73">
            <v>143500</v>
          </cell>
          <cell r="H73">
            <v>0</v>
          </cell>
        </row>
        <row r="74">
          <cell r="A74" t="str">
            <v>5223</v>
          </cell>
          <cell r="B74" t="str">
            <v>Tax Deducted PQM</v>
          </cell>
          <cell r="C74" t="str">
            <v>Other Current Assets</v>
          </cell>
          <cell r="D74">
            <v>94737.76</v>
          </cell>
          <cell r="H74">
            <v>94738</v>
          </cell>
        </row>
        <row r="75">
          <cell r="A75" t="str">
            <v>5233</v>
          </cell>
          <cell r="B75" t="str">
            <v>Tax Deducted AJR</v>
          </cell>
          <cell r="C75" t="str">
            <v>Other Current Assets</v>
          </cell>
          <cell r="D75">
            <v>13523.8</v>
          </cell>
          <cell r="H75">
            <v>13524</v>
          </cell>
        </row>
        <row r="76">
          <cell r="A76" t="str">
            <v>5241</v>
          </cell>
          <cell r="B76" t="str">
            <v>Tax ZXMCO</v>
          </cell>
          <cell r="C76" t="str">
            <v>Other Current Assets</v>
          </cell>
          <cell r="D76">
            <v>3349</v>
          </cell>
          <cell r="H76">
            <v>3349</v>
          </cell>
        </row>
        <row r="77">
          <cell r="A77" t="str">
            <v>5224</v>
          </cell>
          <cell r="B77" t="str">
            <v>S.T.W.H AHL</v>
          </cell>
          <cell r="C77" t="str">
            <v>Other Current Assets</v>
          </cell>
          <cell r="D77">
            <v>194342.3</v>
          </cell>
          <cell r="G77">
            <v>194342</v>
          </cell>
          <cell r="H77">
            <v>0</v>
          </cell>
          <cell r="J77" t="str">
            <v>Why sales tax booked as receivable?</v>
          </cell>
        </row>
        <row r="78">
          <cell r="A78" t="str">
            <v>5225</v>
          </cell>
          <cell r="B78" t="str">
            <v>S.T.W.H PQM</v>
          </cell>
          <cell r="C78" t="str">
            <v>Other Current Assets</v>
          </cell>
          <cell r="D78">
            <v>44430.239999999998</v>
          </cell>
          <cell r="G78">
            <v>44430.239999999998</v>
          </cell>
          <cell r="H78">
            <v>0</v>
          </cell>
          <cell r="J78" t="str">
            <v>Why sales tax booked as receivable?</v>
          </cell>
        </row>
        <row r="79">
          <cell r="A79" t="str">
            <v>5226</v>
          </cell>
          <cell r="B79" t="str">
            <v>I Tax Electricity</v>
          </cell>
          <cell r="C79" t="str">
            <v>Other Current Assets</v>
          </cell>
          <cell r="D79">
            <v>263394</v>
          </cell>
          <cell r="G79">
            <v>2956</v>
          </cell>
          <cell r="H79">
            <v>260438</v>
          </cell>
        </row>
        <row r="80">
          <cell r="A80" t="str">
            <v>5228</v>
          </cell>
          <cell r="B80" t="str">
            <v>I Tax Telephone</v>
          </cell>
          <cell r="C80" t="str">
            <v>Other Current Assets</v>
          </cell>
          <cell r="D80">
            <v>12591</v>
          </cell>
          <cell r="G80">
            <v>6009</v>
          </cell>
          <cell r="H80">
            <v>6582</v>
          </cell>
        </row>
        <row r="81">
          <cell r="A81" t="str">
            <v>5229</v>
          </cell>
          <cell r="B81" t="str">
            <v>W H Tax Alfalah</v>
          </cell>
          <cell r="C81" t="str">
            <v>Other Current Assets</v>
          </cell>
          <cell r="D81">
            <v>1211.05</v>
          </cell>
          <cell r="H81">
            <v>1211</v>
          </cell>
        </row>
        <row r="82">
          <cell r="A82" t="str">
            <v>5230</v>
          </cell>
          <cell r="B82" t="str">
            <v>W.H Tax Meezan</v>
          </cell>
          <cell r="C82" t="str">
            <v>Other Current Assets</v>
          </cell>
          <cell r="D82">
            <v>52365.75</v>
          </cell>
          <cell r="G82">
            <v>5</v>
          </cell>
          <cell r="H82">
            <v>52361</v>
          </cell>
        </row>
        <row r="83">
          <cell r="A83" t="str">
            <v>5231</v>
          </cell>
          <cell r="B83" t="str">
            <v>W.H Tax Askari</v>
          </cell>
          <cell r="C83" t="str">
            <v>Other Current Assets</v>
          </cell>
          <cell r="D83">
            <v>3976</v>
          </cell>
          <cell r="F83">
            <v>6529</v>
          </cell>
          <cell r="H83">
            <v>10505</v>
          </cell>
        </row>
        <row r="84">
          <cell r="A84" t="str">
            <v>5232</v>
          </cell>
          <cell r="B84" t="str">
            <v>W.H Tax Silk Bank</v>
          </cell>
          <cell r="C84" t="str">
            <v>Other Current Assets</v>
          </cell>
          <cell r="D84">
            <v>7490</v>
          </cell>
          <cell r="H84">
            <v>7490</v>
          </cell>
        </row>
        <row r="85">
          <cell r="D85">
            <v>6001890.6799999997</v>
          </cell>
          <cell r="H85">
            <v>5616935</v>
          </cell>
        </row>
        <row r="87">
          <cell r="C87" t="str">
            <v>Long Term Loan</v>
          </cell>
        </row>
        <row r="88">
          <cell r="A88" t="str">
            <v>3109</v>
          </cell>
          <cell r="B88" t="str">
            <v>Director's Loan</v>
          </cell>
          <cell r="C88" t="str">
            <v>Other Current Liabilities</v>
          </cell>
          <cell r="E88">
            <v>16537156</v>
          </cell>
          <cell r="G88">
            <v>997051</v>
          </cell>
          <cell r="I88">
            <v>17534207</v>
          </cell>
        </row>
        <row r="89">
          <cell r="E89">
            <v>16537156</v>
          </cell>
          <cell r="I89">
            <v>17534207</v>
          </cell>
        </row>
        <row r="91">
          <cell r="C91" t="str">
            <v>Expenses Payable</v>
          </cell>
        </row>
        <row r="92">
          <cell r="A92" t="str">
            <v>3117</v>
          </cell>
          <cell r="B92" t="str">
            <v>Deffered Taxation</v>
          </cell>
          <cell r="C92" t="str">
            <v>Other Current Liabilities</v>
          </cell>
          <cell r="E92">
            <v>1036835</v>
          </cell>
          <cell r="F92">
            <v>233212</v>
          </cell>
          <cell r="I92">
            <v>803623</v>
          </cell>
        </row>
        <row r="93">
          <cell r="A93" t="str">
            <v>3119</v>
          </cell>
          <cell r="B93" t="str">
            <v>Workers Welfare Fund</v>
          </cell>
          <cell r="C93" t="str">
            <v>Other Current Liabilities</v>
          </cell>
          <cell r="E93">
            <v>325499</v>
          </cell>
          <cell r="F93">
            <v>325499</v>
          </cell>
          <cell r="G93">
            <v>337243.64</v>
          </cell>
          <cell r="I93">
            <v>337244</v>
          </cell>
        </row>
        <row r="94">
          <cell r="A94" t="str">
            <v>3123</v>
          </cell>
          <cell r="B94" t="str">
            <v>Workers WPPF Payable</v>
          </cell>
          <cell r="C94" t="str">
            <v>Other Current Liabilities</v>
          </cell>
          <cell r="E94">
            <v>849059</v>
          </cell>
          <cell r="F94">
            <v>849059</v>
          </cell>
          <cell r="G94">
            <v>902819</v>
          </cell>
          <cell r="I94">
            <v>902819</v>
          </cell>
        </row>
        <row r="95">
          <cell r="A95" t="str">
            <v>3125</v>
          </cell>
          <cell r="B95" t="str">
            <v>Staff Gratuity</v>
          </cell>
          <cell r="C95" t="str">
            <v>Accounts Payable</v>
          </cell>
          <cell r="E95">
            <v>585928</v>
          </cell>
          <cell r="G95">
            <v>918472</v>
          </cell>
          <cell r="I95">
            <v>1504400</v>
          </cell>
        </row>
        <row r="96">
          <cell r="E96">
            <v>2797321</v>
          </cell>
          <cell r="I96">
            <v>3548086</v>
          </cell>
        </row>
        <row r="98">
          <cell r="C98" t="str">
            <v>Overdraft</v>
          </cell>
        </row>
        <row r="99">
          <cell r="A99" t="str">
            <v>3126</v>
          </cell>
          <cell r="B99" t="str">
            <v>Meezan Murabaha Account</v>
          </cell>
          <cell r="C99" t="str">
            <v>Other Current Liabilities</v>
          </cell>
          <cell r="E99">
            <v>12400000</v>
          </cell>
          <cell r="I99">
            <v>12400000</v>
          </cell>
        </row>
        <row r="100">
          <cell r="E100">
            <v>12400000</v>
          </cell>
          <cell r="I100">
            <v>12400000</v>
          </cell>
        </row>
        <row r="101">
          <cell r="C101" t="str">
            <v>Fixed assets</v>
          </cell>
        </row>
        <row r="102">
          <cell r="A102" t="str">
            <v>4000</v>
          </cell>
          <cell r="B102" t="str">
            <v>Cost of Land</v>
          </cell>
          <cell r="C102" t="str">
            <v>Fixed Assets</v>
          </cell>
          <cell r="D102">
            <v>75870000</v>
          </cell>
          <cell r="H102">
            <v>75870000</v>
          </cell>
        </row>
        <row r="103">
          <cell r="A103" t="str">
            <v>4001</v>
          </cell>
          <cell r="B103" t="str">
            <v>Cost of Building</v>
          </cell>
          <cell r="C103" t="str">
            <v>Fixed Assets</v>
          </cell>
          <cell r="D103">
            <v>2377086</v>
          </cell>
          <cell r="H103">
            <v>2377086</v>
          </cell>
        </row>
        <row r="104">
          <cell r="A104" t="str">
            <v>4003</v>
          </cell>
          <cell r="B104" t="str">
            <v>Cost of Plant &amp; Machinery</v>
          </cell>
          <cell r="C104" t="str">
            <v>Fixed Assets</v>
          </cell>
          <cell r="D104">
            <v>6982216</v>
          </cell>
          <cell r="H104">
            <v>6982216</v>
          </cell>
        </row>
        <row r="105">
          <cell r="A105" t="str">
            <v>4005</v>
          </cell>
          <cell r="B105" t="str">
            <v>Cost of  Furniture &amp; fix.</v>
          </cell>
          <cell r="C105" t="str">
            <v>Fixed Assets</v>
          </cell>
          <cell r="D105">
            <v>712261</v>
          </cell>
          <cell r="H105">
            <v>712261</v>
          </cell>
        </row>
        <row r="106">
          <cell r="A106" t="str">
            <v>4007</v>
          </cell>
          <cell r="B106" t="str">
            <v>Cost of Vehicles</v>
          </cell>
          <cell r="C106" t="str">
            <v>Fixed Assets</v>
          </cell>
          <cell r="D106">
            <v>2634720</v>
          </cell>
          <cell r="H106">
            <v>2634720</v>
          </cell>
        </row>
        <row r="107">
          <cell r="A107" t="str">
            <v>4009</v>
          </cell>
          <cell r="B107" t="str">
            <v>Generator</v>
          </cell>
          <cell r="C107" t="str">
            <v>Fixed Assets</v>
          </cell>
          <cell r="D107">
            <v>1255000</v>
          </cell>
          <cell r="H107">
            <v>1255000</v>
          </cell>
        </row>
        <row r="108">
          <cell r="A108" t="str">
            <v>4011</v>
          </cell>
          <cell r="B108" t="str">
            <v>Cost of Office Equipment</v>
          </cell>
          <cell r="C108" t="str">
            <v>Fixed Assets</v>
          </cell>
          <cell r="D108">
            <v>529845</v>
          </cell>
          <cell r="H108">
            <v>529845</v>
          </cell>
        </row>
        <row r="109">
          <cell r="A109" t="str">
            <v>4013</v>
          </cell>
          <cell r="B109" t="str">
            <v>Cost of Computers</v>
          </cell>
          <cell r="C109" t="str">
            <v>Fixed Assets</v>
          </cell>
          <cell r="D109">
            <v>37500</v>
          </cell>
          <cell r="H109">
            <v>37500</v>
          </cell>
        </row>
        <row r="110">
          <cell r="A110" t="str">
            <v>4018</v>
          </cell>
          <cell r="B110" t="str">
            <v>Cost of Tools &amp; Equipment</v>
          </cell>
          <cell r="C110" t="str">
            <v>Fixed Assets</v>
          </cell>
          <cell r="D110">
            <v>1944492</v>
          </cell>
          <cell r="F110">
            <v>3996247</v>
          </cell>
          <cell r="G110">
            <v>1434157</v>
          </cell>
          <cell r="H110">
            <v>4506582</v>
          </cell>
        </row>
        <row r="111">
          <cell r="A111" t="str">
            <v>4020</v>
          </cell>
          <cell r="B111" t="str">
            <v>Capital work in progress.</v>
          </cell>
          <cell r="C111" t="str">
            <v>Fixed Assets</v>
          </cell>
          <cell r="F111">
            <v>458000</v>
          </cell>
          <cell r="H111">
            <v>458000</v>
          </cell>
        </row>
        <row r="112">
          <cell r="D112">
            <v>92343120</v>
          </cell>
          <cell r="H112">
            <v>95363210</v>
          </cell>
          <cell r="J112">
            <v>90856628</v>
          </cell>
        </row>
        <row r="113">
          <cell r="C113" t="str">
            <v>Long Term Deposits</v>
          </cell>
        </row>
        <row r="114">
          <cell r="A114" t="str">
            <v>3128</v>
          </cell>
          <cell r="B114" t="str">
            <v>Advance Against Vehicle</v>
          </cell>
          <cell r="C114" t="str">
            <v>Other Current Assets</v>
          </cell>
          <cell r="D114">
            <v>12200000</v>
          </cell>
          <cell r="H114">
            <v>12200000</v>
          </cell>
        </row>
        <row r="115">
          <cell r="A115" t="str">
            <v>5210</v>
          </cell>
          <cell r="B115" t="str">
            <v>Security Deposit</v>
          </cell>
          <cell r="C115" t="str">
            <v>Other Current Assets</v>
          </cell>
          <cell r="D115">
            <v>1754526</v>
          </cell>
          <cell r="H115">
            <v>1754526</v>
          </cell>
        </row>
        <row r="116">
          <cell r="D116">
            <v>13954526</v>
          </cell>
          <cell r="H116">
            <v>13954526</v>
          </cell>
        </row>
        <row r="118">
          <cell r="C118" t="str">
            <v>Accumulated Depreciation</v>
          </cell>
        </row>
        <row r="119">
          <cell r="A119" t="str">
            <v>4002</v>
          </cell>
          <cell r="B119" t="str">
            <v>Acc. Dep. Building</v>
          </cell>
          <cell r="C119" t="str">
            <v>Accumulated Depreciation</v>
          </cell>
          <cell r="E119">
            <v>717200</v>
          </cell>
          <cell r="G119">
            <v>82164</v>
          </cell>
          <cell r="I119">
            <v>799364</v>
          </cell>
        </row>
        <row r="120">
          <cell r="A120" t="str">
            <v>4004</v>
          </cell>
          <cell r="B120" t="str">
            <v>Acc. Dep. Plant &amp; Machinery</v>
          </cell>
          <cell r="C120" t="str">
            <v>Accumulated Depreciation</v>
          </cell>
          <cell r="E120">
            <v>2021666</v>
          </cell>
          <cell r="G120">
            <v>442445</v>
          </cell>
          <cell r="I120">
            <v>2464111</v>
          </cell>
        </row>
        <row r="121">
          <cell r="A121" t="str">
            <v>4006</v>
          </cell>
          <cell r="B121" t="str">
            <v>Acc. Dep. Furniture &amp; Fix</v>
          </cell>
          <cell r="C121" t="str">
            <v>Accumulated Depreciation</v>
          </cell>
          <cell r="E121">
            <v>187328</v>
          </cell>
          <cell r="G121">
            <v>41442</v>
          </cell>
          <cell r="I121">
            <v>228770</v>
          </cell>
        </row>
        <row r="122">
          <cell r="A122" t="str">
            <v>4008</v>
          </cell>
          <cell r="B122" t="str">
            <v>Acc. Dep. Vehicle</v>
          </cell>
          <cell r="C122" t="str">
            <v>Accumulated Depreciation</v>
          </cell>
          <cell r="E122">
            <v>298378</v>
          </cell>
          <cell r="G122">
            <v>232509</v>
          </cell>
          <cell r="I122">
            <v>530887</v>
          </cell>
        </row>
        <row r="123">
          <cell r="A123" t="str">
            <v>4010</v>
          </cell>
          <cell r="B123" t="str">
            <v>Acc. Dep. Generator</v>
          </cell>
          <cell r="C123" t="str">
            <v>Accumulated Depreciation</v>
          </cell>
          <cell r="E123">
            <v>513936</v>
          </cell>
          <cell r="G123">
            <v>74106</v>
          </cell>
          <cell r="I123">
            <v>588042</v>
          </cell>
        </row>
        <row r="124">
          <cell r="A124" t="str">
            <v>4012</v>
          </cell>
          <cell r="B124" t="str">
            <v>Acc. Dep. Office Equipment</v>
          </cell>
          <cell r="C124" t="str">
            <v>Accumulated Depreciation</v>
          </cell>
          <cell r="E124">
            <v>85100</v>
          </cell>
          <cell r="G124">
            <v>37808</v>
          </cell>
          <cell r="I124">
            <v>122908</v>
          </cell>
        </row>
        <row r="125">
          <cell r="A125" t="str">
            <v>4014</v>
          </cell>
          <cell r="B125" t="str">
            <v>Acc. Dep. Computers</v>
          </cell>
          <cell r="C125" t="str">
            <v>Accumulated Depreciation</v>
          </cell>
          <cell r="E125">
            <v>14907</v>
          </cell>
          <cell r="G125">
            <v>5648</v>
          </cell>
          <cell r="I125">
            <v>20555</v>
          </cell>
        </row>
        <row r="126">
          <cell r="B126" t="str">
            <v>Acc.Dep Cartons</v>
          </cell>
          <cell r="C126" t="str">
            <v>Accumulated Depreciation</v>
          </cell>
          <cell r="I126">
            <v>0</v>
          </cell>
        </row>
        <row r="127">
          <cell r="E127">
            <v>3838515</v>
          </cell>
          <cell r="I127">
            <v>4754637</v>
          </cell>
        </row>
        <row r="128">
          <cell r="C128" t="str">
            <v>Cash at Bank</v>
          </cell>
        </row>
        <row r="129">
          <cell r="A129" t="str">
            <v>5001</v>
          </cell>
          <cell r="B129" t="str">
            <v>Silk Bank Limited</v>
          </cell>
          <cell r="C129" t="str">
            <v>Cash</v>
          </cell>
          <cell r="D129">
            <v>638.08000000000004</v>
          </cell>
          <cell r="H129">
            <v>638</v>
          </cell>
        </row>
        <row r="130">
          <cell r="A130" t="str">
            <v>5002</v>
          </cell>
          <cell r="B130" t="str">
            <v>Bank Alfalah Township</v>
          </cell>
          <cell r="C130" t="str">
            <v>Cash</v>
          </cell>
          <cell r="D130">
            <v>7322.95</v>
          </cell>
          <cell r="H130">
            <v>7323</v>
          </cell>
        </row>
        <row r="131">
          <cell r="A131" t="str">
            <v>5003</v>
          </cell>
          <cell r="B131" t="str">
            <v>Habib Bank Limited</v>
          </cell>
          <cell r="C131" t="str">
            <v>Cash</v>
          </cell>
          <cell r="D131">
            <v>4094</v>
          </cell>
          <cell r="H131">
            <v>4094</v>
          </cell>
        </row>
        <row r="132">
          <cell r="A132" t="str">
            <v>5004</v>
          </cell>
          <cell r="B132" t="str">
            <v>Meezan Bank Limited</v>
          </cell>
          <cell r="C132" t="str">
            <v>Cash</v>
          </cell>
          <cell r="D132">
            <v>467295.72</v>
          </cell>
          <cell r="H132">
            <v>467296</v>
          </cell>
        </row>
        <row r="133">
          <cell r="A133" t="str">
            <v>5006</v>
          </cell>
          <cell r="B133" t="str">
            <v>Meezan Bank (Akbar Chowk)</v>
          </cell>
          <cell r="C133" t="str">
            <v>Cash</v>
          </cell>
          <cell r="D133">
            <v>3038700.25</v>
          </cell>
          <cell r="H133">
            <v>3038700</v>
          </cell>
        </row>
        <row r="134">
          <cell r="D134">
            <v>3518051</v>
          </cell>
          <cell r="H134">
            <v>3518051</v>
          </cell>
        </row>
        <row r="135">
          <cell r="C135" t="str">
            <v>Cash In Hand</v>
          </cell>
        </row>
        <row r="136">
          <cell r="A136" t="str">
            <v>5010</v>
          </cell>
          <cell r="B136" t="str">
            <v>Cash in Hand</v>
          </cell>
          <cell r="C136" t="str">
            <v>Cash</v>
          </cell>
          <cell r="D136">
            <v>26260.5</v>
          </cell>
          <cell r="H136">
            <v>26261</v>
          </cell>
        </row>
        <row r="137">
          <cell r="D137">
            <v>26260.5</v>
          </cell>
          <cell r="H137">
            <v>26261</v>
          </cell>
        </row>
        <row r="138">
          <cell r="C138" t="str">
            <v>Bank Overdraft</v>
          </cell>
        </row>
        <row r="139">
          <cell r="A139" t="str">
            <v>5005</v>
          </cell>
          <cell r="B139" t="str">
            <v>Askari Bank Limited</v>
          </cell>
          <cell r="C139" t="str">
            <v>Cash</v>
          </cell>
          <cell r="E139">
            <v>13788216.119999999</v>
          </cell>
          <cell r="I139">
            <v>13788216</v>
          </cell>
        </row>
        <row r="140">
          <cell r="E140">
            <v>13788216.119999999</v>
          </cell>
          <cell r="I140">
            <v>13788216</v>
          </cell>
        </row>
        <row r="141">
          <cell r="C141" t="str">
            <v>Trade Receivable</v>
          </cell>
        </row>
        <row r="142">
          <cell r="A142" t="str">
            <v>5101</v>
          </cell>
          <cell r="B142" t="str">
            <v>Atlas Honda Limited</v>
          </cell>
          <cell r="C142" t="str">
            <v>Accounts Receivable</v>
          </cell>
          <cell r="D142">
            <v>21382755.379999999</v>
          </cell>
          <cell r="F142">
            <v>596232</v>
          </cell>
          <cell r="G142">
            <v>153</v>
          </cell>
          <cell r="H142">
            <v>21978834</v>
          </cell>
        </row>
        <row r="143">
          <cell r="A143" t="str">
            <v>5102</v>
          </cell>
          <cell r="B143" t="str">
            <v>Metro Hi-Tech (Pvt) Ltd.</v>
          </cell>
          <cell r="C143" t="str">
            <v>Accounts Receivable</v>
          </cell>
          <cell r="D143">
            <v>9934565.7400000002</v>
          </cell>
          <cell r="F143">
            <v>403340</v>
          </cell>
          <cell r="H143">
            <v>10337906</v>
          </cell>
        </row>
        <row r="144">
          <cell r="A144" t="str">
            <v>5103</v>
          </cell>
          <cell r="B144" t="str">
            <v>Plum Qingqi Motors</v>
          </cell>
          <cell r="C144" t="str">
            <v>Accounts Receivable</v>
          </cell>
          <cell r="D144">
            <v>1847929.7</v>
          </cell>
          <cell r="H144">
            <v>1847930</v>
          </cell>
        </row>
        <row r="145">
          <cell r="A145" t="str">
            <v>5105</v>
          </cell>
          <cell r="B145" t="str">
            <v>Omar Industries</v>
          </cell>
          <cell r="C145" t="str">
            <v>Accounts Receivable</v>
          </cell>
          <cell r="D145">
            <v>53562.400000000001</v>
          </cell>
          <cell r="H145">
            <v>53562</v>
          </cell>
        </row>
        <row r="146">
          <cell r="A146" t="str">
            <v>5111</v>
          </cell>
          <cell r="B146" t="str">
            <v>Pak Hero Indusrties</v>
          </cell>
          <cell r="C146" t="str">
            <v>Accounts Receivable</v>
          </cell>
          <cell r="D146">
            <v>281696</v>
          </cell>
          <cell r="G146">
            <v>281696</v>
          </cell>
          <cell r="H146">
            <v>0</v>
          </cell>
        </row>
        <row r="147">
          <cell r="A147" t="str">
            <v>5112</v>
          </cell>
          <cell r="B147" t="str">
            <v>ZXMCO Pakistan (Pvt) Ltd.</v>
          </cell>
          <cell r="C147" t="str">
            <v>Accounts Receivable</v>
          </cell>
          <cell r="D147">
            <v>5726</v>
          </cell>
          <cell r="H147">
            <v>5726</v>
          </cell>
        </row>
        <row r="148">
          <cell r="A148" t="str">
            <v>5114</v>
          </cell>
          <cell r="B148" t="str">
            <v>Rashid &amp; Company</v>
          </cell>
          <cell r="C148" t="str">
            <v>Accounts Receivable</v>
          </cell>
          <cell r="D148">
            <v>239497.60000000001</v>
          </cell>
          <cell r="H148">
            <v>239498</v>
          </cell>
        </row>
        <row r="149">
          <cell r="A149" t="str">
            <v>5115</v>
          </cell>
          <cell r="B149" t="str">
            <v>AJR Metal Febricators</v>
          </cell>
          <cell r="C149" t="str">
            <v>Accounts Receivable</v>
          </cell>
          <cell r="D149">
            <v>47041</v>
          </cell>
          <cell r="H149">
            <v>47041</v>
          </cell>
        </row>
        <row r="150">
          <cell r="D150">
            <v>33792773.82</v>
          </cell>
          <cell r="H150">
            <v>34510497</v>
          </cell>
        </row>
        <row r="151">
          <cell r="C151" t="str">
            <v>Opening Stock</v>
          </cell>
        </row>
        <row r="152">
          <cell r="A152" t="str">
            <v>5201</v>
          </cell>
          <cell r="B152" t="str">
            <v>Stock in Trade</v>
          </cell>
          <cell r="C152" t="str">
            <v>Inventory</v>
          </cell>
          <cell r="D152">
            <v>8643716</v>
          </cell>
          <cell r="H152">
            <v>8643716</v>
          </cell>
        </row>
        <row r="153">
          <cell r="A153" t="str">
            <v>5202</v>
          </cell>
          <cell r="B153" t="str">
            <v>Finished Goods</v>
          </cell>
          <cell r="C153" t="str">
            <v>Inventory</v>
          </cell>
          <cell r="D153">
            <v>13689021</v>
          </cell>
          <cell r="H153">
            <v>13689021</v>
          </cell>
        </row>
        <row r="154">
          <cell r="D154">
            <v>22332737</v>
          </cell>
          <cell r="H154">
            <v>22332737</v>
          </cell>
        </row>
        <row r="158">
          <cell r="C158" t="str">
            <v>Advance and Prepayments</v>
          </cell>
        </row>
        <row r="159">
          <cell r="A159" t="str">
            <v>5211</v>
          </cell>
          <cell r="B159" t="str">
            <v>Advance for Expenses</v>
          </cell>
          <cell r="C159" t="str">
            <v>Other Current Assets</v>
          </cell>
          <cell r="D159">
            <v>35377</v>
          </cell>
          <cell r="H159">
            <v>35377</v>
          </cell>
        </row>
        <row r="160">
          <cell r="A160" t="str">
            <v>5214</v>
          </cell>
          <cell r="B160" t="str">
            <v>Advance to Employees</v>
          </cell>
          <cell r="C160" t="str">
            <v>Other Current Assets</v>
          </cell>
          <cell r="D160">
            <v>97576</v>
          </cell>
          <cell r="H160">
            <v>97576</v>
          </cell>
        </row>
        <row r="161">
          <cell r="A161" t="str">
            <v>5215</v>
          </cell>
          <cell r="B161" t="str">
            <v>Advance to Staff</v>
          </cell>
          <cell r="C161" t="str">
            <v>Other Current Assets</v>
          </cell>
          <cell r="D161">
            <v>198786</v>
          </cell>
          <cell r="H161">
            <v>198786</v>
          </cell>
        </row>
        <row r="162">
          <cell r="A162" t="str">
            <v>5219</v>
          </cell>
          <cell r="B162" t="str">
            <v>Prepaid Insurance</v>
          </cell>
          <cell r="C162" t="str">
            <v>Other Current Assets</v>
          </cell>
          <cell r="D162">
            <v>65111</v>
          </cell>
          <cell r="F162">
            <v>22167</v>
          </cell>
          <cell r="G162">
            <v>65111</v>
          </cell>
          <cell r="H162">
            <v>22167</v>
          </cell>
        </row>
        <row r="163">
          <cell r="D163">
            <v>396850</v>
          </cell>
          <cell r="H163">
            <v>353906</v>
          </cell>
        </row>
        <row r="166">
          <cell r="C166" t="str">
            <v>Tax Refund due (Asset)</v>
          </cell>
        </row>
        <row r="167">
          <cell r="A167" t="str">
            <v>5213</v>
          </cell>
          <cell r="B167" t="str">
            <v>Tax Refund from Govt.</v>
          </cell>
          <cell r="C167" t="str">
            <v>Other Current Assets</v>
          </cell>
          <cell r="D167">
            <v>4477154</v>
          </cell>
          <cell r="G167">
            <v>6109227.426</v>
          </cell>
          <cell r="H167">
            <v>-1632073</v>
          </cell>
        </row>
        <row r="168">
          <cell r="D168">
            <v>4477154</v>
          </cell>
          <cell r="H168">
            <v>-1632073</v>
          </cell>
        </row>
        <row r="171">
          <cell r="C171" t="str">
            <v>Sales Revenue</v>
          </cell>
        </row>
        <row r="172">
          <cell r="A172" t="str">
            <v>6001</v>
          </cell>
          <cell r="B172" t="str">
            <v>Sales GST</v>
          </cell>
          <cell r="C172" t="str">
            <v>Income</v>
          </cell>
          <cell r="E172">
            <v>205797636</v>
          </cell>
          <cell r="F172">
            <v>153</v>
          </cell>
          <cell r="G172">
            <v>859231.46</v>
          </cell>
          <cell r="I172">
            <v>206656714</v>
          </cell>
        </row>
        <row r="173">
          <cell r="A173" t="str">
            <v>6007</v>
          </cell>
          <cell r="B173" t="str">
            <v>Zero Rated Sales</v>
          </cell>
          <cell r="C173" t="str">
            <v>Income</v>
          </cell>
          <cell r="E173">
            <v>154000</v>
          </cell>
          <cell r="I173">
            <v>154000</v>
          </cell>
        </row>
        <row r="174">
          <cell r="E174">
            <v>205951636</v>
          </cell>
          <cell r="I174">
            <v>206810714</v>
          </cell>
        </row>
        <row r="175">
          <cell r="C175" t="str">
            <v>Sales Return</v>
          </cell>
        </row>
        <row r="176">
          <cell r="A176" t="str">
            <v>6002</v>
          </cell>
          <cell r="B176" t="str">
            <v>Sales Return GST</v>
          </cell>
          <cell r="C176" t="str">
            <v>Income</v>
          </cell>
          <cell r="D176">
            <v>2628841.7200000002</v>
          </cell>
          <cell r="H176">
            <v>2628842</v>
          </cell>
        </row>
        <row r="177">
          <cell r="D177">
            <v>2628841.7200000002</v>
          </cell>
          <cell r="H177">
            <v>2628842</v>
          </cell>
        </row>
        <row r="179">
          <cell r="C179" t="str">
            <v>Other Income</v>
          </cell>
        </row>
        <row r="180">
          <cell r="A180" t="str">
            <v>6006</v>
          </cell>
          <cell r="B180" t="str">
            <v>Other Income</v>
          </cell>
          <cell r="C180" t="str">
            <v>Income</v>
          </cell>
          <cell r="E180">
            <v>24890.73</v>
          </cell>
          <cell r="F180">
            <v>24891</v>
          </cell>
          <cell r="I180">
            <v>0</v>
          </cell>
        </row>
        <row r="181">
          <cell r="E181">
            <v>24890.73</v>
          </cell>
          <cell r="I181">
            <v>0</v>
          </cell>
        </row>
        <row r="182">
          <cell r="C182" t="str">
            <v>Purchases</v>
          </cell>
        </row>
        <row r="183">
          <cell r="A183" t="str">
            <v>7001</v>
          </cell>
          <cell r="B183" t="str">
            <v>Purchase GST</v>
          </cell>
          <cell r="C183" t="str">
            <v>Cost of Sales</v>
          </cell>
          <cell r="D183">
            <v>160348494.03999999</v>
          </cell>
          <cell r="F183">
            <v>1133117.46</v>
          </cell>
          <cell r="G183">
            <v>3218664</v>
          </cell>
          <cell r="H183">
            <v>158262948</v>
          </cell>
        </row>
        <row r="184">
          <cell r="A184" t="str">
            <v>7003</v>
          </cell>
          <cell r="B184" t="str">
            <v>Purchase Non GST</v>
          </cell>
          <cell r="C184" t="str">
            <v>Cost of Sales</v>
          </cell>
          <cell r="D184">
            <v>22620</v>
          </cell>
          <cell r="H184">
            <v>22620</v>
          </cell>
        </row>
        <row r="185">
          <cell r="D185">
            <v>160371114.03999999</v>
          </cell>
          <cell r="H185">
            <v>158285568</v>
          </cell>
        </row>
        <row r="186">
          <cell r="C186" t="str">
            <v>Purchase Return</v>
          </cell>
        </row>
        <row r="187">
          <cell r="A187" t="str">
            <v>7002</v>
          </cell>
          <cell r="B187" t="str">
            <v>Purchase Return GST</v>
          </cell>
          <cell r="C187" t="str">
            <v>Cost of Sales</v>
          </cell>
          <cell r="E187">
            <v>2877391.44</v>
          </cell>
          <cell r="F187">
            <v>2838392</v>
          </cell>
          <cell r="I187">
            <v>38999</v>
          </cell>
        </row>
        <row r="188">
          <cell r="E188">
            <v>2877391.44</v>
          </cell>
          <cell r="I188">
            <v>38999</v>
          </cell>
        </row>
        <row r="189">
          <cell r="C189" t="str">
            <v>Factiry Overhead</v>
          </cell>
        </row>
        <row r="190">
          <cell r="A190" t="str">
            <v>7005</v>
          </cell>
          <cell r="B190" t="str">
            <v>Stores</v>
          </cell>
          <cell r="C190" t="str">
            <v>Cost of Sales</v>
          </cell>
          <cell r="D190">
            <v>5648364</v>
          </cell>
          <cell r="G190">
            <v>3996247</v>
          </cell>
          <cell r="H190">
            <v>1652117</v>
          </cell>
        </row>
        <row r="191">
          <cell r="A191" t="str">
            <v>7007</v>
          </cell>
          <cell r="B191" t="str">
            <v>Employees Salary Expense</v>
          </cell>
          <cell r="C191" t="str">
            <v>Cost of Sales</v>
          </cell>
          <cell r="D191">
            <v>10848723</v>
          </cell>
          <cell r="F191">
            <v>896721</v>
          </cell>
          <cell r="G191">
            <v>3195960</v>
          </cell>
          <cell r="H191">
            <v>8549484</v>
          </cell>
        </row>
        <row r="192">
          <cell r="A192" t="str">
            <v>7008</v>
          </cell>
          <cell r="B192" t="str">
            <v>SUI Gas Expense</v>
          </cell>
          <cell r="C192" t="str">
            <v>Cost of Sales</v>
          </cell>
          <cell r="D192">
            <v>1585512.2</v>
          </cell>
          <cell r="H192">
            <v>1585512</v>
          </cell>
        </row>
        <row r="193">
          <cell r="A193" t="str">
            <v>7009</v>
          </cell>
          <cell r="B193" t="str">
            <v>Electricity Expense</v>
          </cell>
          <cell r="C193" t="str">
            <v>Cost of Sales</v>
          </cell>
          <cell r="D193">
            <v>5619826</v>
          </cell>
          <cell r="F193">
            <v>2956</v>
          </cell>
          <cell r="H193">
            <v>5622782</v>
          </cell>
        </row>
        <row r="194">
          <cell r="A194" t="str">
            <v>7010</v>
          </cell>
          <cell r="B194" t="str">
            <v>Dies Consumed</v>
          </cell>
          <cell r="C194" t="str">
            <v>Cost of Sales</v>
          </cell>
          <cell r="D194">
            <v>108900</v>
          </cell>
          <cell r="F194">
            <v>195960</v>
          </cell>
          <cell r="H194">
            <v>304860</v>
          </cell>
        </row>
        <row r="195">
          <cell r="A195" t="str">
            <v>7011</v>
          </cell>
          <cell r="B195" t="str">
            <v>Transportation</v>
          </cell>
          <cell r="C195" t="str">
            <v>Cost of Sales</v>
          </cell>
          <cell r="D195">
            <v>315</v>
          </cell>
          <cell r="H195">
            <v>315</v>
          </cell>
        </row>
        <row r="196">
          <cell r="A196" t="str">
            <v>7012</v>
          </cell>
          <cell r="B196" t="str">
            <v>Repair &amp; Maint. Factory</v>
          </cell>
          <cell r="C196" t="str">
            <v>Cost of Sales</v>
          </cell>
          <cell r="D196">
            <v>1385639</v>
          </cell>
          <cell r="G196">
            <v>1000000</v>
          </cell>
          <cell r="H196">
            <v>385639</v>
          </cell>
        </row>
        <row r="197">
          <cell r="B197" t="str">
            <v>Depreciation</v>
          </cell>
          <cell r="C197" t="str">
            <v>Cost of Sales</v>
          </cell>
          <cell r="F197">
            <v>836872</v>
          </cell>
          <cell r="H197">
            <v>836872</v>
          </cell>
        </row>
        <row r="198">
          <cell r="D198">
            <v>25197279.199999999</v>
          </cell>
          <cell r="H198">
            <v>18937581</v>
          </cell>
        </row>
        <row r="199">
          <cell r="C199" t="str">
            <v>Operating Expenses</v>
          </cell>
        </row>
        <row r="200">
          <cell r="A200" t="str">
            <v>7006</v>
          </cell>
          <cell r="B200" t="str">
            <v>Staff Salary Expense</v>
          </cell>
          <cell r="C200" t="str">
            <v>Expenses</v>
          </cell>
          <cell r="D200">
            <v>3921028</v>
          </cell>
          <cell r="F200">
            <v>2204357</v>
          </cell>
          <cell r="G200">
            <v>2849059</v>
          </cell>
          <cell r="H200">
            <v>3276326</v>
          </cell>
        </row>
        <row r="201">
          <cell r="A201" t="str">
            <v>8002</v>
          </cell>
          <cell r="B201" t="str">
            <v>Directors Salary Expense</v>
          </cell>
          <cell r="C201" t="str">
            <v>Expenses</v>
          </cell>
          <cell r="D201">
            <v>3113500</v>
          </cell>
          <cell r="H201">
            <v>3113500</v>
          </cell>
        </row>
        <row r="202">
          <cell r="A202" t="str">
            <v>8010</v>
          </cell>
          <cell r="B202" t="str">
            <v>Telephone Expense</v>
          </cell>
          <cell r="C202" t="str">
            <v>Expenses</v>
          </cell>
          <cell r="D202">
            <v>103959</v>
          </cell>
          <cell r="F202">
            <v>15350</v>
          </cell>
          <cell r="H202">
            <v>119309</v>
          </cell>
        </row>
        <row r="203">
          <cell r="A203" t="str">
            <v>8011</v>
          </cell>
          <cell r="B203" t="str">
            <v>Water Expense</v>
          </cell>
          <cell r="C203" t="str">
            <v>Expenses</v>
          </cell>
          <cell r="D203">
            <v>234286</v>
          </cell>
          <cell r="H203">
            <v>234286</v>
          </cell>
        </row>
        <row r="204">
          <cell r="A204" t="str">
            <v>8012</v>
          </cell>
          <cell r="B204" t="str">
            <v>EOBI</v>
          </cell>
          <cell r="C204" t="str">
            <v>Expenses</v>
          </cell>
          <cell r="D204">
            <v>210000</v>
          </cell>
          <cell r="H204">
            <v>210000</v>
          </cell>
        </row>
        <row r="205">
          <cell r="A205" t="str">
            <v>8014</v>
          </cell>
          <cell r="B205" t="str">
            <v>Insurance</v>
          </cell>
          <cell r="C205" t="str">
            <v>Expenses</v>
          </cell>
          <cell r="D205">
            <v>117876</v>
          </cell>
          <cell r="F205">
            <v>65111</v>
          </cell>
          <cell r="G205">
            <v>22167</v>
          </cell>
          <cell r="H205">
            <v>160820</v>
          </cell>
        </row>
        <row r="206">
          <cell r="A206" t="str">
            <v>8015</v>
          </cell>
          <cell r="B206" t="str">
            <v>Entertainment</v>
          </cell>
          <cell r="C206" t="str">
            <v>Expenses</v>
          </cell>
          <cell r="D206">
            <v>289219</v>
          </cell>
          <cell r="H206">
            <v>289219</v>
          </cell>
        </row>
        <row r="207">
          <cell r="B207" t="str">
            <v>Packig material</v>
          </cell>
          <cell r="D207">
            <v>805341</v>
          </cell>
          <cell r="H207">
            <v>805341</v>
          </cell>
        </row>
        <row r="208">
          <cell r="A208" t="str">
            <v>8019</v>
          </cell>
          <cell r="B208" t="str">
            <v>Printing &amp; Stationery</v>
          </cell>
          <cell r="C208" t="str">
            <v>Expenses</v>
          </cell>
          <cell r="D208">
            <v>66296</v>
          </cell>
          <cell r="H208">
            <v>66296</v>
          </cell>
        </row>
        <row r="209">
          <cell r="A209" t="str">
            <v>8020</v>
          </cell>
          <cell r="B209" t="str">
            <v>Postage &amp; Courier</v>
          </cell>
          <cell r="C209" t="str">
            <v>Expenses</v>
          </cell>
          <cell r="D209">
            <v>8725</v>
          </cell>
          <cell r="H209">
            <v>8725</v>
          </cell>
        </row>
        <row r="210">
          <cell r="A210" t="str">
            <v>8021</v>
          </cell>
          <cell r="B210" t="str">
            <v>Repair &amp; Maint. Office</v>
          </cell>
          <cell r="C210" t="str">
            <v>Expenses</v>
          </cell>
          <cell r="D210">
            <v>2100</v>
          </cell>
          <cell r="H210">
            <v>2100</v>
          </cell>
        </row>
        <row r="211">
          <cell r="A211" t="str">
            <v>8022</v>
          </cell>
          <cell r="B211" t="str">
            <v>Vehicle Running</v>
          </cell>
          <cell r="C211" t="str">
            <v>Expenses</v>
          </cell>
          <cell r="D211">
            <v>318145</v>
          </cell>
          <cell r="H211">
            <v>318145</v>
          </cell>
        </row>
        <row r="212">
          <cell r="A212" t="str">
            <v>8023</v>
          </cell>
          <cell r="B212" t="str">
            <v>Travelling &amp; Conveyance</v>
          </cell>
          <cell r="C212" t="str">
            <v>Expenses</v>
          </cell>
          <cell r="D212">
            <v>5829</v>
          </cell>
          <cell r="H212">
            <v>5829</v>
          </cell>
        </row>
        <row r="213">
          <cell r="A213" t="str">
            <v>8024</v>
          </cell>
          <cell r="B213" t="str">
            <v>Misc. Expenses</v>
          </cell>
          <cell r="C213" t="str">
            <v>Expenses</v>
          </cell>
          <cell r="D213">
            <v>39681.43</v>
          </cell>
          <cell r="F213">
            <v>243</v>
          </cell>
          <cell r="G213">
            <v>24891</v>
          </cell>
          <cell r="H213">
            <v>15033</v>
          </cell>
        </row>
        <row r="214">
          <cell r="A214" t="str">
            <v>8027</v>
          </cell>
          <cell r="B214" t="str">
            <v>Newspaper &amp; Periodical</v>
          </cell>
          <cell r="C214" t="str">
            <v>Expenses</v>
          </cell>
          <cell r="D214">
            <v>25389</v>
          </cell>
          <cell r="H214">
            <v>25389</v>
          </cell>
        </row>
        <row r="215">
          <cell r="A215" t="str">
            <v>8028</v>
          </cell>
          <cell r="B215" t="str">
            <v>Vehicle Running</v>
          </cell>
          <cell r="C215" t="str">
            <v>Expenses</v>
          </cell>
          <cell r="D215">
            <v>7500</v>
          </cell>
          <cell r="H215">
            <v>7500</v>
          </cell>
        </row>
        <row r="216">
          <cell r="A216" t="str">
            <v>8029</v>
          </cell>
          <cell r="B216" t="str">
            <v>Toll Tax</v>
          </cell>
          <cell r="C216" t="str">
            <v>Expenses</v>
          </cell>
          <cell r="D216">
            <v>625</v>
          </cell>
          <cell r="H216">
            <v>625</v>
          </cell>
        </row>
        <row r="217">
          <cell r="A217" t="str">
            <v>8030</v>
          </cell>
          <cell r="B217" t="str">
            <v>PIEDMEC Exppense</v>
          </cell>
          <cell r="C217" t="str">
            <v>Expenses</v>
          </cell>
          <cell r="D217">
            <v>7000</v>
          </cell>
          <cell r="H217">
            <v>7000</v>
          </cell>
        </row>
        <row r="218">
          <cell r="A218" t="str">
            <v>8031</v>
          </cell>
          <cell r="B218" t="str">
            <v>PESSI</v>
          </cell>
          <cell r="C218" t="str">
            <v>Expenses</v>
          </cell>
          <cell r="D218">
            <v>370446</v>
          </cell>
          <cell r="H218">
            <v>370446</v>
          </cell>
        </row>
        <row r="219">
          <cell r="A219" t="str">
            <v>8041</v>
          </cell>
          <cell r="B219" t="str">
            <v>Office Expense</v>
          </cell>
          <cell r="C219" t="str">
            <v>Expenses</v>
          </cell>
          <cell r="D219">
            <v>16200</v>
          </cell>
          <cell r="H219">
            <v>16200</v>
          </cell>
        </row>
        <row r="220">
          <cell r="A220" t="str">
            <v>8044</v>
          </cell>
          <cell r="B220" t="str">
            <v>Fuel for Generator</v>
          </cell>
          <cell r="C220" t="str">
            <v>Expenses</v>
          </cell>
          <cell r="D220">
            <v>585431.02</v>
          </cell>
          <cell r="F220">
            <v>89289</v>
          </cell>
          <cell r="H220">
            <v>674720</v>
          </cell>
        </row>
        <row r="221">
          <cell r="A221" t="str">
            <v>8047</v>
          </cell>
          <cell r="B221" t="str">
            <v>Legal &amp; Professional Charges</v>
          </cell>
          <cell r="C221" t="str">
            <v>Expenses</v>
          </cell>
          <cell r="D221">
            <v>555250</v>
          </cell>
          <cell r="G221">
            <v>458000</v>
          </cell>
          <cell r="H221">
            <v>97250</v>
          </cell>
        </row>
        <row r="222">
          <cell r="A222" t="str">
            <v>8050</v>
          </cell>
          <cell r="B222" t="str">
            <v>Water Expense 60-M</v>
          </cell>
          <cell r="C222" t="str">
            <v>Expenses</v>
          </cell>
          <cell r="D222">
            <v>15500</v>
          </cell>
          <cell r="H222">
            <v>15500</v>
          </cell>
        </row>
        <row r="223">
          <cell r="A223" t="str">
            <v>8051</v>
          </cell>
          <cell r="B223" t="str">
            <v>Generator Expense</v>
          </cell>
          <cell r="C223" t="str">
            <v>Expenses</v>
          </cell>
          <cell r="D223">
            <v>109120</v>
          </cell>
          <cell r="H223">
            <v>109120</v>
          </cell>
        </row>
        <row r="224">
          <cell r="A224" t="str">
            <v>8052</v>
          </cell>
          <cell r="B224" t="str">
            <v>Medical Expense</v>
          </cell>
          <cell r="C224" t="str">
            <v>Expenses</v>
          </cell>
          <cell r="D224">
            <v>20493</v>
          </cell>
          <cell r="H224">
            <v>20493</v>
          </cell>
        </row>
        <row r="225">
          <cell r="A225" t="str">
            <v>8053</v>
          </cell>
          <cell r="B225" t="str">
            <v>Fee &amp; Subscription</v>
          </cell>
          <cell r="C225" t="str">
            <v>Expenses</v>
          </cell>
          <cell r="D225">
            <v>49000</v>
          </cell>
          <cell r="H225">
            <v>49000</v>
          </cell>
        </row>
        <row r="226">
          <cell r="B226" t="str">
            <v>Auditors Remuneration</v>
          </cell>
          <cell r="C226" t="str">
            <v>Expenses</v>
          </cell>
          <cell r="D226">
            <v>150000</v>
          </cell>
          <cell r="H226">
            <v>150000</v>
          </cell>
        </row>
        <row r="227">
          <cell r="B227" t="str">
            <v>Bad debt expense</v>
          </cell>
          <cell r="C227" t="str">
            <v>Expenses</v>
          </cell>
          <cell r="F227">
            <v>281696</v>
          </cell>
          <cell r="H227">
            <v>281696</v>
          </cell>
        </row>
        <row r="228">
          <cell r="B228" t="str">
            <v>Depreciation</v>
          </cell>
          <cell r="C228" t="str">
            <v>Expenses</v>
          </cell>
          <cell r="F228">
            <v>79250</v>
          </cell>
          <cell r="H228">
            <v>79250</v>
          </cell>
        </row>
        <row r="229">
          <cell r="B229" t="str">
            <v>WWF</v>
          </cell>
          <cell r="C229" t="str">
            <v>Expenses</v>
          </cell>
          <cell r="F229">
            <v>337243.64</v>
          </cell>
          <cell r="H229">
            <v>337244</v>
          </cell>
        </row>
        <row r="230">
          <cell r="B230" t="str">
            <v>WPPF</v>
          </cell>
          <cell r="C230" t="str">
            <v>Expenses</v>
          </cell>
          <cell r="F230">
            <v>902819</v>
          </cell>
          <cell r="H230">
            <v>902819</v>
          </cell>
        </row>
        <row r="231">
          <cell r="B231" t="str">
            <v>Tax expense</v>
          </cell>
          <cell r="C231" t="str">
            <v>Expenses</v>
          </cell>
          <cell r="F231">
            <v>5783728.426</v>
          </cell>
          <cell r="H231">
            <v>5783728</v>
          </cell>
        </row>
        <row r="232">
          <cell r="B232" t="str">
            <v>Deferred tax expense / income</v>
          </cell>
          <cell r="C232" t="str">
            <v>Expenses</v>
          </cell>
          <cell r="G232">
            <v>233212</v>
          </cell>
          <cell r="I232">
            <v>233212</v>
          </cell>
        </row>
        <row r="233">
          <cell r="H233">
            <v>0</v>
          </cell>
        </row>
        <row r="235">
          <cell r="D235">
            <v>11147939.449999999</v>
          </cell>
          <cell r="H235">
            <v>17552909</v>
          </cell>
        </row>
        <row r="238">
          <cell r="C238" t="str">
            <v>Finance cost (Bank Charges)</v>
          </cell>
        </row>
        <row r="239">
          <cell r="A239" t="str">
            <v>8033</v>
          </cell>
          <cell r="B239" t="str">
            <v>Bank Charges (HBL)</v>
          </cell>
          <cell r="C239" t="str">
            <v>Expenses</v>
          </cell>
          <cell r="D239">
            <v>640</v>
          </cell>
          <cell r="H239">
            <v>640</v>
          </cell>
        </row>
        <row r="240">
          <cell r="A240" t="str">
            <v>8034</v>
          </cell>
          <cell r="B240" t="str">
            <v>Bank Charges (BAL)</v>
          </cell>
          <cell r="C240" t="str">
            <v>Expenses</v>
          </cell>
          <cell r="D240">
            <v>150</v>
          </cell>
          <cell r="H240">
            <v>150</v>
          </cell>
        </row>
        <row r="241">
          <cell r="A241" t="str">
            <v>8035</v>
          </cell>
          <cell r="B241" t="str">
            <v>Bank Charges Askari</v>
          </cell>
          <cell r="C241" t="str">
            <v>Expenses</v>
          </cell>
          <cell r="D241">
            <v>17746</v>
          </cell>
          <cell r="G241">
            <v>6529</v>
          </cell>
          <cell r="H241">
            <v>11217</v>
          </cell>
        </row>
        <row r="242">
          <cell r="A242" t="str">
            <v>8036</v>
          </cell>
          <cell r="B242" t="str">
            <v>Bank Charges Silk Bank</v>
          </cell>
          <cell r="C242" t="str">
            <v>Expenses</v>
          </cell>
          <cell r="D242">
            <v>2410</v>
          </cell>
          <cell r="H242">
            <v>2410</v>
          </cell>
        </row>
        <row r="243">
          <cell r="A243" t="str">
            <v>8037</v>
          </cell>
          <cell r="B243" t="str">
            <v>Bank Charges Meezan</v>
          </cell>
          <cell r="C243" t="str">
            <v>Expenses</v>
          </cell>
          <cell r="D243">
            <v>1488.46</v>
          </cell>
          <cell r="F243">
            <v>5</v>
          </cell>
          <cell r="H243">
            <v>1493</v>
          </cell>
        </row>
        <row r="244">
          <cell r="A244" t="str">
            <v>8055</v>
          </cell>
          <cell r="B244" t="str">
            <v>Bank Charges MBL (Akb chok)</v>
          </cell>
          <cell r="C244" t="str">
            <v>Expenses</v>
          </cell>
          <cell r="D244">
            <v>905.34</v>
          </cell>
          <cell r="H244">
            <v>905</v>
          </cell>
        </row>
        <row r="245">
          <cell r="D245">
            <v>23339.8</v>
          </cell>
          <cell r="H245">
            <v>16815</v>
          </cell>
        </row>
        <row r="246">
          <cell r="C246" t="str">
            <v>Finance Cost (Markup)</v>
          </cell>
        </row>
        <row r="247">
          <cell r="A247" t="str">
            <v>8054</v>
          </cell>
          <cell r="B247" t="str">
            <v>Markup Expense - Askari</v>
          </cell>
          <cell r="C247" t="str">
            <v>Expenses</v>
          </cell>
          <cell r="D247">
            <v>1568446.2</v>
          </cell>
          <cell r="H247">
            <v>1568446</v>
          </cell>
        </row>
        <row r="248">
          <cell r="A248" t="str">
            <v>8038</v>
          </cell>
          <cell r="B248" t="str">
            <v>Markup Silk Bank</v>
          </cell>
          <cell r="C248" t="str">
            <v>Expenses</v>
          </cell>
          <cell r="D248">
            <v>235598.54</v>
          </cell>
          <cell r="H248">
            <v>235599</v>
          </cell>
        </row>
        <row r="249">
          <cell r="A249" t="str">
            <v>8045</v>
          </cell>
          <cell r="B249" t="str">
            <v>Markup Murabaha - Meezan</v>
          </cell>
          <cell r="C249" t="str">
            <v>Expenses</v>
          </cell>
          <cell r="D249">
            <v>718970.87</v>
          </cell>
          <cell r="H249">
            <v>718971</v>
          </cell>
        </row>
        <row r="250">
          <cell r="D250">
            <v>2523015.61</v>
          </cell>
          <cell r="H250">
            <v>2523016</v>
          </cell>
        </row>
        <row r="253">
          <cell r="A253">
            <v>0</v>
          </cell>
          <cell r="B253" t="str">
            <v>Total:</v>
          </cell>
          <cell r="C253">
            <v>0</v>
          </cell>
          <cell r="D253">
            <v>379931926</v>
          </cell>
          <cell r="E253">
            <v>379931927</v>
          </cell>
          <cell r="F253">
            <v>30029597</v>
          </cell>
          <cell r="G253">
            <v>30029597</v>
          </cell>
          <cell r="H253">
            <v>374303748</v>
          </cell>
          <cell r="I253">
            <v>374303747</v>
          </cell>
        </row>
        <row r="255">
          <cell r="E255">
            <v>-1</v>
          </cell>
          <cell r="G255">
            <v>0</v>
          </cell>
          <cell r="I25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al-Sheet"/>
      <sheetName val="Profit &amp; Loss"/>
      <sheetName val="SOCI"/>
      <sheetName val="SOCE"/>
      <sheetName val="CASH FLOWS"/>
      <sheetName val="Policy"/>
      <sheetName val="Notes To FS"/>
      <sheetName val="FAS-9"/>
      <sheetName val="FAS-7"/>
      <sheetName val="FA 9"/>
      <sheetName val="GROUPING 14-15"/>
      <sheetName val="FA-Working  15-16"/>
      <sheetName val="Disposal - Final 2015-16"/>
      <sheetName val="GROUPING 16-17"/>
      <sheetName val="GROUPING 14-15 (2)"/>
      <sheetName val="GROUPING 11-12"/>
      <sheetName val="GROUPING 10-11"/>
      <sheetName val="Sheet1"/>
      <sheetName val="FA-Working"/>
      <sheetName val="Grouping 15-16"/>
      <sheetName val="FAS - Working 16-17"/>
      <sheetName val="Disposal of F.A 16-17"/>
      <sheetName val="Grouping 2018-19"/>
      <sheetName val="Dep 17-18"/>
      <sheetName val="TAX COMPUTATION"/>
      <sheetName val="TAX DEPRECIATION"/>
      <sheetName val="TAX DEPRECIATION (2)"/>
      <sheetName val="Defer tax18"/>
      <sheetName val="TAX COMPUTATION 2019"/>
      <sheetName val="TAX DEPRECIATION (3)"/>
      <sheetName val="Tax gain or loss"/>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row r="15">
          <cell r="D15">
            <v>0</v>
          </cell>
          <cell r="H15">
            <v>8164.4324999999999</v>
          </cell>
        </row>
        <row r="17">
          <cell r="D17">
            <v>0</v>
          </cell>
          <cell r="H17">
            <v>657.39</v>
          </cell>
        </row>
        <row r="19">
          <cell r="D19">
            <v>67016</v>
          </cell>
          <cell r="H19">
            <v>319717.56187500001</v>
          </cell>
        </row>
        <row r="29">
          <cell r="D29">
            <v>9994072</v>
          </cell>
          <cell r="H29">
            <v>1249259</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5">
          <cell r="D15">
            <v>0</v>
          </cell>
          <cell r="H15">
            <v>6939.7676250000004</v>
          </cell>
        </row>
        <row r="17">
          <cell r="D17">
            <v>0</v>
          </cell>
          <cell r="H17">
            <v>558.78150000000005</v>
          </cell>
        </row>
        <row r="19">
          <cell r="D19">
            <v>438203</v>
          </cell>
          <cell r="H19">
            <v>312668.56509375002</v>
          </cell>
        </row>
        <row r="29">
          <cell r="D29">
            <v>0</v>
          </cell>
          <cell r="H29">
            <v>1311721.95</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30.09.2020"/>
      <sheetName val="31.12.2020"/>
      <sheetName val="31.03.2021"/>
      <sheetName val="30.09.2021"/>
      <sheetName val="Sheet1"/>
      <sheetName val="Sheet2"/>
      <sheetName val="Sheet3"/>
    </sheetNames>
    <sheetDataSet>
      <sheetData sheetId="0">
        <row r="119">
          <cell r="F119">
            <v>947895</v>
          </cell>
        </row>
        <row r="129">
          <cell r="F129">
            <v>200105.55</v>
          </cell>
        </row>
      </sheetData>
      <sheetData sheetId="1">
        <row r="133">
          <cell r="G133">
            <v>61590</v>
          </cell>
        </row>
      </sheetData>
      <sheetData sheetId="2">
        <row r="153">
          <cell r="G153">
            <v>7718.3</v>
          </cell>
        </row>
        <row r="166">
          <cell r="G166">
            <v>3310</v>
          </cell>
        </row>
      </sheetData>
      <sheetData sheetId="3">
        <row r="169">
          <cell r="F169">
            <v>7720066</v>
          </cell>
        </row>
        <row r="171">
          <cell r="G171">
            <v>7881.25</v>
          </cell>
        </row>
        <row r="179">
          <cell r="F179">
            <v>1427900</v>
          </cell>
        </row>
        <row r="181">
          <cell r="G181">
            <v>625</v>
          </cell>
        </row>
      </sheetData>
      <sheetData sheetId="4"/>
      <sheetData sheetId="5"/>
      <sheetData sheetId="6"/>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ew Trial"/>
      <sheetName val="B.S"/>
      <sheetName val="PNL"/>
      <sheetName val="SOCI"/>
      <sheetName val="CHANGES EQUITY "/>
      <sheetName val="CASH FLOW"/>
      <sheetName val="NOTES"/>
      <sheetName val="FIXED ASSETS"/>
      <sheetName val="Grouping"/>
      <sheetName val="Adj entries"/>
      <sheetName val="C.tax computation"/>
      <sheetName val="Def tax"/>
      <sheetName val="Tax dep"/>
      <sheetName val="LEASE HONDA CITY"/>
    </sheetNames>
    <sheetDataSet>
      <sheetData sheetId="0" refreshError="1"/>
      <sheetData sheetId="1" refreshError="1">
        <row r="40">
          <cell r="B40" t="str">
            <v>Trade and other payables</v>
          </cell>
        </row>
        <row r="41">
          <cell r="B41" t="str">
            <v>Due to related party</v>
          </cell>
        </row>
        <row r="42">
          <cell r="B42" t="str">
            <v>Current portion of liabilities</v>
          </cell>
        </row>
        <row r="43">
          <cell r="B43" t="str">
            <v>against asset subject to finance lease</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djusting Enteries"/>
      <sheetName val="BS"/>
      <sheetName val="P&amp;L"/>
      <sheetName val="OCI"/>
      <sheetName val="SOCE"/>
      <sheetName val="CSF"/>
      <sheetName val="Policies"/>
      <sheetName val="Note 5 F.Asset"/>
      <sheetName val="FA ScH-N-9"/>
      <sheetName val="FA 9"/>
      <sheetName val="Notes New"/>
      <sheetName val="Entries 20"/>
      <sheetName val="Gl- Summary"/>
      <sheetName val="Sheet1"/>
      <sheetName val="TBS 2020 (2)"/>
      <sheetName val="trial 2019"/>
      <sheetName val="D.tax 20"/>
      <sheetName val="P.Tax 20"/>
      <sheetName val="Tax dep. 20"/>
      <sheetName val="Defer tax19"/>
      <sheetName val="TRIAL"/>
      <sheetName val="TAX DEP SCh-17"/>
      <sheetName val="Tax Provision-17"/>
      <sheetName val="2019"/>
      <sheetName val="HM Tax Dep. Sch"/>
    </sheetNames>
    <sheetDataSet>
      <sheetData sheetId="0" refreshError="1"/>
      <sheetData sheetId="1">
        <row r="25">
          <cell r="N25">
            <v>278962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31">
          <cell r="C31" t="e">
            <v>#REF!</v>
          </cell>
        </row>
        <row r="41">
          <cell r="E41">
            <v>1743206239.1500001</v>
          </cell>
        </row>
        <row r="45">
          <cell r="C45">
            <v>85121</v>
          </cell>
        </row>
        <row r="47">
          <cell r="C47" t="e">
            <v>#REF!</v>
          </cell>
        </row>
      </sheetData>
      <sheetData sheetId="23" refreshError="1"/>
      <sheetData sheetId="2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pageSetUpPr fitToPage="1"/>
  </sheetPr>
  <dimension ref="A1:K341"/>
  <sheetViews>
    <sheetView showOutlineSymbols="0" topLeftCell="C106" workbookViewId="0">
      <selection activeCell="H120" sqref="H120"/>
    </sheetView>
  </sheetViews>
  <sheetFormatPr defaultColWidth="6.81640625" defaultRowHeight="12.75" customHeight="1"/>
  <cols>
    <col min="1" max="1" width="8.453125" style="1282" customWidth="1"/>
    <col min="2" max="2" width="23.453125" style="1282" customWidth="1"/>
    <col min="3" max="3" width="33.1796875" style="1282" customWidth="1"/>
    <col min="4" max="11" width="12.453125" style="1312" customWidth="1"/>
    <col min="12" max="249" width="6.81640625" style="1282"/>
    <col min="250" max="250" width="8.453125" style="1282" customWidth="1"/>
    <col min="251" max="251" width="5.1796875" style="1282" customWidth="1"/>
    <col min="252" max="252" width="7" style="1282" customWidth="1"/>
    <col min="253" max="253" width="2.54296875" style="1282" customWidth="1"/>
    <col min="254" max="254" width="6.453125" style="1282" customWidth="1"/>
    <col min="255" max="255" width="15.54296875" style="1282" customWidth="1"/>
    <col min="256" max="256" width="6" style="1282" customWidth="1"/>
    <col min="257" max="257" width="1.1796875" style="1282" customWidth="1"/>
    <col min="258" max="258" width="5.453125" style="1282" customWidth="1"/>
    <col min="259" max="259" width="4.81640625" style="1282" customWidth="1"/>
    <col min="260" max="260" width="2.1796875" style="1282" customWidth="1"/>
    <col min="261" max="261" width="17.81640625" style="1282" customWidth="1"/>
    <col min="262" max="262" width="4.453125" style="1282" customWidth="1"/>
    <col min="263" max="263" width="16.453125" style="1282" customWidth="1"/>
    <col min="264" max="264" width="3.453125" style="1282" customWidth="1"/>
    <col min="265" max="265" width="2.453125" style="1282" customWidth="1"/>
    <col min="266" max="505" width="6.81640625" style="1282"/>
    <col min="506" max="506" width="8.453125" style="1282" customWidth="1"/>
    <col min="507" max="507" width="5.1796875" style="1282" customWidth="1"/>
    <col min="508" max="508" width="7" style="1282" customWidth="1"/>
    <col min="509" max="509" width="2.54296875" style="1282" customWidth="1"/>
    <col min="510" max="510" width="6.453125" style="1282" customWidth="1"/>
    <col min="511" max="511" width="15.54296875" style="1282" customWidth="1"/>
    <col min="512" max="512" width="6" style="1282" customWidth="1"/>
    <col min="513" max="513" width="1.1796875" style="1282" customWidth="1"/>
    <col min="514" max="514" width="5.453125" style="1282" customWidth="1"/>
    <col min="515" max="515" width="4.81640625" style="1282" customWidth="1"/>
    <col min="516" max="516" width="2.1796875" style="1282" customWidth="1"/>
    <col min="517" max="517" width="17.81640625" style="1282" customWidth="1"/>
    <col min="518" max="518" width="4.453125" style="1282" customWidth="1"/>
    <col min="519" max="519" width="16.453125" style="1282" customWidth="1"/>
    <col min="520" max="520" width="3.453125" style="1282" customWidth="1"/>
    <col min="521" max="521" width="2.453125" style="1282" customWidth="1"/>
    <col min="522" max="761" width="6.81640625" style="1282"/>
    <col min="762" max="762" width="8.453125" style="1282" customWidth="1"/>
    <col min="763" max="763" width="5.1796875" style="1282" customWidth="1"/>
    <col min="764" max="764" width="7" style="1282" customWidth="1"/>
    <col min="765" max="765" width="2.54296875" style="1282" customWidth="1"/>
    <col min="766" max="766" width="6.453125" style="1282" customWidth="1"/>
    <col min="767" max="767" width="15.54296875" style="1282" customWidth="1"/>
    <col min="768" max="768" width="6" style="1282" customWidth="1"/>
    <col min="769" max="769" width="1.1796875" style="1282" customWidth="1"/>
    <col min="770" max="770" width="5.453125" style="1282" customWidth="1"/>
    <col min="771" max="771" width="4.81640625" style="1282" customWidth="1"/>
    <col min="772" max="772" width="2.1796875" style="1282" customWidth="1"/>
    <col min="773" max="773" width="17.81640625" style="1282" customWidth="1"/>
    <col min="774" max="774" width="4.453125" style="1282" customWidth="1"/>
    <col min="775" max="775" width="16.453125" style="1282" customWidth="1"/>
    <col min="776" max="776" width="3.453125" style="1282" customWidth="1"/>
    <col min="777" max="777" width="2.453125" style="1282" customWidth="1"/>
    <col min="778" max="1017" width="6.81640625" style="1282"/>
    <col min="1018" max="1018" width="8.453125" style="1282" customWidth="1"/>
    <col min="1019" max="1019" width="5.1796875" style="1282" customWidth="1"/>
    <col min="1020" max="1020" width="7" style="1282" customWidth="1"/>
    <col min="1021" max="1021" width="2.54296875" style="1282" customWidth="1"/>
    <col min="1022" max="1022" width="6.453125" style="1282" customWidth="1"/>
    <col min="1023" max="1023" width="15.54296875" style="1282" customWidth="1"/>
    <col min="1024" max="1024" width="6" style="1282" customWidth="1"/>
    <col min="1025" max="1025" width="1.1796875" style="1282" customWidth="1"/>
    <col min="1026" max="1026" width="5.453125" style="1282" customWidth="1"/>
    <col min="1027" max="1027" width="4.81640625" style="1282" customWidth="1"/>
    <col min="1028" max="1028" width="2.1796875" style="1282" customWidth="1"/>
    <col min="1029" max="1029" width="17.81640625" style="1282" customWidth="1"/>
    <col min="1030" max="1030" width="4.453125" style="1282" customWidth="1"/>
    <col min="1031" max="1031" width="16.453125" style="1282" customWidth="1"/>
    <col min="1032" max="1032" width="3.453125" style="1282" customWidth="1"/>
    <col min="1033" max="1033" width="2.453125" style="1282" customWidth="1"/>
    <col min="1034" max="1273" width="6.81640625" style="1282"/>
    <col min="1274" max="1274" width="8.453125" style="1282" customWidth="1"/>
    <col min="1275" max="1275" width="5.1796875" style="1282" customWidth="1"/>
    <col min="1276" max="1276" width="7" style="1282" customWidth="1"/>
    <col min="1277" max="1277" width="2.54296875" style="1282" customWidth="1"/>
    <col min="1278" max="1278" width="6.453125" style="1282" customWidth="1"/>
    <col min="1279" max="1279" width="15.54296875" style="1282" customWidth="1"/>
    <col min="1280" max="1280" width="6" style="1282" customWidth="1"/>
    <col min="1281" max="1281" width="1.1796875" style="1282" customWidth="1"/>
    <col min="1282" max="1282" width="5.453125" style="1282" customWidth="1"/>
    <col min="1283" max="1283" width="4.81640625" style="1282" customWidth="1"/>
    <col min="1284" max="1284" width="2.1796875" style="1282" customWidth="1"/>
    <col min="1285" max="1285" width="17.81640625" style="1282" customWidth="1"/>
    <col min="1286" max="1286" width="4.453125" style="1282" customWidth="1"/>
    <col min="1287" max="1287" width="16.453125" style="1282" customWidth="1"/>
    <col min="1288" max="1288" width="3.453125" style="1282" customWidth="1"/>
    <col min="1289" max="1289" width="2.453125" style="1282" customWidth="1"/>
    <col min="1290" max="1529" width="6.81640625" style="1282"/>
    <col min="1530" max="1530" width="8.453125" style="1282" customWidth="1"/>
    <col min="1531" max="1531" width="5.1796875" style="1282" customWidth="1"/>
    <col min="1532" max="1532" width="7" style="1282" customWidth="1"/>
    <col min="1533" max="1533" width="2.54296875" style="1282" customWidth="1"/>
    <col min="1534" max="1534" width="6.453125" style="1282" customWidth="1"/>
    <col min="1535" max="1535" width="15.54296875" style="1282" customWidth="1"/>
    <col min="1536" max="1536" width="6" style="1282" customWidth="1"/>
    <col min="1537" max="1537" width="1.1796875" style="1282" customWidth="1"/>
    <col min="1538" max="1538" width="5.453125" style="1282" customWidth="1"/>
    <col min="1539" max="1539" width="4.81640625" style="1282" customWidth="1"/>
    <col min="1540" max="1540" width="2.1796875" style="1282" customWidth="1"/>
    <col min="1541" max="1541" width="17.81640625" style="1282" customWidth="1"/>
    <col min="1542" max="1542" width="4.453125" style="1282" customWidth="1"/>
    <col min="1543" max="1543" width="16.453125" style="1282" customWidth="1"/>
    <col min="1544" max="1544" width="3.453125" style="1282" customWidth="1"/>
    <col min="1545" max="1545" width="2.453125" style="1282" customWidth="1"/>
    <col min="1546" max="1785" width="6.81640625" style="1282"/>
    <col min="1786" max="1786" width="8.453125" style="1282" customWidth="1"/>
    <col min="1787" max="1787" width="5.1796875" style="1282" customWidth="1"/>
    <col min="1788" max="1788" width="7" style="1282" customWidth="1"/>
    <col min="1789" max="1789" width="2.54296875" style="1282" customWidth="1"/>
    <col min="1790" max="1790" width="6.453125" style="1282" customWidth="1"/>
    <col min="1791" max="1791" width="15.54296875" style="1282" customWidth="1"/>
    <col min="1792" max="1792" width="6" style="1282" customWidth="1"/>
    <col min="1793" max="1793" width="1.1796875" style="1282" customWidth="1"/>
    <col min="1794" max="1794" width="5.453125" style="1282" customWidth="1"/>
    <col min="1795" max="1795" width="4.81640625" style="1282" customWidth="1"/>
    <col min="1796" max="1796" width="2.1796875" style="1282" customWidth="1"/>
    <col min="1797" max="1797" width="17.81640625" style="1282" customWidth="1"/>
    <col min="1798" max="1798" width="4.453125" style="1282" customWidth="1"/>
    <col min="1799" max="1799" width="16.453125" style="1282" customWidth="1"/>
    <col min="1800" max="1800" width="3.453125" style="1282" customWidth="1"/>
    <col min="1801" max="1801" width="2.453125" style="1282" customWidth="1"/>
    <col min="1802" max="2041" width="6.81640625" style="1282"/>
    <col min="2042" max="2042" width="8.453125" style="1282" customWidth="1"/>
    <col min="2043" max="2043" width="5.1796875" style="1282" customWidth="1"/>
    <col min="2044" max="2044" width="7" style="1282" customWidth="1"/>
    <col min="2045" max="2045" width="2.54296875" style="1282" customWidth="1"/>
    <col min="2046" max="2046" width="6.453125" style="1282" customWidth="1"/>
    <col min="2047" max="2047" width="15.54296875" style="1282" customWidth="1"/>
    <col min="2048" max="2048" width="6" style="1282" customWidth="1"/>
    <col min="2049" max="2049" width="1.1796875" style="1282" customWidth="1"/>
    <col min="2050" max="2050" width="5.453125" style="1282" customWidth="1"/>
    <col min="2051" max="2051" width="4.81640625" style="1282" customWidth="1"/>
    <col min="2052" max="2052" width="2.1796875" style="1282" customWidth="1"/>
    <col min="2053" max="2053" width="17.81640625" style="1282" customWidth="1"/>
    <col min="2054" max="2054" width="4.453125" style="1282" customWidth="1"/>
    <col min="2055" max="2055" width="16.453125" style="1282" customWidth="1"/>
    <col min="2056" max="2056" width="3.453125" style="1282" customWidth="1"/>
    <col min="2057" max="2057" width="2.453125" style="1282" customWidth="1"/>
    <col min="2058" max="2297" width="6.81640625" style="1282"/>
    <col min="2298" max="2298" width="8.453125" style="1282" customWidth="1"/>
    <col min="2299" max="2299" width="5.1796875" style="1282" customWidth="1"/>
    <col min="2300" max="2300" width="7" style="1282" customWidth="1"/>
    <col min="2301" max="2301" width="2.54296875" style="1282" customWidth="1"/>
    <col min="2302" max="2302" width="6.453125" style="1282" customWidth="1"/>
    <col min="2303" max="2303" width="15.54296875" style="1282" customWidth="1"/>
    <col min="2304" max="2304" width="6" style="1282" customWidth="1"/>
    <col min="2305" max="2305" width="1.1796875" style="1282" customWidth="1"/>
    <col min="2306" max="2306" width="5.453125" style="1282" customWidth="1"/>
    <col min="2307" max="2307" width="4.81640625" style="1282" customWidth="1"/>
    <col min="2308" max="2308" width="2.1796875" style="1282" customWidth="1"/>
    <col min="2309" max="2309" width="17.81640625" style="1282" customWidth="1"/>
    <col min="2310" max="2310" width="4.453125" style="1282" customWidth="1"/>
    <col min="2311" max="2311" width="16.453125" style="1282" customWidth="1"/>
    <col min="2312" max="2312" width="3.453125" style="1282" customWidth="1"/>
    <col min="2313" max="2313" width="2.453125" style="1282" customWidth="1"/>
    <col min="2314" max="2553" width="6.81640625" style="1282"/>
    <col min="2554" max="2554" width="8.453125" style="1282" customWidth="1"/>
    <col min="2555" max="2555" width="5.1796875" style="1282" customWidth="1"/>
    <col min="2556" max="2556" width="7" style="1282" customWidth="1"/>
    <col min="2557" max="2557" width="2.54296875" style="1282" customWidth="1"/>
    <col min="2558" max="2558" width="6.453125" style="1282" customWidth="1"/>
    <col min="2559" max="2559" width="15.54296875" style="1282" customWidth="1"/>
    <col min="2560" max="2560" width="6" style="1282" customWidth="1"/>
    <col min="2561" max="2561" width="1.1796875" style="1282" customWidth="1"/>
    <col min="2562" max="2562" width="5.453125" style="1282" customWidth="1"/>
    <col min="2563" max="2563" width="4.81640625" style="1282" customWidth="1"/>
    <col min="2564" max="2564" width="2.1796875" style="1282" customWidth="1"/>
    <col min="2565" max="2565" width="17.81640625" style="1282" customWidth="1"/>
    <col min="2566" max="2566" width="4.453125" style="1282" customWidth="1"/>
    <col min="2567" max="2567" width="16.453125" style="1282" customWidth="1"/>
    <col min="2568" max="2568" width="3.453125" style="1282" customWidth="1"/>
    <col min="2569" max="2569" width="2.453125" style="1282" customWidth="1"/>
    <col min="2570" max="2809" width="6.81640625" style="1282"/>
    <col min="2810" max="2810" width="8.453125" style="1282" customWidth="1"/>
    <col min="2811" max="2811" width="5.1796875" style="1282" customWidth="1"/>
    <col min="2812" max="2812" width="7" style="1282" customWidth="1"/>
    <col min="2813" max="2813" width="2.54296875" style="1282" customWidth="1"/>
    <col min="2814" max="2814" width="6.453125" style="1282" customWidth="1"/>
    <col min="2815" max="2815" width="15.54296875" style="1282" customWidth="1"/>
    <col min="2816" max="2816" width="6" style="1282" customWidth="1"/>
    <col min="2817" max="2817" width="1.1796875" style="1282" customWidth="1"/>
    <col min="2818" max="2818" width="5.453125" style="1282" customWidth="1"/>
    <col min="2819" max="2819" width="4.81640625" style="1282" customWidth="1"/>
    <col min="2820" max="2820" width="2.1796875" style="1282" customWidth="1"/>
    <col min="2821" max="2821" width="17.81640625" style="1282" customWidth="1"/>
    <col min="2822" max="2822" width="4.453125" style="1282" customWidth="1"/>
    <col min="2823" max="2823" width="16.453125" style="1282" customWidth="1"/>
    <col min="2824" max="2824" width="3.453125" style="1282" customWidth="1"/>
    <col min="2825" max="2825" width="2.453125" style="1282" customWidth="1"/>
    <col min="2826" max="3065" width="6.81640625" style="1282"/>
    <col min="3066" max="3066" width="8.453125" style="1282" customWidth="1"/>
    <col min="3067" max="3067" width="5.1796875" style="1282" customWidth="1"/>
    <col min="3068" max="3068" width="7" style="1282" customWidth="1"/>
    <col min="3069" max="3069" width="2.54296875" style="1282" customWidth="1"/>
    <col min="3070" max="3070" width="6.453125" style="1282" customWidth="1"/>
    <col min="3071" max="3071" width="15.54296875" style="1282" customWidth="1"/>
    <col min="3072" max="3072" width="6" style="1282" customWidth="1"/>
    <col min="3073" max="3073" width="1.1796875" style="1282" customWidth="1"/>
    <col min="3074" max="3074" width="5.453125" style="1282" customWidth="1"/>
    <col min="3075" max="3075" width="4.81640625" style="1282" customWidth="1"/>
    <col min="3076" max="3076" width="2.1796875" style="1282" customWidth="1"/>
    <col min="3077" max="3077" width="17.81640625" style="1282" customWidth="1"/>
    <col min="3078" max="3078" width="4.453125" style="1282" customWidth="1"/>
    <col min="3079" max="3079" width="16.453125" style="1282" customWidth="1"/>
    <col min="3080" max="3080" width="3.453125" style="1282" customWidth="1"/>
    <col min="3081" max="3081" width="2.453125" style="1282" customWidth="1"/>
    <col min="3082" max="3321" width="6.81640625" style="1282"/>
    <col min="3322" max="3322" width="8.453125" style="1282" customWidth="1"/>
    <col min="3323" max="3323" width="5.1796875" style="1282" customWidth="1"/>
    <col min="3324" max="3324" width="7" style="1282" customWidth="1"/>
    <col min="3325" max="3325" width="2.54296875" style="1282" customWidth="1"/>
    <col min="3326" max="3326" width="6.453125" style="1282" customWidth="1"/>
    <col min="3327" max="3327" width="15.54296875" style="1282" customWidth="1"/>
    <col min="3328" max="3328" width="6" style="1282" customWidth="1"/>
    <col min="3329" max="3329" width="1.1796875" style="1282" customWidth="1"/>
    <col min="3330" max="3330" width="5.453125" style="1282" customWidth="1"/>
    <col min="3331" max="3331" width="4.81640625" style="1282" customWidth="1"/>
    <col min="3332" max="3332" width="2.1796875" style="1282" customWidth="1"/>
    <col min="3333" max="3333" width="17.81640625" style="1282" customWidth="1"/>
    <col min="3334" max="3334" width="4.453125" style="1282" customWidth="1"/>
    <col min="3335" max="3335" width="16.453125" style="1282" customWidth="1"/>
    <col min="3336" max="3336" width="3.453125" style="1282" customWidth="1"/>
    <col min="3337" max="3337" width="2.453125" style="1282" customWidth="1"/>
    <col min="3338" max="3577" width="6.81640625" style="1282"/>
    <col min="3578" max="3578" width="8.453125" style="1282" customWidth="1"/>
    <col min="3579" max="3579" width="5.1796875" style="1282" customWidth="1"/>
    <col min="3580" max="3580" width="7" style="1282" customWidth="1"/>
    <col min="3581" max="3581" width="2.54296875" style="1282" customWidth="1"/>
    <col min="3582" max="3582" width="6.453125" style="1282" customWidth="1"/>
    <col min="3583" max="3583" width="15.54296875" style="1282" customWidth="1"/>
    <col min="3584" max="3584" width="6" style="1282" customWidth="1"/>
    <col min="3585" max="3585" width="1.1796875" style="1282" customWidth="1"/>
    <col min="3586" max="3586" width="5.453125" style="1282" customWidth="1"/>
    <col min="3587" max="3587" width="4.81640625" style="1282" customWidth="1"/>
    <col min="3588" max="3588" width="2.1796875" style="1282" customWidth="1"/>
    <col min="3589" max="3589" width="17.81640625" style="1282" customWidth="1"/>
    <col min="3590" max="3590" width="4.453125" style="1282" customWidth="1"/>
    <col min="3591" max="3591" width="16.453125" style="1282" customWidth="1"/>
    <col min="3592" max="3592" width="3.453125" style="1282" customWidth="1"/>
    <col min="3593" max="3593" width="2.453125" style="1282" customWidth="1"/>
    <col min="3594" max="3833" width="6.81640625" style="1282"/>
    <col min="3834" max="3834" width="8.453125" style="1282" customWidth="1"/>
    <col min="3835" max="3835" width="5.1796875" style="1282" customWidth="1"/>
    <col min="3836" max="3836" width="7" style="1282" customWidth="1"/>
    <col min="3837" max="3837" width="2.54296875" style="1282" customWidth="1"/>
    <col min="3838" max="3838" width="6.453125" style="1282" customWidth="1"/>
    <col min="3839" max="3839" width="15.54296875" style="1282" customWidth="1"/>
    <col min="3840" max="3840" width="6" style="1282" customWidth="1"/>
    <col min="3841" max="3841" width="1.1796875" style="1282" customWidth="1"/>
    <col min="3842" max="3842" width="5.453125" style="1282" customWidth="1"/>
    <col min="3843" max="3843" width="4.81640625" style="1282" customWidth="1"/>
    <col min="3844" max="3844" width="2.1796875" style="1282" customWidth="1"/>
    <col min="3845" max="3845" width="17.81640625" style="1282" customWidth="1"/>
    <col min="3846" max="3846" width="4.453125" style="1282" customWidth="1"/>
    <col min="3847" max="3847" width="16.453125" style="1282" customWidth="1"/>
    <col min="3848" max="3848" width="3.453125" style="1282" customWidth="1"/>
    <col min="3849" max="3849" width="2.453125" style="1282" customWidth="1"/>
    <col min="3850" max="4089" width="6.81640625" style="1282"/>
    <col min="4090" max="4090" width="8.453125" style="1282" customWidth="1"/>
    <col min="4091" max="4091" width="5.1796875" style="1282" customWidth="1"/>
    <col min="4092" max="4092" width="7" style="1282" customWidth="1"/>
    <col min="4093" max="4093" width="2.54296875" style="1282" customWidth="1"/>
    <col min="4094" max="4094" width="6.453125" style="1282" customWidth="1"/>
    <col min="4095" max="4095" width="15.54296875" style="1282" customWidth="1"/>
    <col min="4096" max="4096" width="6" style="1282" customWidth="1"/>
    <col min="4097" max="4097" width="1.1796875" style="1282" customWidth="1"/>
    <col min="4098" max="4098" width="5.453125" style="1282" customWidth="1"/>
    <col min="4099" max="4099" width="4.81640625" style="1282" customWidth="1"/>
    <col min="4100" max="4100" width="2.1796875" style="1282" customWidth="1"/>
    <col min="4101" max="4101" width="17.81640625" style="1282" customWidth="1"/>
    <col min="4102" max="4102" width="4.453125" style="1282" customWidth="1"/>
    <col min="4103" max="4103" width="16.453125" style="1282" customWidth="1"/>
    <col min="4104" max="4104" width="3.453125" style="1282" customWidth="1"/>
    <col min="4105" max="4105" width="2.453125" style="1282" customWidth="1"/>
    <col min="4106" max="4345" width="6.81640625" style="1282"/>
    <col min="4346" max="4346" width="8.453125" style="1282" customWidth="1"/>
    <col min="4347" max="4347" width="5.1796875" style="1282" customWidth="1"/>
    <col min="4348" max="4348" width="7" style="1282" customWidth="1"/>
    <col min="4349" max="4349" width="2.54296875" style="1282" customWidth="1"/>
    <col min="4350" max="4350" width="6.453125" style="1282" customWidth="1"/>
    <col min="4351" max="4351" width="15.54296875" style="1282" customWidth="1"/>
    <col min="4352" max="4352" width="6" style="1282" customWidth="1"/>
    <col min="4353" max="4353" width="1.1796875" style="1282" customWidth="1"/>
    <col min="4354" max="4354" width="5.453125" style="1282" customWidth="1"/>
    <col min="4355" max="4355" width="4.81640625" style="1282" customWidth="1"/>
    <col min="4356" max="4356" width="2.1796875" style="1282" customWidth="1"/>
    <col min="4357" max="4357" width="17.81640625" style="1282" customWidth="1"/>
    <col min="4358" max="4358" width="4.453125" style="1282" customWidth="1"/>
    <col min="4359" max="4359" width="16.453125" style="1282" customWidth="1"/>
    <col min="4360" max="4360" width="3.453125" style="1282" customWidth="1"/>
    <col min="4361" max="4361" width="2.453125" style="1282" customWidth="1"/>
    <col min="4362" max="4601" width="6.81640625" style="1282"/>
    <col min="4602" max="4602" width="8.453125" style="1282" customWidth="1"/>
    <col min="4603" max="4603" width="5.1796875" style="1282" customWidth="1"/>
    <col min="4604" max="4604" width="7" style="1282" customWidth="1"/>
    <col min="4605" max="4605" width="2.54296875" style="1282" customWidth="1"/>
    <col min="4606" max="4606" width="6.453125" style="1282" customWidth="1"/>
    <col min="4607" max="4607" width="15.54296875" style="1282" customWidth="1"/>
    <col min="4608" max="4608" width="6" style="1282" customWidth="1"/>
    <col min="4609" max="4609" width="1.1796875" style="1282" customWidth="1"/>
    <col min="4610" max="4610" width="5.453125" style="1282" customWidth="1"/>
    <col min="4611" max="4611" width="4.81640625" style="1282" customWidth="1"/>
    <col min="4612" max="4612" width="2.1796875" style="1282" customWidth="1"/>
    <col min="4613" max="4613" width="17.81640625" style="1282" customWidth="1"/>
    <col min="4614" max="4614" width="4.453125" style="1282" customWidth="1"/>
    <col min="4615" max="4615" width="16.453125" style="1282" customWidth="1"/>
    <col min="4616" max="4616" width="3.453125" style="1282" customWidth="1"/>
    <col min="4617" max="4617" width="2.453125" style="1282" customWidth="1"/>
    <col min="4618" max="4857" width="6.81640625" style="1282"/>
    <col min="4858" max="4858" width="8.453125" style="1282" customWidth="1"/>
    <col min="4859" max="4859" width="5.1796875" style="1282" customWidth="1"/>
    <col min="4860" max="4860" width="7" style="1282" customWidth="1"/>
    <col min="4861" max="4861" width="2.54296875" style="1282" customWidth="1"/>
    <col min="4862" max="4862" width="6.453125" style="1282" customWidth="1"/>
    <col min="4863" max="4863" width="15.54296875" style="1282" customWidth="1"/>
    <col min="4864" max="4864" width="6" style="1282" customWidth="1"/>
    <col min="4865" max="4865" width="1.1796875" style="1282" customWidth="1"/>
    <col min="4866" max="4866" width="5.453125" style="1282" customWidth="1"/>
    <col min="4867" max="4867" width="4.81640625" style="1282" customWidth="1"/>
    <col min="4868" max="4868" width="2.1796875" style="1282" customWidth="1"/>
    <col min="4869" max="4869" width="17.81640625" style="1282" customWidth="1"/>
    <col min="4870" max="4870" width="4.453125" style="1282" customWidth="1"/>
    <col min="4871" max="4871" width="16.453125" style="1282" customWidth="1"/>
    <col min="4872" max="4872" width="3.453125" style="1282" customWidth="1"/>
    <col min="4873" max="4873" width="2.453125" style="1282" customWidth="1"/>
    <col min="4874" max="5113" width="6.81640625" style="1282"/>
    <col min="5114" max="5114" width="8.453125" style="1282" customWidth="1"/>
    <col min="5115" max="5115" width="5.1796875" style="1282" customWidth="1"/>
    <col min="5116" max="5116" width="7" style="1282" customWidth="1"/>
    <col min="5117" max="5117" width="2.54296875" style="1282" customWidth="1"/>
    <col min="5118" max="5118" width="6.453125" style="1282" customWidth="1"/>
    <col min="5119" max="5119" width="15.54296875" style="1282" customWidth="1"/>
    <col min="5120" max="5120" width="6" style="1282" customWidth="1"/>
    <col min="5121" max="5121" width="1.1796875" style="1282" customWidth="1"/>
    <col min="5122" max="5122" width="5.453125" style="1282" customWidth="1"/>
    <col min="5123" max="5123" width="4.81640625" style="1282" customWidth="1"/>
    <col min="5124" max="5124" width="2.1796875" style="1282" customWidth="1"/>
    <col min="5125" max="5125" width="17.81640625" style="1282" customWidth="1"/>
    <col min="5126" max="5126" width="4.453125" style="1282" customWidth="1"/>
    <col min="5127" max="5127" width="16.453125" style="1282" customWidth="1"/>
    <col min="5128" max="5128" width="3.453125" style="1282" customWidth="1"/>
    <col min="5129" max="5129" width="2.453125" style="1282" customWidth="1"/>
    <col min="5130" max="5369" width="6.81640625" style="1282"/>
    <col min="5370" max="5370" width="8.453125" style="1282" customWidth="1"/>
    <col min="5371" max="5371" width="5.1796875" style="1282" customWidth="1"/>
    <col min="5372" max="5372" width="7" style="1282" customWidth="1"/>
    <col min="5373" max="5373" width="2.54296875" style="1282" customWidth="1"/>
    <col min="5374" max="5374" width="6.453125" style="1282" customWidth="1"/>
    <col min="5375" max="5375" width="15.54296875" style="1282" customWidth="1"/>
    <col min="5376" max="5376" width="6" style="1282" customWidth="1"/>
    <col min="5377" max="5377" width="1.1796875" style="1282" customWidth="1"/>
    <col min="5378" max="5378" width="5.453125" style="1282" customWidth="1"/>
    <col min="5379" max="5379" width="4.81640625" style="1282" customWidth="1"/>
    <col min="5380" max="5380" width="2.1796875" style="1282" customWidth="1"/>
    <col min="5381" max="5381" width="17.81640625" style="1282" customWidth="1"/>
    <col min="5382" max="5382" width="4.453125" style="1282" customWidth="1"/>
    <col min="5383" max="5383" width="16.453125" style="1282" customWidth="1"/>
    <col min="5384" max="5384" width="3.453125" style="1282" customWidth="1"/>
    <col min="5385" max="5385" width="2.453125" style="1282" customWidth="1"/>
    <col min="5386" max="5625" width="6.81640625" style="1282"/>
    <col min="5626" max="5626" width="8.453125" style="1282" customWidth="1"/>
    <col min="5627" max="5627" width="5.1796875" style="1282" customWidth="1"/>
    <col min="5628" max="5628" width="7" style="1282" customWidth="1"/>
    <col min="5629" max="5629" width="2.54296875" style="1282" customWidth="1"/>
    <col min="5630" max="5630" width="6.453125" style="1282" customWidth="1"/>
    <col min="5631" max="5631" width="15.54296875" style="1282" customWidth="1"/>
    <col min="5632" max="5632" width="6" style="1282" customWidth="1"/>
    <col min="5633" max="5633" width="1.1796875" style="1282" customWidth="1"/>
    <col min="5634" max="5634" width="5.453125" style="1282" customWidth="1"/>
    <col min="5635" max="5635" width="4.81640625" style="1282" customWidth="1"/>
    <col min="5636" max="5636" width="2.1796875" style="1282" customWidth="1"/>
    <col min="5637" max="5637" width="17.81640625" style="1282" customWidth="1"/>
    <col min="5638" max="5638" width="4.453125" style="1282" customWidth="1"/>
    <col min="5639" max="5639" width="16.453125" style="1282" customWidth="1"/>
    <col min="5640" max="5640" width="3.453125" style="1282" customWidth="1"/>
    <col min="5641" max="5641" width="2.453125" style="1282" customWidth="1"/>
    <col min="5642" max="5881" width="6.81640625" style="1282"/>
    <col min="5882" max="5882" width="8.453125" style="1282" customWidth="1"/>
    <col min="5883" max="5883" width="5.1796875" style="1282" customWidth="1"/>
    <col min="5884" max="5884" width="7" style="1282" customWidth="1"/>
    <col min="5885" max="5885" width="2.54296875" style="1282" customWidth="1"/>
    <col min="5886" max="5886" width="6.453125" style="1282" customWidth="1"/>
    <col min="5887" max="5887" width="15.54296875" style="1282" customWidth="1"/>
    <col min="5888" max="5888" width="6" style="1282" customWidth="1"/>
    <col min="5889" max="5889" width="1.1796875" style="1282" customWidth="1"/>
    <col min="5890" max="5890" width="5.453125" style="1282" customWidth="1"/>
    <col min="5891" max="5891" width="4.81640625" style="1282" customWidth="1"/>
    <col min="5892" max="5892" width="2.1796875" style="1282" customWidth="1"/>
    <col min="5893" max="5893" width="17.81640625" style="1282" customWidth="1"/>
    <col min="5894" max="5894" width="4.453125" style="1282" customWidth="1"/>
    <col min="5895" max="5895" width="16.453125" style="1282" customWidth="1"/>
    <col min="5896" max="5896" width="3.453125" style="1282" customWidth="1"/>
    <col min="5897" max="5897" width="2.453125" style="1282" customWidth="1"/>
    <col min="5898" max="6137" width="6.81640625" style="1282"/>
    <col min="6138" max="6138" width="8.453125" style="1282" customWidth="1"/>
    <col min="6139" max="6139" width="5.1796875" style="1282" customWidth="1"/>
    <col min="6140" max="6140" width="7" style="1282" customWidth="1"/>
    <col min="6141" max="6141" width="2.54296875" style="1282" customWidth="1"/>
    <col min="6142" max="6142" width="6.453125" style="1282" customWidth="1"/>
    <col min="6143" max="6143" width="15.54296875" style="1282" customWidth="1"/>
    <col min="6144" max="6144" width="6" style="1282" customWidth="1"/>
    <col min="6145" max="6145" width="1.1796875" style="1282" customWidth="1"/>
    <col min="6146" max="6146" width="5.453125" style="1282" customWidth="1"/>
    <col min="6147" max="6147" width="4.81640625" style="1282" customWidth="1"/>
    <col min="6148" max="6148" width="2.1796875" style="1282" customWidth="1"/>
    <col min="6149" max="6149" width="17.81640625" style="1282" customWidth="1"/>
    <col min="6150" max="6150" width="4.453125" style="1282" customWidth="1"/>
    <col min="6151" max="6151" width="16.453125" style="1282" customWidth="1"/>
    <col min="6152" max="6152" width="3.453125" style="1282" customWidth="1"/>
    <col min="6153" max="6153" width="2.453125" style="1282" customWidth="1"/>
    <col min="6154" max="6393" width="6.81640625" style="1282"/>
    <col min="6394" max="6394" width="8.453125" style="1282" customWidth="1"/>
    <col min="6395" max="6395" width="5.1796875" style="1282" customWidth="1"/>
    <col min="6396" max="6396" width="7" style="1282" customWidth="1"/>
    <col min="6397" max="6397" width="2.54296875" style="1282" customWidth="1"/>
    <col min="6398" max="6398" width="6.453125" style="1282" customWidth="1"/>
    <col min="6399" max="6399" width="15.54296875" style="1282" customWidth="1"/>
    <col min="6400" max="6400" width="6" style="1282" customWidth="1"/>
    <col min="6401" max="6401" width="1.1796875" style="1282" customWidth="1"/>
    <col min="6402" max="6402" width="5.453125" style="1282" customWidth="1"/>
    <col min="6403" max="6403" width="4.81640625" style="1282" customWidth="1"/>
    <col min="6404" max="6404" width="2.1796875" style="1282" customWidth="1"/>
    <col min="6405" max="6405" width="17.81640625" style="1282" customWidth="1"/>
    <col min="6406" max="6406" width="4.453125" style="1282" customWidth="1"/>
    <col min="6407" max="6407" width="16.453125" style="1282" customWidth="1"/>
    <col min="6408" max="6408" width="3.453125" style="1282" customWidth="1"/>
    <col min="6409" max="6409" width="2.453125" style="1282" customWidth="1"/>
    <col min="6410" max="6649" width="6.81640625" style="1282"/>
    <col min="6650" max="6650" width="8.453125" style="1282" customWidth="1"/>
    <col min="6651" max="6651" width="5.1796875" style="1282" customWidth="1"/>
    <col min="6652" max="6652" width="7" style="1282" customWidth="1"/>
    <col min="6653" max="6653" width="2.54296875" style="1282" customWidth="1"/>
    <col min="6654" max="6654" width="6.453125" style="1282" customWidth="1"/>
    <col min="6655" max="6655" width="15.54296875" style="1282" customWidth="1"/>
    <col min="6656" max="6656" width="6" style="1282" customWidth="1"/>
    <col min="6657" max="6657" width="1.1796875" style="1282" customWidth="1"/>
    <col min="6658" max="6658" width="5.453125" style="1282" customWidth="1"/>
    <col min="6659" max="6659" width="4.81640625" style="1282" customWidth="1"/>
    <col min="6660" max="6660" width="2.1796875" style="1282" customWidth="1"/>
    <col min="6661" max="6661" width="17.81640625" style="1282" customWidth="1"/>
    <col min="6662" max="6662" width="4.453125" style="1282" customWidth="1"/>
    <col min="6663" max="6663" width="16.453125" style="1282" customWidth="1"/>
    <col min="6664" max="6664" width="3.453125" style="1282" customWidth="1"/>
    <col min="6665" max="6665" width="2.453125" style="1282" customWidth="1"/>
    <col min="6666" max="6905" width="6.81640625" style="1282"/>
    <col min="6906" max="6906" width="8.453125" style="1282" customWidth="1"/>
    <col min="6907" max="6907" width="5.1796875" style="1282" customWidth="1"/>
    <col min="6908" max="6908" width="7" style="1282" customWidth="1"/>
    <col min="6909" max="6909" width="2.54296875" style="1282" customWidth="1"/>
    <col min="6910" max="6910" width="6.453125" style="1282" customWidth="1"/>
    <col min="6911" max="6911" width="15.54296875" style="1282" customWidth="1"/>
    <col min="6912" max="6912" width="6" style="1282" customWidth="1"/>
    <col min="6913" max="6913" width="1.1796875" style="1282" customWidth="1"/>
    <col min="6914" max="6914" width="5.453125" style="1282" customWidth="1"/>
    <col min="6915" max="6915" width="4.81640625" style="1282" customWidth="1"/>
    <col min="6916" max="6916" width="2.1796875" style="1282" customWidth="1"/>
    <col min="6917" max="6917" width="17.81640625" style="1282" customWidth="1"/>
    <col min="6918" max="6918" width="4.453125" style="1282" customWidth="1"/>
    <col min="6919" max="6919" width="16.453125" style="1282" customWidth="1"/>
    <col min="6920" max="6920" width="3.453125" style="1282" customWidth="1"/>
    <col min="6921" max="6921" width="2.453125" style="1282" customWidth="1"/>
    <col min="6922" max="7161" width="6.81640625" style="1282"/>
    <col min="7162" max="7162" width="8.453125" style="1282" customWidth="1"/>
    <col min="7163" max="7163" width="5.1796875" style="1282" customWidth="1"/>
    <col min="7164" max="7164" width="7" style="1282" customWidth="1"/>
    <col min="7165" max="7165" width="2.54296875" style="1282" customWidth="1"/>
    <col min="7166" max="7166" width="6.453125" style="1282" customWidth="1"/>
    <col min="7167" max="7167" width="15.54296875" style="1282" customWidth="1"/>
    <col min="7168" max="7168" width="6" style="1282" customWidth="1"/>
    <col min="7169" max="7169" width="1.1796875" style="1282" customWidth="1"/>
    <col min="7170" max="7170" width="5.453125" style="1282" customWidth="1"/>
    <col min="7171" max="7171" width="4.81640625" style="1282" customWidth="1"/>
    <col min="7172" max="7172" width="2.1796875" style="1282" customWidth="1"/>
    <col min="7173" max="7173" width="17.81640625" style="1282" customWidth="1"/>
    <col min="7174" max="7174" width="4.453125" style="1282" customWidth="1"/>
    <col min="7175" max="7175" width="16.453125" style="1282" customWidth="1"/>
    <col min="7176" max="7176" width="3.453125" style="1282" customWidth="1"/>
    <col min="7177" max="7177" width="2.453125" style="1282" customWidth="1"/>
    <col min="7178" max="7417" width="6.81640625" style="1282"/>
    <col min="7418" max="7418" width="8.453125" style="1282" customWidth="1"/>
    <col min="7419" max="7419" width="5.1796875" style="1282" customWidth="1"/>
    <col min="7420" max="7420" width="7" style="1282" customWidth="1"/>
    <col min="7421" max="7421" width="2.54296875" style="1282" customWidth="1"/>
    <col min="7422" max="7422" width="6.453125" style="1282" customWidth="1"/>
    <col min="7423" max="7423" width="15.54296875" style="1282" customWidth="1"/>
    <col min="7424" max="7424" width="6" style="1282" customWidth="1"/>
    <col min="7425" max="7425" width="1.1796875" style="1282" customWidth="1"/>
    <col min="7426" max="7426" width="5.453125" style="1282" customWidth="1"/>
    <col min="7427" max="7427" width="4.81640625" style="1282" customWidth="1"/>
    <col min="7428" max="7428" width="2.1796875" style="1282" customWidth="1"/>
    <col min="7429" max="7429" width="17.81640625" style="1282" customWidth="1"/>
    <col min="7430" max="7430" width="4.453125" style="1282" customWidth="1"/>
    <col min="7431" max="7431" width="16.453125" style="1282" customWidth="1"/>
    <col min="7432" max="7432" width="3.453125" style="1282" customWidth="1"/>
    <col min="7433" max="7433" width="2.453125" style="1282" customWidth="1"/>
    <col min="7434" max="7673" width="6.81640625" style="1282"/>
    <col min="7674" max="7674" width="8.453125" style="1282" customWidth="1"/>
    <col min="7675" max="7675" width="5.1796875" style="1282" customWidth="1"/>
    <col min="7676" max="7676" width="7" style="1282" customWidth="1"/>
    <col min="7677" max="7677" width="2.54296875" style="1282" customWidth="1"/>
    <col min="7678" max="7678" width="6.453125" style="1282" customWidth="1"/>
    <col min="7679" max="7679" width="15.54296875" style="1282" customWidth="1"/>
    <col min="7680" max="7680" width="6" style="1282" customWidth="1"/>
    <col min="7681" max="7681" width="1.1796875" style="1282" customWidth="1"/>
    <col min="7682" max="7682" width="5.453125" style="1282" customWidth="1"/>
    <col min="7683" max="7683" width="4.81640625" style="1282" customWidth="1"/>
    <col min="7684" max="7684" width="2.1796875" style="1282" customWidth="1"/>
    <col min="7685" max="7685" width="17.81640625" style="1282" customWidth="1"/>
    <col min="7686" max="7686" width="4.453125" style="1282" customWidth="1"/>
    <col min="7687" max="7687" width="16.453125" style="1282" customWidth="1"/>
    <col min="7688" max="7688" width="3.453125" style="1282" customWidth="1"/>
    <col min="7689" max="7689" width="2.453125" style="1282" customWidth="1"/>
    <col min="7690" max="7929" width="6.81640625" style="1282"/>
    <col min="7930" max="7930" width="8.453125" style="1282" customWidth="1"/>
    <col min="7931" max="7931" width="5.1796875" style="1282" customWidth="1"/>
    <col min="7932" max="7932" width="7" style="1282" customWidth="1"/>
    <col min="7933" max="7933" width="2.54296875" style="1282" customWidth="1"/>
    <col min="7934" max="7934" width="6.453125" style="1282" customWidth="1"/>
    <col min="7935" max="7935" width="15.54296875" style="1282" customWidth="1"/>
    <col min="7936" max="7936" width="6" style="1282" customWidth="1"/>
    <col min="7937" max="7937" width="1.1796875" style="1282" customWidth="1"/>
    <col min="7938" max="7938" width="5.453125" style="1282" customWidth="1"/>
    <col min="7939" max="7939" width="4.81640625" style="1282" customWidth="1"/>
    <col min="7940" max="7940" width="2.1796875" style="1282" customWidth="1"/>
    <col min="7941" max="7941" width="17.81640625" style="1282" customWidth="1"/>
    <col min="7942" max="7942" width="4.453125" style="1282" customWidth="1"/>
    <col min="7943" max="7943" width="16.453125" style="1282" customWidth="1"/>
    <col min="7944" max="7944" width="3.453125" style="1282" customWidth="1"/>
    <col min="7945" max="7945" width="2.453125" style="1282" customWidth="1"/>
    <col min="7946" max="8185" width="6.81640625" style="1282"/>
    <col min="8186" max="8186" width="8.453125" style="1282" customWidth="1"/>
    <col min="8187" max="8187" width="5.1796875" style="1282" customWidth="1"/>
    <col min="8188" max="8188" width="7" style="1282" customWidth="1"/>
    <col min="8189" max="8189" width="2.54296875" style="1282" customWidth="1"/>
    <col min="8190" max="8190" width="6.453125" style="1282" customWidth="1"/>
    <col min="8191" max="8191" width="15.54296875" style="1282" customWidth="1"/>
    <col min="8192" max="8192" width="6" style="1282" customWidth="1"/>
    <col min="8193" max="8193" width="1.1796875" style="1282" customWidth="1"/>
    <col min="8194" max="8194" width="5.453125" style="1282" customWidth="1"/>
    <col min="8195" max="8195" width="4.81640625" style="1282" customWidth="1"/>
    <col min="8196" max="8196" width="2.1796875" style="1282" customWidth="1"/>
    <col min="8197" max="8197" width="17.81640625" style="1282" customWidth="1"/>
    <col min="8198" max="8198" width="4.453125" style="1282" customWidth="1"/>
    <col min="8199" max="8199" width="16.453125" style="1282" customWidth="1"/>
    <col min="8200" max="8200" width="3.453125" style="1282" customWidth="1"/>
    <col min="8201" max="8201" width="2.453125" style="1282" customWidth="1"/>
    <col min="8202" max="8441" width="6.81640625" style="1282"/>
    <col min="8442" max="8442" width="8.453125" style="1282" customWidth="1"/>
    <col min="8443" max="8443" width="5.1796875" style="1282" customWidth="1"/>
    <col min="8444" max="8444" width="7" style="1282" customWidth="1"/>
    <col min="8445" max="8445" width="2.54296875" style="1282" customWidth="1"/>
    <col min="8446" max="8446" width="6.453125" style="1282" customWidth="1"/>
    <col min="8447" max="8447" width="15.54296875" style="1282" customWidth="1"/>
    <col min="8448" max="8448" width="6" style="1282" customWidth="1"/>
    <col min="8449" max="8449" width="1.1796875" style="1282" customWidth="1"/>
    <col min="8450" max="8450" width="5.453125" style="1282" customWidth="1"/>
    <col min="8451" max="8451" width="4.81640625" style="1282" customWidth="1"/>
    <col min="8452" max="8452" width="2.1796875" style="1282" customWidth="1"/>
    <col min="8453" max="8453" width="17.81640625" style="1282" customWidth="1"/>
    <col min="8454" max="8454" width="4.453125" style="1282" customWidth="1"/>
    <col min="8455" max="8455" width="16.453125" style="1282" customWidth="1"/>
    <col min="8456" max="8456" width="3.453125" style="1282" customWidth="1"/>
    <col min="8457" max="8457" width="2.453125" style="1282" customWidth="1"/>
    <col min="8458" max="8697" width="6.81640625" style="1282"/>
    <col min="8698" max="8698" width="8.453125" style="1282" customWidth="1"/>
    <col min="8699" max="8699" width="5.1796875" style="1282" customWidth="1"/>
    <col min="8700" max="8700" width="7" style="1282" customWidth="1"/>
    <col min="8701" max="8701" width="2.54296875" style="1282" customWidth="1"/>
    <col min="8702" max="8702" width="6.453125" style="1282" customWidth="1"/>
    <col min="8703" max="8703" width="15.54296875" style="1282" customWidth="1"/>
    <col min="8704" max="8704" width="6" style="1282" customWidth="1"/>
    <col min="8705" max="8705" width="1.1796875" style="1282" customWidth="1"/>
    <col min="8706" max="8706" width="5.453125" style="1282" customWidth="1"/>
    <col min="8707" max="8707" width="4.81640625" style="1282" customWidth="1"/>
    <col min="8708" max="8708" width="2.1796875" style="1282" customWidth="1"/>
    <col min="8709" max="8709" width="17.81640625" style="1282" customWidth="1"/>
    <col min="8710" max="8710" width="4.453125" style="1282" customWidth="1"/>
    <col min="8711" max="8711" width="16.453125" style="1282" customWidth="1"/>
    <col min="8712" max="8712" width="3.453125" style="1282" customWidth="1"/>
    <col min="8713" max="8713" width="2.453125" style="1282" customWidth="1"/>
    <col min="8714" max="8953" width="6.81640625" style="1282"/>
    <col min="8954" max="8954" width="8.453125" style="1282" customWidth="1"/>
    <col min="8955" max="8955" width="5.1796875" style="1282" customWidth="1"/>
    <col min="8956" max="8956" width="7" style="1282" customWidth="1"/>
    <col min="8957" max="8957" width="2.54296875" style="1282" customWidth="1"/>
    <col min="8958" max="8958" width="6.453125" style="1282" customWidth="1"/>
    <col min="8959" max="8959" width="15.54296875" style="1282" customWidth="1"/>
    <col min="8960" max="8960" width="6" style="1282" customWidth="1"/>
    <col min="8961" max="8961" width="1.1796875" style="1282" customWidth="1"/>
    <col min="8962" max="8962" width="5.453125" style="1282" customWidth="1"/>
    <col min="8963" max="8963" width="4.81640625" style="1282" customWidth="1"/>
    <col min="8964" max="8964" width="2.1796875" style="1282" customWidth="1"/>
    <col min="8965" max="8965" width="17.81640625" style="1282" customWidth="1"/>
    <col min="8966" max="8966" width="4.453125" style="1282" customWidth="1"/>
    <col min="8967" max="8967" width="16.453125" style="1282" customWidth="1"/>
    <col min="8968" max="8968" width="3.453125" style="1282" customWidth="1"/>
    <col min="8969" max="8969" width="2.453125" style="1282" customWidth="1"/>
    <col min="8970" max="9209" width="6.81640625" style="1282"/>
    <col min="9210" max="9210" width="8.453125" style="1282" customWidth="1"/>
    <col min="9211" max="9211" width="5.1796875" style="1282" customWidth="1"/>
    <col min="9212" max="9212" width="7" style="1282" customWidth="1"/>
    <col min="9213" max="9213" width="2.54296875" style="1282" customWidth="1"/>
    <col min="9214" max="9214" width="6.453125" style="1282" customWidth="1"/>
    <col min="9215" max="9215" width="15.54296875" style="1282" customWidth="1"/>
    <col min="9216" max="9216" width="6" style="1282" customWidth="1"/>
    <col min="9217" max="9217" width="1.1796875" style="1282" customWidth="1"/>
    <col min="9218" max="9218" width="5.453125" style="1282" customWidth="1"/>
    <col min="9219" max="9219" width="4.81640625" style="1282" customWidth="1"/>
    <col min="9220" max="9220" width="2.1796875" style="1282" customWidth="1"/>
    <col min="9221" max="9221" width="17.81640625" style="1282" customWidth="1"/>
    <col min="9222" max="9222" width="4.453125" style="1282" customWidth="1"/>
    <col min="9223" max="9223" width="16.453125" style="1282" customWidth="1"/>
    <col min="9224" max="9224" width="3.453125" style="1282" customWidth="1"/>
    <col min="9225" max="9225" width="2.453125" style="1282" customWidth="1"/>
    <col min="9226" max="9465" width="6.81640625" style="1282"/>
    <col min="9466" max="9466" width="8.453125" style="1282" customWidth="1"/>
    <col min="9467" max="9467" width="5.1796875" style="1282" customWidth="1"/>
    <col min="9468" max="9468" width="7" style="1282" customWidth="1"/>
    <col min="9469" max="9469" width="2.54296875" style="1282" customWidth="1"/>
    <col min="9470" max="9470" width="6.453125" style="1282" customWidth="1"/>
    <col min="9471" max="9471" width="15.54296875" style="1282" customWidth="1"/>
    <col min="9472" max="9472" width="6" style="1282" customWidth="1"/>
    <col min="9473" max="9473" width="1.1796875" style="1282" customWidth="1"/>
    <col min="9474" max="9474" width="5.453125" style="1282" customWidth="1"/>
    <col min="9475" max="9475" width="4.81640625" style="1282" customWidth="1"/>
    <col min="9476" max="9476" width="2.1796875" style="1282" customWidth="1"/>
    <col min="9477" max="9477" width="17.81640625" style="1282" customWidth="1"/>
    <col min="9478" max="9478" width="4.453125" style="1282" customWidth="1"/>
    <col min="9479" max="9479" width="16.453125" style="1282" customWidth="1"/>
    <col min="9480" max="9480" width="3.453125" style="1282" customWidth="1"/>
    <col min="9481" max="9481" width="2.453125" style="1282" customWidth="1"/>
    <col min="9482" max="9721" width="6.81640625" style="1282"/>
    <col min="9722" max="9722" width="8.453125" style="1282" customWidth="1"/>
    <col min="9723" max="9723" width="5.1796875" style="1282" customWidth="1"/>
    <col min="9724" max="9724" width="7" style="1282" customWidth="1"/>
    <col min="9725" max="9725" width="2.54296875" style="1282" customWidth="1"/>
    <col min="9726" max="9726" width="6.453125" style="1282" customWidth="1"/>
    <col min="9727" max="9727" width="15.54296875" style="1282" customWidth="1"/>
    <col min="9728" max="9728" width="6" style="1282" customWidth="1"/>
    <col min="9729" max="9729" width="1.1796875" style="1282" customWidth="1"/>
    <col min="9730" max="9730" width="5.453125" style="1282" customWidth="1"/>
    <col min="9731" max="9731" width="4.81640625" style="1282" customWidth="1"/>
    <col min="9732" max="9732" width="2.1796875" style="1282" customWidth="1"/>
    <col min="9733" max="9733" width="17.81640625" style="1282" customWidth="1"/>
    <col min="9734" max="9734" width="4.453125" style="1282" customWidth="1"/>
    <col min="9735" max="9735" width="16.453125" style="1282" customWidth="1"/>
    <col min="9736" max="9736" width="3.453125" style="1282" customWidth="1"/>
    <col min="9737" max="9737" width="2.453125" style="1282" customWidth="1"/>
    <col min="9738" max="9977" width="6.81640625" style="1282"/>
    <col min="9978" max="9978" width="8.453125" style="1282" customWidth="1"/>
    <col min="9979" max="9979" width="5.1796875" style="1282" customWidth="1"/>
    <col min="9980" max="9980" width="7" style="1282" customWidth="1"/>
    <col min="9981" max="9981" width="2.54296875" style="1282" customWidth="1"/>
    <col min="9982" max="9982" width="6.453125" style="1282" customWidth="1"/>
    <col min="9983" max="9983" width="15.54296875" style="1282" customWidth="1"/>
    <col min="9984" max="9984" width="6" style="1282" customWidth="1"/>
    <col min="9985" max="9985" width="1.1796875" style="1282" customWidth="1"/>
    <col min="9986" max="9986" width="5.453125" style="1282" customWidth="1"/>
    <col min="9987" max="9987" width="4.81640625" style="1282" customWidth="1"/>
    <col min="9988" max="9988" width="2.1796875" style="1282" customWidth="1"/>
    <col min="9989" max="9989" width="17.81640625" style="1282" customWidth="1"/>
    <col min="9990" max="9990" width="4.453125" style="1282" customWidth="1"/>
    <col min="9991" max="9991" width="16.453125" style="1282" customWidth="1"/>
    <col min="9992" max="9992" width="3.453125" style="1282" customWidth="1"/>
    <col min="9993" max="9993" width="2.453125" style="1282" customWidth="1"/>
    <col min="9994" max="10233" width="6.81640625" style="1282"/>
    <col min="10234" max="10234" width="8.453125" style="1282" customWidth="1"/>
    <col min="10235" max="10235" width="5.1796875" style="1282" customWidth="1"/>
    <col min="10236" max="10236" width="7" style="1282" customWidth="1"/>
    <col min="10237" max="10237" width="2.54296875" style="1282" customWidth="1"/>
    <col min="10238" max="10238" width="6.453125" style="1282" customWidth="1"/>
    <col min="10239" max="10239" width="15.54296875" style="1282" customWidth="1"/>
    <col min="10240" max="10240" width="6" style="1282" customWidth="1"/>
    <col min="10241" max="10241" width="1.1796875" style="1282" customWidth="1"/>
    <col min="10242" max="10242" width="5.453125" style="1282" customWidth="1"/>
    <col min="10243" max="10243" width="4.81640625" style="1282" customWidth="1"/>
    <col min="10244" max="10244" width="2.1796875" style="1282" customWidth="1"/>
    <col min="10245" max="10245" width="17.81640625" style="1282" customWidth="1"/>
    <col min="10246" max="10246" width="4.453125" style="1282" customWidth="1"/>
    <col min="10247" max="10247" width="16.453125" style="1282" customWidth="1"/>
    <col min="10248" max="10248" width="3.453125" style="1282" customWidth="1"/>
    <col min="10249" max="10249" width="2.453125" style="1282" customWidth="1"/>
    <col min="10250" max="10489" width="6.81640625" style="1282"/>
    <col min="10490" max="10490" width="8.453125" style="1282" customWidth="1"/>
    <col min="10491" max="10491" width="5.1796875" style="1282" customWidth="1"/>
    <col min="10492" max="10492" width="7" style="1282" customWidth="1"/>
    <col min="10493" max="10493" width="2.54296875" style="1282" customWidth="1"/>
    <col min="10494" max="10494" width="6.453125" style="1282" customWidth="1"/>
    <col min="10495" max="10495" width="15.54296875" style="1282" customWidth="1"/>
    <col min="10496" max="10496" width="6" style="1282" customWidth="1"/>
    <col min="10497" max="10497" width="1.1796875" style="1282" customWidth="1"/>
    <col min="10498" max="10498" width="5.453125" style="1282" customWidth="1"/>
    <col min="10499" max="10499" width="4.81640625" style="1282" customWidth="1"/>
    <col min="10500" max="10500" width="2.1796875" style="1282" customWidth="1"/>
    <col min="10501" max="10501" width="17.81640625" style="1282" customWidth="1"/>
    <col min="10502" max="10502" width="4.453125" style="1282" customWidth="1"/>
    <col min="10503" max="10503" width="16.453125" style="1282" customWidth="1"/>
    <col min="10504" max="10504" width="3.453125" style="1282" customWidth="1"/>
    <col min="10505" max="10505" width="2.453125" style="1282" customWidth="1"/>
    <col min="10506" max="10745" width="6.81640625" style="1282"/>
    <col min="10746" max="10746" width="8.453125" style="1282" customWidth="1"/>
    <col min="10747" max="10747" width="5.1796875" style="1282" customWidth="1"/>
    <col min="10748" max="10748" width="7" style="1282" customWidth="1"/>
    <col min="10749" max="10749" width="2.54296875" style="1282" customWidth="1"/>
    <col min="10750" max="10750" width="6.453125" style="1282" customWidth="1"/>
    <col min="10751" max="10751" width="15.54296875" style="1282" customWidth="1"/>
    <col min="10752" max="10752" width="6" style="1282" customWidth="1"/>
    <col min="10753" max="10753" width="1.1796875" style="1282" customWidth="1"/>
    <col min="10754" max="10754" width="5.453125" style="1282" customWidth="1"/>
    <col min="10755" max="10755" width="4.81640625" style="1282" customWidth="1"/>
    <col min="10756" max="10756" width="2.1796875" style="1282" customWidth="1"/>
    <col min="10757" max="10757" width="17.81640625" style="1282" customWidth="1"/>
    <col min="10758" max="10758" width="4.453125" style="1282" customWidth="1"/>
    <col min="10759" max="10759" width="16.453125" style="1282" customWidth="1"/>
    <col min="10760" max="10760" width="3.453125" style="1282" customWidth="1"/>
    <col min="10761" max="10761" width="2.453125" style="1282" customWidth="1"/>
    <col min="10762" max="11001" width="6.81640625" style="1282"/>
    <col min="11002" max="11002" width="8.453125" style="1282" customWidth="1"/>
    <col min="11003" max="11003" width="5.1796875" style="1282" customWidth="1"/>
    <col min="11004" max="11004" width="7" style="1282" customWidth="1"/>
    <col min="11005" max="11005" width="2.54296875" style="1282" customWidth="1"/>
    <col min="11006" max="11006" width="6.453125" style="1282" customWidth="1"/>
    <col min="11007" max="11007" width="15.54296875" style="1282" customWidth="1"/>
    <col min="11008" max="11008" width="6" style="1282" customWidth="1"/>
    <col min="11009" max="11009" width="1.1796875" style="1282" customWidth="1"/>
    <col min="11010" max="11010" width="5.453125" style="1282" customWidth="1"/>
    <col min="11011" max="11011" width="4.81640625" style="1282" customWidth="1"/>
    <col min="11012" max="11012" width="2.1796875" style="1282" customWidth="1"/>
    <col min="11013" max="11013" width="17.81640625" style="1282" customWidth="1"/>
    <col min="11014" max="11014" width="4.453125" style="1282" customWidth="1"/>
    <col min="11015" max="11015" width="16.453125" style="1282" customWidth="1"/>
    <col min="11016" max="11016" width="3.453125" style="1282" customWidth="1"/>
    <col min="11017" max="11017" width="2.453125" style="1282" customWidth="1"/>
    <col min="11018" max="11257" width="6.81640625" style="1282"/>
    <col min="11258" max="11258" width="8.453125" style="1282" customWidth="1"/>
    <col min="11259" max="11259" width="5.1796875" style="1282" customWidth="1"/>
    <col min="11260" max="11260" width="7" style="1282" customWidth="1"/>
    <col min="11261" max="11261" width="2.54296875" style="1282" customWidth="1"/>
    <col min="11262" max="11262" width="6.453125" style="1282" customWidth="1"/>
    <col min="11263" max="11263" width="15.54296875" style="1282" customWidth="1"/>
    <col min="11264" max="11264" width="6" style="1282" customWidth="1"/>
    <col min="11265" max="11265" width="1.1796875" style="1282" customWidth="1"/>
    <col min="11266" max="11266" width="5.453125" style="1282" customWidth="1"/>
    <col min="11267" max="11267" width="4.81640625" style="1282" customWidth="1"/>
    <col min="11268" max="11268" width="2.1796875" style="1282" customWidth="1"/>
    <col min="11269" max="11269" width="17.81640625" style="1282" customWidth="1"/>
    <col min="11270" max="11270" width="4.453125" style="1282" customWidth="1"/>
    <col min="11271" max="11271" width="16.453125" style="1282" customWidth="1"/>
    <col min="11272" max="11272" width="3.453125" style="1282" customWidth="1"/>
    <col min="11273" max="11273" width="2.453125" style="1282" customWidth="1"/>
    <col min="11274" max="11513" width="6.81640625" style="1282"/>
    <col min="11514" max="11514" width="8.453125" style="1282" customWidth="1"/>
    <col min="11515" max="11515" width="5.1796875" style="1282" customWidth="1"/>
    <col min="11516" max="11516" width="7" style="1282" customWidth="1"/>
    <col min="11517" max="11517" width="2.54296875" style="1282" customWidth="1"/>
    <col min="11518" max="11518" width="6.453125" style="1282" customWidth="1"/>
    <col min="11519" max="11519" width="15.54296875" style="1282" customWidth="1"/>
    <col min="11520" max="11520" width="6" style="1282" customWidth="1"/>
    <col min="11521" max="11521" width="1.1796875" style="1282" customWidth="1"/>
    <col min="11522" max="11522" width="5.453125" style="1282" customWidth="1"/>
    <col min="11523" max="11523" width="4.81640625" style="1282" customWidth="1"/>
    <col min="11524" max="11524" width="2.1796875" style="1282" customWidth="1"/>
    <col min="11525" max="11525" width="17.81640625" style="1282" customWidth="1"/>
    <col min="11526" max="11526" width="4.453125" style="1282" customWidth="1"/>
    <col min="11527" max="11527" width="16.453125" style="1282" customWidth="1"/>
    <col min="11528" max="11528" width="3.453125" style="1282" customWidth="1"/>
    <col min="11529" max="11529" width="2.453125" style="1282" customWidth="1"/>
    <col min="11530" max="11769" width="6.81640625" style="1282"/>
    <col min="11770" max="11770" width="8.453125" style="1282" customWidth="1"/>
    <col min="11771" max="11771" width="5.1796875" style="1282" customWidth="1"/>
    <col min="11772" max="11772" width="7" style="1282" customWidth="1"/>
    <col min="11773" max="11773" width="2.54296875" style="1282" customWidth="1"/>
    <col min="11774" max="11774" width="6.453125" style="1282" customWidth="1"/>
    <col min="11775" max="11775" width="15.54296875" style="1282" customWidth="1"/>
    <col min="11776" max="11776" width="6" style="1282" customWidth="1"/>
    <col min="11777" max="11777" width="1.1796875" style="1282" customWidth="1"/>
    <col min="11778" max="11778" width="5.453125" style="1282" customWidth="1"/>
    <col min="11779" max="11779" width="4.81640625" style="1282" customWidth="1"/>
    <col min="11780" max="11780" width="2.1796875" style="1282" customWidth="1"/>
    <col min="11781" max="11781" width="17.81640625" style="1282" customWidth="1"/>
    <col min="11782" max="11782" width="4.453125" style="1282" customWidth="1"/>
    <col min="11783" max="11783" width="16.453125" style="1282" customWidth="1"/>
    <col min="11784" max="11784" width="3.453125" style="1282" customWidth="1"/>
    <col min="11785" max="11785" width="2.453125" style="1282" customWidth="1"/>
    <col min="11786" max="12025" width="6.81640625" style="1282"/>
    <col min="12026" max="12026" width="8.453125" style="1282" customWidth="1"/>
    <col min="12027" max="12027" width="5.1796875" style="1282" customWidth="1"/>
    <col min="12028" max="12028" width="7" style="1282" customWidth="1"/>
    <col min="12029" max="12029" width="2.54296875" style="1282" customWidth="1"/>
    <col min="12030" max="12030" width="6.453125" style="1282" customWidth="1"/>
    <col min="12031" max="12031" width="15.54296875" style="1282" customWidth="1"/>
    <col min="12032" max="12032" width="6" style="1282" customWidth="1"/>
    <col min="12033" max="12033" width="1.1796875" style="1282" customWidth="1"/>
    <col min="12034" max="12034" width="5.453125" style="1282" customWidth="1"/>
    <col min="12035" max="12035" width="4.81640625" style="1282" customWidth="1"/>
    <col min="12036" max="12036" width="2.1796875" style="1282" customWidth="1"/>
    <col min="12037" max="12037" width="17.81640625" style="1282" customWidth="1"/>
    <col min="12038" max="12038" width="4.453125" style="1282" customWidth="1"/>
    <col min="12039" max="12039" width="16.453125" style="1282" customWidth="1"/>
    <col min="12040" max="12040" width="3.453125" style="1282" customWidth="1"/>
    <col min="12041" max="12041" width="2.453125" style="1282" customWidth="1"/>
    <col min="12042" max="12281" width="6.81640625" style="1282"/>
    <col min="12282" max="12282" width="8.453125" style="1282" customWidth="1"/>
    <col min="12283" max="12283" width="5.1796875" style="1282" customWidth="1"/>
    <col min="12284" max="12284" width="7" style="1282" customWidth="1"/>
    <col min="12285" max="12285" width="2.54296875" style="1282" customWidth="1"/>
    <col min="12286" max="12286" width="6.453125" style="1282" customWidth="1"/>
    <col min="12287" max="12287" width="15.54296875" style="1282" customWidth="1"/>
    <col min="12288" max="12288" width="6" style="1282" customWidth="1"/>
    <col min="12289" max="12289" width="1.1796875" style="1282" customWidth="1"/>
    <col min="12290" max="12290" width="5.453125" style="1282" customWidth="1"/>
    <col min="12291" max="12291" width="4.81640625" style="1282" customWidth="1"/>
    <col min="12292" max="12292" width="2.1796875" style="1282" customWidth="1"/>
    <col min="12293" max="12293" width="17.81640625" style="1282" customWidth="1"/>
    <col min="12294" max="12294" width="4.453125" style="1282" customWidth="1"/>
    <col min="12295" max="12295" width="16.453125" style="1282" customWidth="1"/>
    <col min="12296" max="12296" width="3.453125" style="1282" customWidth="1"/>
    <col min="12297" max="12297" width="2.453125" style="1282" customWidth="1"/>
    <col min="12298" max="12537" width="6.81640625" style="1282"/>
    <col min="12538" max="12538" width="8.453125" style="1282" customWidth="1"/>
    <col min="12539" max="12539" width="5.1796875" style="1282" customWidth="1"/>
    <col min="12540" max="12540" width="7" style="1282" customWidth="1"/>
    <col min="12541" max="12541" width="2.54296875" style="1282" customWidth="1"/>
    <col min="12542" max="12542" width="6.453125" style="1282" customWidth="1"/>
    <col min="12543" max="12543" width="15.54296875" style="1282" customWidth="1"/>
    <col min="12544" max="12544" width="6" style="1282" customWidth="1"/>
    <col min="12545" max="12545" width="1.1796875" style="1282" customWidth="1"/>
    <col min="12546" max="12546" width="5.453125" style="1282" customWidth="1"/>
    <col min="12547" max="12547" width="4.81640625" style="1282" customWidth="1"/>
    <col min="12548" max="12548" width="2.1796875" style="1282" customWidth="1"/>
    <col min="12549" max="12549" width="17.81640625" style="1282" customWidth="1"/>
    <col min="12550" max="12550" width="4.453125" style="1282" customWidth="1"/>
    <col min="12551" max="12551" width="16.453125" style="1282" customWidth="1"/>
    <col min="12552" max="12552" width="3.453125" style="1282" customWidth="1"/>
    <col min="12553" max="12553" width="2.453125" style="1282" customWidth="1"/>
    <col min="12554" max="12793" width="6.81640625" style="1282"/>
    <col min="12794" max="12794" width="8.453125" style="1282" customWidth="1"/>
    <col min="12795" max="12795" width="5.1796875" style="1282" customWidth="1"/>
    <col min="12796" max="12796" width="7" style="1282" customWidth="1"/>
    <col min="12797" max="12797" width="2.54296875" style="1282" customWidth="1"/>
    <col min="12798" max="12798" width="6.453125" style="1282" customWidth="1"/>
    <col min="12799" max="12799" width="15.54296875" style="1282" customWidth="1"/>
    <col min="12800" max="12800" width="6" style="1282" customWidth="1"/>
    <col min="12801" max="12801" width="1.1796875" style="1282" customWidth="1"/>
    <col min="12802" max="12802" width="5.453125" style="1282" customWidth="1"/>
    <col min="12803" max="12803" width="4.81640625" style="1282" customWidth="1"/>
    <col min="12804" max="12804" width="2.1796875" style="1282" customWidth="1"/>
    <col min="12805" max="12805" width="17.81640625" style="1282" customWidth="1"/>
    <col min="12806" max="12806" width="4.453125" style="1282" customWidth="1"/>
    <col min="12807" max="12807" width="16.453125" style="1282" customWidth="1"/>
    <col min="12808" max="12808" width="3.453125" style="1282" customWidth="1"/>
    <col min="12809" max="12809" width="2.453125" style="1282" customWidth="1"/>
    <col min="12810" max="13049" width="6.81640625" style="1282"/>
    <col min="13050" max="13050" width="8.453125" style="1282" customWidth="1"/>
    <col min="13051" max="13051" width="5.1796875" style="1282" customWidth="1"/>
    <col min="13052" max="13052" width="7" style="1282" customWidth="1"/>
    <col min="13053" max="13053" width="2.54296875" style="1282" customWidth="1"/>
    <col min="13054" max="13054" width="6.453125" style="1282" customWidth="1"/>
    <col min="13055" max="13055" width="15.54296875" style="1282" customWidth="1"/>
    <col min="13056" max="13056" width="6" style="1282" customWidth="1"/>
    <col min="13057" max="13057" width="1.1796875" style="1282" customWidth="1"/>
    <col min="13058" max="13058" width="5.453125" style="1282" customWidth="1"/>
    <col min="13059" max="13059" width="4.81640625" style="1282" customWidth="1"/>
    <col min="13060" max="13060" width="2.1796875" style="1282" customWidth="1"/>
    <col min="13061" max="13061" width="17.81640625" style="1282" customWidth="1"/>
    <col min="13062" max="13062" width="4.453125" style="1282" customWidth="1"/>
    <col min="13063" max="13063" width="16.453125" style="1282" customWidth="1"/>
    <col min="13064" max="13064" width="3.453125" style="1282" customWidth="1"/>
    <col min="13065" max="13065" width="2.453125" style="1282" customWidth="1"/>
    <col min="13066" max="13305" width="6.81640625" style="1282"/>
    <col min="13306" max="13306" width="8.453125" style="1282" customWidth="1"/>
    <col min="13307" max="13307" width="5.1796875" style="1282" customWidth="1"/>
    <col min="13308" max="13308" width="7" style="1282" customWidth="1"/>
    <col min="13309" max="13309" width="2.54296875" style="1282" customWidth="1"/>
    <col min="13310" max="13310" width="6.453125" style="1282" customWidth="1"/>
    <col min="13311" max="13311" width="15.54296875" style="1282" customWidth="1"/>
    <col min="13312" max="13312" width="6" style="1282" customWidth="1"/>
    <col min="13313" max="13313" width="1.1796875" style="1282" customWidth="1"/>
    <col min="13314" max="13314" width="5.453125" style="1282" customWidth="1"/>
    <col min="13315" max="13315" width="4.81640625" style="1282" customWidth="1"/>
    <col min="13316" max="13316" width="2.1796875" style="1282" customWidth="1"/>
    <col min="13317" max="13317" width="17.81640625" style="1282" customWidth="1"/>
    <col min="13318" max="13318" width="4.453125" style="1282" customWidth="1"/>
    <col min="13319" max="13319" width="16.453125" style="1282" customWidth="1"/>
    <col min="13320" max="13320" width="3.453125" style="1282" customWidth="1"/>
    <col min="13321" max="13321" width="2.453125" style="1282" customWidth="1"/>
    <col min="13322" max="13561" width="6.81640625" style="1282"/>
    <col min="13562" max="13562" width="8.453125" style="1282" customWidth="1"/>
    <col min="13563" max="13563" width="5.1796875" style="1282" customWidth="1"/>
    <col min="13564" max="13564" width="7" style="1282" customWidth="1"/>
    <col min="13565" max="13565" width="2.54296875" style="1282" customWidth="1"/>
    <col min="13566" max="13566" width="6.453125" style="1282" customWidth="1"/>
    <col min="13567" max="13567" width="15.54296875" style="1282" customWidth="1"/>
    <col min="13568" max="13568" width="6" style="1282" customWidth="1"/>
    <col min="13569" max="13569" width="1.1796875" style="1282" customWidth="1"/>
    <col min="13570" max="13570" width="5.453125" style="1282" customWidth="1"/>
    <col min="13571" max="13571" width="4.81640625" style="1282" customWidth="1"/>
    <col min="13572" max="13572" width="2.1796875" style="1282" customWidth="1"/>
    <col min="13573" max="13573" width="17.81640625" style="1282" customWidth="1"/>
    <col min="13574" max="13574" width="4.453125" style="1282" customWidth="1"/>
    <col min="13575" max="13575" width="16.453125" style="1282" customWidth="1"/>
    <col min="13576" max="13576" width="3.453125" style="1282" customWidth="1"/>
    <col min="13577" max="13577" width="2.453125" style="1282" customWidth="1"/>
    <col min="13578" max="13817" width="6.81640625" style="1282"/>
    <col min="13818" max="13818" width="8.453125" style="1282" customWidth="1"/>
    <col min="13819" max="13819" width="5.1796875" style="1282" customWidth="1"/>
    <col min="13820" max="13820" width="7" style="1282" customWidth="1"/>
    <col min="13821" max="13821" width="2.54296875" style="1282" customWidth="1"/>
    <col min="13822" max="13822" width="6.453125" style="1282" customWidth="1"/>
    <col min="13823" max="13823" width="15.54296875" style="1282" customWidth="1"/>
    <col min="13824" max="13824" width="6" style="1282" customWidth="1"/>
    <col min="13825" max="13825" width="1.1796875" style="1282" customWidth="1"/>
    <col min="13826" max="13826" width="5.453125" style="1282" customWidth="1"/>
    <col min="13827" max="13827" width="4.81640625" style="1282" customWidth="1"/>
    <col min="13828" max="13828" width="2.1796875" style="1282" customWidth="1"/>
    <col min="13829" max="13829" width="17.81640625" style="1282" customWidth="1"/>
    <col min="13830" max="13830" width="4.453125" style="1282" customWidth="1"/>
    <col min="13831" max="13831" width="16.453125" style="1282" customWidth="1"/>
    <col min="13832" max="13832" width="3.453125" style="1282" customWidth="1"/>
    <col min="13833" max="13833" width="2.453125" style="1282" customWidth="1"/>
    <col min="13834" max="14073" width="6.81640625" style="1282"/>
    <col min="14074" max="14074" width="8.453125" style="1282" customWidth="1"/>
    <col min="14075" max="14075" width="5.1796875" style="1282" customWidth="1"/>
    <col min="14076" max="14076" width="7" style="1282" customWidth="1"/>
    <col min="14077" max="14077" width="2.54296875" style="1282" customWidth="1"/>
    <col min="14078" max="14078" width="6.453125" style="1282" customWidth="1"/>
    <col min="14079" max="14079" width="15.54296875" style="1282" customWidth="1"/>
    <col min="14080" max="14080" width="6" style="1282" customWidth="1"/>
    <col min="14081" max="14081" width="1.1796875" style="1282" customWidth="1"/>
    <col min="14082" max="14082" width="5.453125" style="1282" customWidth="1"/>
    <col min="14083" max="14083" width="4.81640625" style="1282" customWidth="1"/>
    <col min="14084" max="14084" width="2.1796875" style="1282" customWidth="1"/>
    <col min="14085" max="14085" width="17.81640625" style="1282" customWidth="1"/>
    <col min="14086" max="14086" width="4.453125" style="1282" customWidth="1"/>
    <col min="14087" max="14087" width="16.453125" style="1282" customWidth="1"/>
    <col min="14088" max="14088" width="3.453125" style="1282" customWidth="1"/>
    <col min="14089" max="14089" width="2.453125" style="1282" customWidth="1"/>
    <col min="14090" max="14329" width="6.81640625" style="1282"/>
    <col min="14330" max="14330" width="8.453125" style="1282" customWidth="1"/>
    <col min="14331" max="14331" width="5.1796875" style="1282" customWidth="1"/>
    <col min="14332" max="14332" width="7" style="1282" customWidth="1"/>
    <col min="14333" max="14333" width="2.54296875" style="1282" customWidth="1"/>
    <col min="14334" max="14334" width="6.453125" style="1282" customWidth="1"/>
    <col min="14335" max="14335" width="15.54296875" style="1282" customWidth="1"/>
    <col min="14336" max="14336" width="6" style="1282" customWidth="1"/>
    <col min="14337" max="14337" width="1.1796875" style="1282" customWidth="1"/>
    <col min="14338" max="14338" width="5.453125" style="1282" customWidth="1"/>
    <col min="14339" max="14339" width="4.81640625" style="1282" customWidth="1"/>
    <col min="14340" max="14340" width="2.1796875" style="1282" customWidth="1"/>
    <col min="14341" max="14341" width="17.81640625" style="1282" customWidth="1"/>
    <col min="14342" max="14342" width="4.453125" style="1282" customWidth="1"/>
    <col min="14343" max="14343" width="16.453125" style="1282" customWidth="1"/>
    <col min="14344" max="14344" width="3.453125" style="1282" customWidth="1"/>
    <col min="14345" max="14345" width="2.453125" style="1282" customWidth="1"/>
    <col min="14346" max="14585" width="6.81640625" style="1282"/>
    <col min="14586" max="14586" width="8.453125" style="1282" customWidth="1"/>
    <col min="14587" max="14587" width="5.1796875" style="1282" customWidth="1"/>
    <col min="14588" max="14588" width="7" style="1282" customWidth="1"/>
    <col min="14589" max="14589" width="2.54296875" style="1282" customWidth="1"/>
    <col min="14590" max="14590" width="6.453125" style="1282" customWidth="1"/>
    <col min="14591" max="14591" width="15.54296875" style="1282" customWidth="1"/>
    <col min="14592" max="14592" width="6" style="1282" customWidth="1"/>
    <col min="14593" max="14593" width="1.1796875" style="1282" customWidth="1"/>
    <col min="14594" max="14594" width="5.453125" style="1282" customWidth="1"/>
    <col min="14595" max="14595" width="4.81640625" style="1282" customWidth="1"/>
    <col min="14596" max="14596" width="2.1796875" style="1282" customWidth="1"/>
    <col min="14597" max="14597" width="17.81640625" style="1282" customWidth="1"/>
    <col min="14598" max="14598" width="4.453125" style="1282" customWidth="1"/>
    <col min="14599" max="14599" width="16.453125" style="1282" customWidth="1"/>
    <col min="14600" max="14600" width="3.453125" style="1282" customWidth="1"/>
    <col min="14601" max="14601" width="2.453125" style="1282" customWidth="1"/>
    <col min="14602" max="14841" width="6.81640625" style="1282"/>
    <col min="14842" max="14842" width="8.453125" style="1282" customWidth="1"/>
    <col min="14843" max="14843" width="5.1796875" style="1282" customWidth="1"/>
    <col min="14844" max="14844" width="7" style="1282" customWidth="1"/>
    <col min="14845" max="14845" width="2.54296875" style="1282" customWidth="1"/>
    <col min="14846" max="14846" width="6.453125" style="1282" customWidth="1"/>
    <col min="14847" max="14847" width="15.54296875" style="1282" customWidth="1"/>
    <col min="14848" max="14848" width="6" style="1282" customWidth="1"/>
    <col min="14849" max="14849" width="1.1796875" style="1282" customWidth="1"/>
    <col min="14850" max="14850" width="5.453125" style="1282" customWidth="1"/>
    <col min="14851" max="14851" width="4.81640625" style="1282" customWidth="1"/>
    <col min="14852" max="14852" width="2.1796875" style="1282" customWidth="1"/>
    <col min="14853" max="14853" width="17.81640625" style="1282" customWidth="1"/>
    <col min="14854" max="14854" width="4.453125" style="1282" customWidth="1"/>
    <col min="14855" max="14855" width="16.453125" style="1282" customWidth="1"/>
    <col min="14856" max="14856" width="3.453125" style="1282" customWidth="1"/>
    <col min="14857" max="14857" width="2.453125" style="1282" customWidth="1"/>
    <col min="14858" max="15097" width="6.81640625" style="1282"/>
    <col min="15098" max="15098" width="8.453125" style="1282" customWidth="1"/>
    <col min="15099" max="15099" width="5.1796875" style="1282" customWidth="1"/>
    <col min="15100" max="15100" width="7" style="1282" customWidth="1"/>
    <col min="15101" max="15101" width="2.54296875" style="1282" customWidth="1"/>
    <col min="15102" max="15102" width="6.453125" style="1282" customWidth="1"/>
    <col min="15103" max="15103" width="15.54296875" style="1282" customWidth="1"/>
    <col min="15104" max="15104" width="6" style="1282" customWidth="1"/>
    <col min="15105" max="15105" width="1.1796875" style="1282" customWidth="1"/>
    <col min="15106" max="15106" width="5.453125" style="1282" customWidth="1"/>
    <col min="15107" max="15107" width="4.81640625" style="1282" customWidth="1"/>
    <col min="15108" max="15108" width="2.1796875" style="1282" customWidth="1"/>
    <col min="15109" max="15109" width="17.81640625" style="1282" customWidth="1"/>
    <col min="15110" max="15110" width="4.453125" style="1282" customWidth="1"/>
    <col min="15111" max="15111" width="16.453125" style="1282" customWidth="1"/>
    <col min="15112" max="15112" width="3.453125" style="1282" customWidth="1"/>
    <col min="15113" max="15113" width="2.453125" style="1282" customWidth="1"/>
    <col min="15114" max="15353" width="6.81640625" style="1282"/>
    <col min="15354" max="15354" width="8.453125" style="1282" customWidth="1"/>
    <col min="15355" max="15355" width="5.1796875" style="1282" customWidth="1"/>
    <col min="15356" max="15356" width="7" style="1282" customWidth="1"/>
    <col min="15357" max="15357" width="2.54296875" style="1282" customWidth="1"/>
    <col min="15358" max="15358" width="6.453125" style="1282" customWidth="1"/>
    <col min="15359" max="15359" width="15.54296875" style="1282" customWidth="1"/>
    <col min="15360" max="15360" width="6" style="1282" customWidth="1"/>
    <col min="15361" max="15361" width="1.1796875" style="1282" customWidth="1"/>
    <col min="15362" max="15362" width="5.453125" style="1282" customWidth="1"/>
    <col min="15363" max="15363" width="4.81640625" style="1282" customWidth="1"/>
    <col min="15364" max="15364" width="2.1796875" style="1282" customWidth="1"/>
    <col min="15365" max="15365" width="17.81640625" style="1282" customWidth="1"/>
    <col min="15366" max="15366" width="4.453125" style="1282" customWidth="1"/>
    <col min="15367" max="15367" width="16.453125" style="1282" customWidth="1"/>
    <col min="15368" max="15368" width="3.453125" style="1282" customWidth="1"/>
    <col min="15369" max="15369" width="2.453125" style="1282" customWidth="1"/>
    <col min="15370" max="15609" width="6.81640625" style="1282"/>
    <col min="15610" max="15610" width="8.453125" style="1282" customWidth="1"/>
    <col min="15611" max="15611" width="5.1796875" style="1282" customWidth="1"/>
    <col min="15612" max="15612" width="7" style="1282" customWidth="1"/>
    <col min="15613" max="15613" width="2.54296875" style="1282" customWidth="1"/>
    <col min="15614" max="15614" width="6.453125" style="1282" customWidth="1"/>
    <col min="15615" max="15615" width="15.54296875" style="1282" customWidth="1"/>
    <col min="15616" max="15616" width="6" style="1282" customWidth="1"/>
    <col min="15617" max="15617" width="1.1796875" style="1282" customWidth="1"/>
    <col min="15618" max="15618" width="5.453125" style="1282" customWidth="1"/>
    <col min="15619" max="15619" width="4.81640625" style="1282" customWidth="1"/>
    <col min="15620" max="15620" width="2.1796875" style="1282" customWidth="1"/>
    <col min="15621" max="15621" width="17.81640625" style="1282" customWidth="1"/>
    <col min="15622" max="15622" width="4.453125" style="1282" customWidth="1"/>
    <col min="15623" max="15623" width="16.453125" style="1282" customWidth="1"/>
    <col min="15624" max="15624" width="3.453125" style="1282" customWidth="1"/>
    <col min="15625" max="15625" width="2.453125" style="1282" customWidth="1"/>
    <col min="15626" max="15865" width="6.81640625" style="1282"/>
    <col min="15866" max="15866" width="8.453125" style="1282" customWidth="1"/>
    <col min="15867" max="15867" width="5.1796875" style="1282" customWidth="1"/>
    <col min="15868" max="15868" width="7" style="1282" customWidth="1"/>
    <col min="15869" max="15869" width="2.54296875" style="1282" customWidth="1"/>
    <col min="15870" max="15870" width="6.453125" style="1282" customWidth="1"/>
    <col min="15871" max="15871" width="15.54296875" style="1282" customWidth="1"/>
    <col min="15872" max="15872" width="6" style="1282" customWidth="1"/>
    <col min="15873" max="15873" width="1.1796875" style="1282" customWidth="1"/>
    <col min="15874" max="15874" width="5.453125" style="1282" customWidth="1"/>
    <col min="15875" max="15875" width="4.81640625" style="1282" customWidth="1"/>
    <col min="15876" max="15876" width="2.1796875" style="1282" customWidth="1"/>
    <col min="15877" max="15877" width="17.81640625" style="1282" customWidth="1"/>
    <col min="15878" max="15878" width="4.453125" style="1282" customWidth="1"/>
    <col min="15879" max="15879" width="16.453125" style="1282" customWidth="1"/>
    <col min="15880" max="15880" width="3.453125" style="1282" customWidth="1"/>
    <col min="15881" max="15881" width="2.453125" style="1282" customWidth="1"/>
    <col min="15882" max="16121" width="6.81640625" style="1282"/>
    <col min="16122" max="16122" width="8.453125" style="1282" customWidth="1"/>
    <col min="16123" max="16123" width="5.1796875" style="1282" customWidth="1"/>
    <col min="16124" max="16124" width="7" style="1282" customWidth="1"/>
    <col min="16125" max="16125" width="2.54296875" style="1282" customWidth="1"/>
    <col min="16126" max="16126" width="6.453125" style="1282" customWidth="1"/>
    <col min="16127" max="16127" width="15.54296875" style="1282" customWidth="1"/>
    <col min="16128" max="16128" width="6" style="1282" customWidth="1"/>
    <col min="16129" max="16129" width="1.1796875" style="1282" customWidth="1"/>
    <col min="16130" max="16130" width="5.453125" style="1282" customWidth="1"/>
    <col min="16131" max="16131" width="4.81640625" style="1282" customWidth="1"/>
    <col min="16132" max="16132" width="2.1796875" style="1282" customWidth="1"/>
    <col min="16133" max="16133" width="17.81640625" style="1282" customWidth="1"/>
    <col min="16134" max="16134" width="4.453125" style="1282" customWidth="1"/>
    <col min="16135" max="16135" width="16.453125" style="1282" customWidth="1"/>
    <col min="16136" max="16136" width="3.453125" style="1282" customWidth="1"/>
    <col min="16137" max="16137" width="2.453125" style="1282" customWidth="1"/>
    <col min="16138" max="16384" width="6.81640625" style="1282"/>
  </cols>
  <sheetData>
    <row r="1" spans="1:11" ht="6" customHeight="1"/>
    <row r="2" spans="1:11" ht="27" customHeight="1">
      <c r="A2" s="1387" t="s">
        <v>0</v>
      </c>
      <c r="B2" s="1387"/>
      <c r="C2" s="1387"/>
      <c r="D2" s="1387"/>
      <c r="E2" s="1387"/>
      <c r="F2" s="1387"/>
      <c r="G2" s="1387"/>
      <c r="H2" s="1387"/>
      <c r="I2" s="1387"/>
    </row>
    <row r="3" spans="1:11" ht="6" customHeight="1"/>
    <row r="4" spans="1:11" ht="20.25" customHeight="1">
      <c r="A4" s="1388" t="s">
        <v>1</v>
      </c>
      <c r="B4" s="1388"/>
      <c r="C4" s="1388"/>
      <c r="D4" s="1388"/>
      <c r="E4" s="1388"/>
      <c r="F4" s="1388"/>
      <c r="G4" s="1388"/>
      <c r="H4" s="1388"/>
      <c r="I4" s="1388"/>
    </row>
    <row r="5" spans="1:11" ht="6" customHeight="1"/>
    <row r="6" spans="1:11" ht="19.5" customHeight="1">
      <c r="D6" s="1382" t="s">
        <v>2</v>
      </c>
      <c r="E6" s="1382"/>
      <c r="F6" s="1382" t="s">
        <v>3</v>
      </c>
      <c r="G6" s="1382"/>
      <c r="H6" s="1382" t="s">
        <v>4</v>
      </c>
      <c r="I6" s="1382"/>
      <c r="J6" s="1382" t="s">
        <v>5</v>
      </c>
      <c r="K6" s="1382"/>
    </row>
    <row r="7" spans="1:11" ht="6" customHeight="1">
      <c r="A7" s="1386" t="s">
        <v>6</v>
      </c>
      <c r="B7" s="1386"/>
      <c r="C7" s="1386"/>
      <c r="D7" s="1385" t="s">
        <v>7</v>
      </c>
      <c r="E7" s="1385" t="s">
        <v>8</v>
      </c>
      <c r="F7" s="1385" t="s">
        <v>7</v>
      </c>
      <c r="G7" s="1385" t="s">
        <v>8</v>
      </c>
      <c r="H7" s="1385" t="s">
        <v>7</v>
      </c>
      <c r="I7" s="1385" t="s">
        <v>8</v>
      </c>
      <c r="J7" s="1385" t="s">
        <v>7</v>
      </c>
      <c r="K7" s="1385" t="s">
        <v>8</v>
      </c>
    </row>
    <row r="8" spans="1:11" ht="6" customHeight="1">
      <c r="A8" s="1386"/>
      <c r="B8" s="1386"/>
      <c r="C8" s="1386"/>
      <c r="D8" s="1385"/>
      <c r="E8" s="1385"/>
      <c r="F8" s="1385"/>
      <c r="G8" s="1385"/>
      <c r="H8" s="1385"/>
      <c r="I8" s="1385"/>
      <c r="J8" s="1385"/>
      <c r="K8" s="1385"/>
    </row>
    <row r="9" spans="1:11" ht="9" customHeight="1">
      <c r="A9" s="1386"/>
      <c r="B9" s="1386"/>
      <c r="C9" s="1386"/>
      <c r="D9" s="1385"/>
      <c r="E9" s="1385"/>
      <c r="F9" s="1385"/>
      <c r="G9" s="1385"/>
      <c r="H9" s="1385"/>
      <c r="I9" s="1385"/>
      <c r="J9" s="1385"/>
      <c r="K9" s="1385"/>
    </row>
    <row r="10" spans="1:11" ht="13">
      <c r="A10" s="1383" t="s">
        <v>9</v>
      </c>
      <c r="B10" s="1383"/>
      <c r="C10" s="1383"/>
      <c r="D10" s="1351"/>
      <c r="E10" s="1351"/>
      <c r="F10" s="1351"/>
      <c r="G10" s="1351"/>
      <c r="H10" s="1351"/>
      <c r="I10" s="1351"/>
      <c r="J10" s="1351"/>
      <c r="K10" s="1351"/>
    </row>
    <row r="11" spans="1:11" ht="13">
      <c r="A11" s="1384" t="s">
        <v>10</v>
      </c>
      <c r="B11" s="1384"/>
      <c r="C11" s="1384"/>
      <c r="D11" s="1351"/>
      <c r="E11" s="1351"/>
      <c r="F11" s="1351"/>
      <c r="G11" s="1351"/>
      <c r="H11" s="1351"/>
      <c r="I11" s="1351"/>
      <c r="J11" s="1351"/>
      <c r="K11" s="1351"/>
    </row>
    <row r="12" spans="1:11" ht="13">
      <c r="B12" s="1384" t="s">
        <v>11</v>
      </c>
      <c r="C12" s="1384"/>
      <c r="D12" s="1351"/>
      <c r="E12" s="1351"/>
      <c r="F12" s="1351"/>
      <c r="G12" s="1351"/>
      <c r="H12" s="1351"/>
      <c r="I12" s="1351"/>
      <c r="J12" s="1351"/>
      <c r="K12" s="1351"/>
    </row>
    <row r="13" spans="1:11" ht="12.75" customHeight="1">
      <c r="A13" s="1352" t="s">
        <v>12</v>
      </c>
      <c r="B13" s="1352"/>
      <c r="C13" s="1352" t="s">
        <v>13</v>
      </c>
      <c r="D13" s="1353">
        <v>1608.1470000004799</v>
      </c>
      <c r="E13" s="1353"/>
      <c r="F13" s="1353">
        <v>11128</v>
      </c>
      <c r="G13" s="1351"/>
      <c r="H13" s="1351"/>
      <c r="I13" s="1351"/>
      <c r="J13" s="1351">
        <f>(D13+F13+H13)-(E13+G13+I13)</f>
        <v>12736.147000000499</v>
      </c>
      <c r="K13" s="1351"/>
    </row>
    <row r="14" spans="1:11" ht="13.5" customHeight="1">
      <c r="D14" s="1354"/>
      <c r="E14" s="1354"/>
      <c r="F14" s="1354"/>
      <c r="G14" s="1351"/>
      <c r="H14" s="1351"/>
      <c r="I14" s="1351"/>
      <c r="J14" s="1351"/>
      <c r="K14" s="1351"/>
    </row>
    <row r="15" spans="1:11" ht="12.75" customHeight="1">
      <c r="B15" s="1355" t="s">
        <v>14</v>
      </c>
      <c r="C15" s="1355"/>
      <c r="D15" s="1351"/>
      <c r="E15" s="1351"/>
      <c r="F15" s="1351"/>
      <c r="G15" s="1351"/>
      <c r="H15" s="1351"/>
      <c r="I15" s="1351"/>
      <c r="J15" s="1351"/>
      <c r="K15" s="1351"/>
    </row>
    <row r="16" spans="1:11" ht="12.75" customHeight="1">
      <c r="A16" s="1352" t="s">
        <v>15</v>
      </c>
      <c r="B16" s="1352"/>
      <c r="C16" s="1352" t="s">
        <v>16</v>
      </c>
      <c r="D16" s="1353">
        <v>2009</v>
      </c>
      <c r="E16" s="1353"/>
      <c r="F16" s="1353"/>
      <c r="G16" s="1351"/>
      <c r="H16" s="1351"/>
      <c r="I16" s="1351"/>
      <c r="J16" s="1351">
        <f t="shared" ref="J16:J21" si="0">(D16+F16+H16)-(E16+G16+I16)</f>
        <v>2009</v>
      </c>
      <c r="K16" s="1351"/>
    </row>
    <row r="17" spans="1:11" ht="12.75" customHeight="1">
      <c r="A17" s="1352" t="s">
        <v>17</v>
      </c>
      <c r="B17" s="1352"/>
      <c r="C17" s="1352" t="s">
        <v>18</v>
      </c>
      <c r="D17" s="1353">
        <v>4906.47</v>
      </c>
      <c r="E17" s="1353"/>
      <c r="F17" s="1353"/>
      <c r="G17" s="1351"/>
      <c r="H17" s="1351"/>
      <c r="I17" s="1351"/>
      <c r="J17" s="1351">
        <f t="shared" si="0"/>
        <v>4906.47</v>
      </c>
      <c r="K17" s="1351"/>
    </row>
    <row r="18" spans="1:11" ht="12.75" customHeight="1">
      <c r="A18" s="1352" t="s">
        <v>19</v>
      </c>
      <c r="B18" s="1352"/>
      <c r="C18" s="1352" t="s">
        <v>20</v>
      </c>
      <c r="D18" s="1353">
        <v>470808</v>
      </c>
      <c r="E18" s="1353"/>
      <c r="F18" s="1353"/>
      <c r="G18" s="1351"/>
      <c r="H18" s="1351"/>
      <c r="I18" s="1351">
        <v>100</v>
      </c>
      <c r="J18" s="1351">
        <f t="shared" si="0"/>
        <v>470708</v>
      </c>
      <c r="K18" s="1351"/>
    </row>
    <row r="19" spans="1:11" ht="12.75" customHeight="1">
      <c r="A19" s="1352" t="s">
        <v>21</v>
      </c>
      <c r="B19" s="1352"/>
      <c r="C19" s="1352" t="s">
        <v>22</v>
      </c>
      <c r="D19" s="1353">
        <v>60643.25</v>
      </c>
      <c r="E19" s="1353"/>
      <c r="F19" s="1353"/>
      <c r="G19" s="1351"/>
      <c r="H19" s="1351"/>
      <c r="I19" s="1351"/>
      <c r="J19" s="1351">
        <f t="shared" si="0"/>
        <v>60643.25</v>
      </c>
      <c r="K19" s="1351"/>
    </row>
    <row r="20" spans="1:11" ht="12.75" customHeight="1">
      <c r="A20" s="1352" t="s">
        <v>23</v>
      </c>
      <c r="B20" s="1352"/>
      <c r="C20" s="1352" t="s">
        <v>24</v>
      </c>
      <c r="D20" s="1353">
        <v>624910.14550000196</v>
      </c>
      <c r="E20" s="1353"/>
      <c r="F20" s="1353"/>
      <c r="G20" s="1351"/>
      <c r="H20" s="1351"/>
      <c r="I20" s="1351"/>
      <c r="J20" s="1351">
        <f t="shared" si="0"/>
        <v>624910.14550000196</v>
      </c>
      <c r="K20" s="1351"/>
    </row>
    <row r="21" spans="1:11" ht="12.75" customHeight="1">
      <c r="A21" s="1352" t="s">
        <v>25</v>
      </c>
      <c r="B21" s="1352"/>
      <c r="C21" s="1352" t="s">
        <v>26</v>
      </c>
      <c r="D21" s="1353"/>
      <c r="E21" s="1353"/>
      <c r="F21" s="1353">
        <v>25374.55</v>
      </c>
      <c r="G21" s="1351"/>
      <c r="H21" s="1351"/>
      <c r="I21" s="1351"/>
      <c r="J21" s="1351">
        <f t="shared" si="0"/>
        <v>25374.55</v>
      </c>
      <c r="K21" s="1351"/>
    </row>
    <row r="22" spans="1:11" ht="13.5" customHeight="1">
      <c r="D22" s="1354"/>
      <c r="E22" s="1354"/>
      <c r="F22" s="1354"/>
      <c r="G22" s="1351"/>
      <c r="H22" s="1351"/>
      <c r="I22" s="1351"/>
      <c r="J22" s="1351"/>
      <c r="K22" s="1351"/>
    </row>
    <row r="23" spans="1:11" ht="12.75" customHeight="1">
      <c r="B23" s="1355" t="s">
        <v>27</v>
      </c>
      <c r="C23" s="1355"/>
      <c r="D23" s="1351"/>
      <c r="E23" s="1351"/>
      <c r="F23" s="1351"/>
      <c r="G23" s="1351"/>
      <c r="H23" s="1351"/>
      <c r="I23" s="1351"/>
      <c r="J23" s="1351"/>
      <c r="K23" s="1351"/>
    </row>
    <row r="24" spans="1:11" ht="12.75" customHeight="1">
      <c r="A24" s="1352" t="s">
        <v>28</v>
      </c>
      <c r="B24" s="1352"/>
      <c r="C24" s="1352" t="s">
        <v>29</v>
      </c>
      <c r="D24" s="1353">
        <v>1882</v>
      </c>
      <c r="E24" s="1353"/>
      <c r="F24" s="1353"/>
      <c r="G24" s="1351"/>
      <c r="H24" s="1351"/>
      <c r="I24" s="1351"/>
      <c r="J24" s="1351">
        <f>(D24+F24+H24)-(E24+G24+I24)</f>
        <v>1882</v>
      </c>
      <c r="K24" s="1351"/>
    </row>
    <row r="25" spans="1:11" ht="13.5" customHeight="1">
      <c r="D25" s="1354"/>
      <c r="E25" s="1354"/>
      <c r="F25" s="1354"/>
      <c r="G25" s="1351"/>
      <c r="H25" s="1351"/>
      <c r="I25" s="1351"/>
      <c r="J25" s="1351"/>
      <c r="K25" s="1351"/>
    </row>
    <row r="26" spans="1:11" ht="12.75" customHeight="1">
      <c r="B26" s="1355" t="s">
        <v>30</v>
      </c>
      <c r="C26" s="1355"/>
      <c r="D26" s="1351"/>
      <c r="E26" s="1351"/>
      <c r="F26" s="1351"/>
      <c r="G26" s="1351"/>
      <c r="H26" s="1351"/>
      <c r="I26" s="1351"/>
      <c r="J26" s="1351"/>
      <c r="K26" s="1351"/>
    </row>
    <row r="27" spans="1:11" ht="12.75" customHeight="1">
      <c r="A27" s="1352" t="s">
        <v>31</v>
      </c>
      <c r="B27" s="1352"/>
      <c r="C27" s="1352" t="s">
        <v>32</v>
      </c>
      <c r="D27" s="1353">
        <v>9554</v>
      </c>
      <c r="E27" s="1353"/>
      <c r="F27" s="1353"/>
      <c r="G27" s="1351"/>
      <c r="H27" s="1351"/>
      <c r="I27" s="1351"/>
      <c r="J27" s="1351">
        <f t="shared" ref="J27:J32" si="1">(D27+F27+H27)-(E27+G27+I27)</f>
        <v>9554</v>
      </c>
      <c r="K27" s="1351"/>
    </row>
    <row r="28" spans="1:11" ht="12.75" customHeight="1">
      <c r="A28" s="1352" t="s">
        <v>33</v>
      </c>
      <c r="B28" s="1352"/>
      <c r="C28" s="1352" t="s">
        <v>34</v>
      </c>
      <c r="D28" s="1353">
        <v>20306</v>
      </c>
      <c r="E28" s="1353"/>
      <c r="F28" s="1353">
        <v>8000</v>
      </c>
      <c r="G28" s="1351"/>
      <c r="H28" s="1351">
        <f>'Adj entry 13'!B26</f>
        <v>150</v>
      </c>
      <c r="I28" s="1351">
        <f>'Adj entry 13'!C33</f>
        <v>1001</v>
      </c>
      <c r="J28" s="1351">
        <f t="shared" si="1"/>
        <v>27455</v>
      </c>
      <c r="K28" s="1351"/>
    </row>
    <row r="29" spans="1:11" ht="12.75" customHeight="1">
      <c r="A29" s="1352" t="s">
        <v>35</v>
      </c>
      <c r="B29" s="1352"/>
      <c r="C29" s="1352" t="s">
        <v>36</v>
      </c>
      <c r="D29" s="1353">
        <v>6956.8</v>
      </c>
      <c r="E29" s="1353"/>
      <c r="F29" s="1353"/>
      <c r="G29" s="1351"/>
      <c r="H29" s="1351"/>
      <c r="I29" s="1351"/>
      <c r="J29" s="1351">
        <f t="shared" si="1"/>
        <v>6956.8</v>
      </c>
      <c r="K29" s="1351"/>
    </row>
    <row r="30" spans="1:11" ht="12.75" customHeight="1">
      <c r="A30" s="1352" t="s">
        <v>37</v>
      </c>
      <c r="B30" s="1352"/>
      <c r="C30" s="1352" t="s">
        <v>38</v>
      </c>
      <c r="D30" s="1353">
        <v>6960</v>
      </c>
      <c r="E30" s="1353"/>
      <c r="F30" s="1353"/>
      <c r="G30" s="1351"/>
      <c r="H30" s="1351">
        <f>'Adj entry 13'!B19</f>
        <v>11058</v>
      </c>
      <c r="I30" s="1351"/>
      <c r="J30" s="1351">
        <f t="shared" si="1"/>
        <v>18018</v>
      </c>
      <c r="K30" s="1351"/>
    </row>
    <row r="31" spans="1:11" ht="12.75" customHeight="1">
      <c r="A31" s="1352" t="s">
        <v>25</v>
      </c>
      <c r="B31" s="1352"/>
      <c r="C31" s="1352" t="s">
        <v>39</v>
      </c>
      <c r="D31" s="1353"/>
      <c r="E31" s="1353"/>
      <c r="F31" s="1353">
        <v>900708</v>
      </c>
      <c r="G31" s="1351"/>
      <c r="H31" s="1356">
        <v>-176364</v>
      </c>
      <c r="I31" s="1351"/>
      <c r="J31" s="1351">
        <f t="shared" si="1"/>
        <v>724344</v>
      </c>
      <c r="K31" s="1351"/>
    </row>
    <row r="32" spans="1:11" ht="12.75" customHeight="1">
      <c r="A32" s="1352" t="s">
        <v>25</v>
      </c>
      <c r="B32" s="1352"/>
      <c r="C32" s="1352" t="s">
        <v>40</v>
      </c>
      <c r="D32" s="1353"/>
      <c r="E32" s="1353"/>
      <c r="F32" s="1353">
        <f>132136+246068</f>
        <v>378204</v>
      </c>
      <c r="G32" s="1351"/>
      <c r="H32" s="1351"/>
      <c r="I32" s="1351"/>
      <c r="J32" s="1351">
        <f t="shared" si="1"/>
        <v>378204</v>
      </c>
      <c r="K32" s="1351"/>
    </row>
    <row r="33" spans="1:11" ht="12.75" customHeight="1">
      <c r="A33" s="1352" t="s">
        <v>25</v>
      </c>
      <c r="B33" s="1352"/>
      <c r="C33" s="1352" t="s">
        <v>41</v>
      </c>
      <c r="D33" s="1353"/>
      <c r="E33" s="1353"/>
      <c r="F33" s="1353"/>
      <c r="G33" s="1351"/>
      <c r="H33" s="1351"/>
      <c r="I33" s="1351" t="e">
        <f>'Adj entry 13'!C5</f>
        <v>#REF!</v>
      </c>
      <c r="J33" s="1351"/>
      <c r="K33" s="1351" t="e">
        <f>(E33+G33+I33)-(D33+F33+H33)</f>
        <v>#REF!</v>
      </c>
    </row>
    <row r="34" spans="1:11" ht="12.75" customHeight="1">
      <c r="A34" s="1352" t="s">
        <v>25</v>
      </c>
      <c r="B34" s="1352"/>
      <c r="C34" s="1352" t="s">
        <v>42</v>
      </c>
      <c r="D34" s="1353"/>
      <c r="E34" s="1353"/>
      <c r="F34" s="1353">
        <v>505428</v>
      </c>
      <c r="G34" s="1351"/>
      <c r="H34" s="1351"/>
      <c r="I34" s="1351"/>
      <c r="J34" s="1351">
        <f>(D34+F34+H34)-(E34+G34+I34)</f>
        <v>505428</v>
      </c>
      <c r="K34" s="1351"/>
    </row>
    <row r="35" spans="1:11" ht="12.75" customHeight="1">
      <c r="A35" s="1352"/>
      <c r="B35" s="1352"/>
      <c r="C35" s="1352" t="s">
        <v>43</v>
      </c>
      <c r="D35" s="1353"/>
      <c r="E35" s="1353"/>
      <c r="F35" s="1353"/>
      <c r="G35" s="1351"/>
      <c r="H35" s="1351"/>
      <c r="I35" s="1356" t="e">
        <f>-'Adj entry 13'!C11</f>
        <v>#REF!</v>
      </c>
      <c r="J35" s="1351"/>
      <c r="K35" s="1351" t="e">
        <f>(E35+G35+I35)-(D35+F35+H35)</f>
        <v>#REF!</v>
      </c>
    </row>
    <row r="36" spans="1:11" ht="12.75" customHeight="1">
      <c r="A36" s="1352"/>
      <c r="B36" s="1352"/>
      <c r="C36" s="1352"/>
      <c r="D36" s="1353"/>
      <c r="E36" s="1353"/>
      <c r="F36" s="1353"/>
      <c r="G36" s="1351"/>
      <c r="H36" s="1351"/>
      <c r="I36" s="1351"/>
      <c r="J36" s="1351"/>
      <c r="K36" s="1351"/>
    </row>
    <row r="37" spans="1:11" ht="12.75" customHeight="1">
      <c r="A37" s="1352"/>
      <c r="B37" s="1355" t="s">
        <v>44</v>
      </c>
      <c r="C37" s="1352"/>
      <c r="D37" s="1353"/>
      <c r="E37" s="1353"/>
      <c r="F37" s="1353"/>
      <c r="G37" s="1351"/>
      <c r="H37" s="1351"/>
      <c r="I37" s="1351"/>
      <c r="J37" s="1351"/>
      <c r="K37" s="1351"/>
    </row>
    <row r="38" spans="1:11" ht="12.75" customHeight="1">
      <c r="A38" s="1352" t="s">
        <v>45</v>
      </c>
      <c r="B38" s="1352"/>
      <c r="C38" s="1352" t="s">
        <v>46</v>
      </c>
      <c r="D38" s="1353">
        <v>37500</v>
      </c>
      <c r="E38" s="1353"/>
      <c r="F38" s="1353"/>
      <c r="G38" s="1351"/>
      <c r="H38" s="1351"/>
      <c r="I38" s="1351"/>
      <c r="J38" s="1351">
        <f t="shared" ref="J38:J44" si="2">(D38+F38+H38)-(E38+G38+I38)</f>
        <v>37500</v>
      </c>
      <c r="K38" s="1351"/>
    </row>
    <row r="39" spans="1:11" ht="12.75" customHeight="1">
      <c r="A39" s="1352" t="s">
        <v>47</v>
      </c>
      <c r="B39" s="1352"/>
      <c r="C39" s="1352" t="s">
        <v>48</v>
      </c>
      <c r="D39" s="1353">
        <v>10000</v>
      </c>
      <c r="E39" s="1353"/>
      <c r="F39" s="1353"/>
      <c r="G39" s="1351"/>
      <c r="H39" s="1351"/>
      <c r="I39" s="1351"/>
      <c r="J39" s="1351">
        <f t="shared" si="2"/>
        <v>10000</v>
      </c>
      <c r="K39" s="1351"/>
    </row>
    <row r="40" spans="1:11" ht="12.75" customHeight="1">
      <c r="A40" s="1352" t="s">
        <v>49</v>
      </c>
      <c r="B40" s="1352"/>
      <c r="C40" s="1352" t="s">
        <v>50</v>
      </c>
      <c r="D40" s="1353">
        <v>6000</v>
      </c>
      <c r="E40" s="1353"/>
      <c r="F40" s="1353"/>
      <c r="G40" s="1351"/>
      <c r="H40" s="1351"/>
      <c r="I40" s="1351"/>
      <c r="J40" s="1351">
        <f t="shared" si="2"/>
        <v>6000</v>
      </c>
      <c r="K40" s="1351"/>
    </row>
    <row r="41" spans="1:11" ht="12.75" customHeight="1">
      <c r="A41" s="1352" t="s">
        <v>51</v>
      </c>
      <c r="B41" s="1352"/>
      <c r="C41" s="1352" t="s">
        <v>52</v>
      </c>
      <c r="D41" s="1353">
        <v>5000</v>
      </c>
      <c r="E41" s="1353"/>
      <c r="F41" s="1353"/>
      <c r="G41" s="1351"/>
      <c r="H41" s="1351"/>
      <c r="I41" s="1351"/>
      <c r="J41" s="1351">
        <f t="shared" si="2"/>
        <v>5000</v>
      </c>
      <c r="K41" s="1351"/>
    </row>
    <row r="42" spans="1:11" ht="12.75" customHeight="1">
      <c r="A42" s="1352" t="s">
        <v>53</v>
      </c>
      <c r="B42" s="1352"/>
      <c r="C42" s="1352" t="s">
        <v>54</v>
      </c>
      <c r="D42" s="1353">
        <v>11500</v>
      </c>
      <c r="E42" s="1353"/>
      <c r="F42" s="1353"/>
      <c r="G42" s="1351"/>
      <c r="H42" s="1351"/>
      <c r="I42" s="1351"/>
      <c r="J42" s="1351">
        <f t="shared" si="2"/>
        <v>11500</v>
      </c>
      <c r="K42" s="1351"/>
    </row>
    <row r="43" spans="1:11" ht="12.75" customHeight="1">
      <c r="A43" s="1352"/>
      <c r="B43" s="1352"/>
      <c r="C43" s="1352"/>
      <c r="D43" s="1353"/>
      <c r="E43" s="1353"/>
      <c r="F43" s="1353"/>
      <c r="G43" s="1351"/>
      <c r="H43" s="1351"/>
      <c r="I43" s="1351"/>
      <c r="J43" s="1351"/>
      <c r="K43" s="1351"/>
    </row>
    <row r="44" spans="1:11" ht="12.75" customHeight="1">
      <c r="A44" s="1352"/>
      <c r="B44" s="1352"/>
      <c r="C44" s="1352" t="s">
        <v>55</v>
      </c>
      <c r="D44" s="1353"/>
      <c r="E44" s="1353"/>
      <c r="F44" s="1353"/>
      <c r="G44" s="1351"/>
      <c r="H44" s="1351">
        <f>'Adj entry 13'!B22</f>
        <v>22144</v>
      </c>
      <c r="I44" s="1351"/>
      <c r="J44" s="1351">
        <f t="shared" si="2"/>
        <v>22144</v>
      </c>
      <c r="K44" s="1351"/>
    </row>
    <row r="45" spans="1:11" ht="12.75" customHeight="1">
      <c r="A45" s="1352"/>
      <c r="B45" s="1352"/>
      <c r="C45" s="1352"/>
      <c r="D45" s="1353"/>
      <c r="E45" s="1353"/>
      <c r="F45" s="1353"/>
      <c r="G45" s="1351"/>
      <c r="H45" s="1351"/>
      <c r="I45" s="1351"/>
      <c r="J45" s="1351"/>
      <c r="K45" s="1351"/>
    </row>
    <row r="46" spans="1:11" ht="12.75" customHeight="1">
      <c r="A46" s="1352"/>
      <c r="B46" s="1355" t="s">
        <v>56</v>
      </c>
      <c r="C46" s="1352"/>
      <c r="D46" s="1353"/>
      <c r="E46" s="1353"/>
      <c r="F46" s="1353"/>
      <c r="G46" s="1351"/>
      <c r="H46" s="1351"/>
      <c r="I46" s="1351"/>
      <c r="J46" s="1351"/>
      <c r="K46" s="1351"/>
    </row>
    <row r="47" spans="1:11" ht="12.75" customHeight="1">
      <c r="A47" s="1352" t="s">
        <v>57</v>
      </c>
      <c r="B47" s="1352"/>
      <c r="C47" s="1352" t="s">
        <v>58</v>
      </c>
      <c r="D47" s="1353">
        <v>18500</v>
      </c>
      <c r="E47" s="1353"/>
      <c r="F47" s="1353"/>
      <c r="G47" s="1351"/>
      <c r="H47" s="1351"/>
      <c r="I47" s="1351"/>
      <c r="J47" s="1351">
        <f>(D47+F47+H47)-(E47+G47+I47)</f>
        <v>18500</v>
      </c>
      <c r="K47" s="1351"/>
    </row>
    <row r="48" spans="1:11" ht="12.75" customHeight="1">
      <c r="A48" s="1352" t="s">
        <v>59</v>
      </c>
      <c r="B48" s="1352"/>
      <c r="C48" s="1352" t="s">
        <v>60</v>
      </c>
      <c r="D48" s="1353">
        <v>42000</v>
      </c>
      <c r="E48" s="1353"/>
      <c r="F48" s="1353"/>
      <c r="G48" s="1351"/>
      <c r="H48" s="1351"/>
      <c r="I48" s="1351"/>
      <c r="J48" s="1351">
        <f>(D48+F48+H48)-(E48+G48+I48)</f>
        <v>42000</v>
      </c>
      <c r="K48" s="1351"/>
    </row>
    <row r="49" spans="1:11" ht="12.75" customHeight="1">
      <c r="A49" s="1352" t="s">
        <v>61</v>
      </c>
      <c r="B49" s="1352"/>
      <c r="C49" s="1352" t="s">
        <v>62</v>
      </c>
      <c r="D49" s="1353"/>
      <c r="E49" s="1353"/>
      <c r="F49" s="1353">
        <v>1000</v>
      </c>
      <c r="G49" s="1351"/>
      <c r="H49" s="1351"/>
      <c r="I49" s="1351"/>
      <c r="J49" s="1351">
        <f>(D49+F49+H49)-(E49+G49+I49)</f>
        <v>1000</v>
      </c>
      <c r="K49" s="1351"/>
    </row>
    <row r="50" spans="1:11" ht="12.75" customHeight="1">
      <c r="A50" s="1352" t="s">
        <v>23</v>
      </c>
      <c r="B50" s="1352"/>
      <c r="C50" s="1352" t="s">
        <v>63</v>
      </c>
      <c r="D50" s="1353"/>
      <c r="E50" s="1353"/>
      <c r="F50" s="1353">
        <v>150000</v>
      </c>
      <c r="G50" s="1351"/>
      <c r="H50" s="1351"/>
      <c r="I50" s="1351"/>
      <c r="J50" s="1351">
        <f>(D50+F50+H50)-(E50+G50+I50)</f>
        <v>150000</v>
      </c>
      <c r="K50" s="1351"/>
    </row>
    <row r="51" spans="1:11" ht="12.75" customHeight="1">
      <c r="A51" s="1352" t="s">
        <v>15</v>
      </c>
      <c r="B51" s="1352"/>
      <c r="C51" s="1352" t="s">
        <v>64</v>
      </c>
      <c r="D51" s="1353"/>
      <c r="E51" s="1353"/>
      <c r="F51" s="1353">
        <v>5000</v>
      </c>
      <c r="G51" s="1351"/>
      <c r="H51" s="1351"/>
      <c r="I51" s="1351"/>
      <c r="J51" s="1351">
        <f>(D51+F51+H51)-(E51+G51+I51)</f>
        <v>5000</v>
      </c>
      <c r="K51" s="1351"/>
    </row>
    <row r="52" spans="1:11" ht="13.5" customHeight="1">
      <c r="D52" s="1354"/>
      <c r="E52" s="1354"/>
      <c r="F52" s="1354"/>
      <c r="G52" s="1351"/>
      <c r="H52" s="1351"/>
      <c r="I52" s="1351"/>
      <c r="J52" s="1351"/>
      <c r="K52" s="1351"/>
    </row>
    <row r="53" spans="1:11" ht="11.25" customHeight="1">
      <c r="D53" s="1351"/>
      <c r="E53" s="1351"/>
      <c r="F53" s="1351"/>
      <c r="G53" s="1351"/>
      <c r="H53" s="1351"/>
      <c r="I53" s="1351"/>
      <c r="J53" s="1351"/>
      <c r="K53" s="1351"/>
    </row>
    <row r="54" spans="1:11" ht="12.75" customHeight="1">
      <c r="A54" s="1355" t="s">
        <v>65</v>
      </c>
      <c r="B54" s="1355"/>
      <c r="C54" s="1355"/>
      <c r="D54" s="1351"/>
      <c r="E54" s="1351"/>
      <c r="F54" s="1351"/>
      <c r="G54" s="1351"/>
      <c r="H54" s="1351"/>
      <c r="I54" s="1351"/>
      <c r="J54" s="1351"/>
      <c r="K54" s="1351"/>
    </row>
    <row r="55" spans="1:11" ht="12.75" customHeight="1">
      <c r="B55" s="1355" t="s">
        <v>66</v>
      </c>
      <c r="C55" s="1355"/>
      <c r="D55" s="1351"/>
      <c r="E55" s="1351"/>
      <c r="F55" s="1351"/>
      <c r="G55" s="1351"/>
      <c r="H55" s="1351"/>
      <c r="I55" s="1351"/>
      <c r="J55" s="1351"/>
      <c r="K55" s="1351"/>
    </row>
    <row r="56" spans="1:11" ht="12.75" customHeight="1">
      <c r="A56" s="1352" t="s">
        <v>67</v>
      </c>
      <c r="B56" s="1352"/>
      <c r="C56" s="1352" t="s">
        <v>68</v>
      </c>
      <c r="D56" s="1353">
        <v>153815</v>
      </c>
      <c r="E56" s="1353"/>
      <c r="F56" s="1353">
        <v>266015</v>
      </c>
      <c r="G56" s="1351"/>
      <c r="H56" s="1351"/>
      <c r="I56" s="1351"/>
      <c r="J56" s="1351">
        <f t="shared" ref="J56:J62" si="3">(D56+F56+H56)-(E56+G56+I56)</f>
        <v>419830</v>
      </c>
      <c r="K56" s="1351"/>
    </row>
    <row r="57" spans="1:11" ht="12.75" customHeight="1">
      <c r="A57" s="1352" t="s">
        <v>69</v>
      </c>
      <c r="B57" s="1352"/>
      <c r="C57" s="1352" t="s">
        <v>70</v>
      </c>
      <c r="D57" s="1353">
        <v>107951</v>
      </c>
      <c r="E57" s="1353"/>
      <c r="F57" s="1353">
        <v>214000</v>
      </c>
      <c r="G57" s="1351"/>
      <c r="H57" s="1351"/>
      <c r="I57" s="1351"/>
      <c r="J57" s="1351">
        <f t="shared" si="3"/>
        <v>321951</v>
      </c>
      <c r="K57" s="1351"/>
    </row>
    <row r="58" spans="1:11" ht="12.75" customHeight="1">
      <c r="A58" s="1352" t="s">
        <v>71</v>
      </c>
      <c r="B58" s="1352"/>
      <c r="C58" s="1352" t="s">
        <v>72</v>
      </c>
      <c r="D58" s="1353">
        <v>155250</v>
      </c>
      <c r="E58" s="1353"/>
      <c r="F58" s="1353"/>
      <c r="G58" s="1351"/>
      <c r="H58" s="1351"/>
      <c r="I58" s="1351"/>
      <c r="J58" s="1351">
        <f t="shared" si="3"/>
        <v>155250</v>
      </c>
      <c r="K58" s="1351"/>
    </row>
    <row r="59" spans="1:11" ht="12.75" customHeight="1">
      <c r="A59" s="1352" t="s">
        <v>73</v>
      </c>
      <c r="B59" s="1352"/>
      <c r="C59" s="1352" t="s">
        <v>74</v>
      </c>
      <c r="D59" s="1353">
        <v>38000</v>
      </c>
      <c r="E59" s="1353"/>
      <c r="F59" s="1353">
        <v>35000</v>
      </c>
      <c r="G59" s="1351"/>
      <c r="H59" s="1351"/>
      <c r="I59" s="1351"/>
      <c r="J59" s="1351">
        <f t="shared" si="3"/>
        <v>73000</v>
      </c>
      <c r="K59" s="1351"/>
    </row>
    <row r="60" spans="1:11" ht="12.75" customHeight="1">
      <c r="A60" s="1352" t="s">
        <v>75</v>
      </c>
      <c r="B60" s="1352"/>
      <c r="C60" s="1352" t="s">
        <v>76</v>
      </c>
      <c r="D60" s="1353">
        <v>600000</v>
      </c>
      <c r="E60" s="1353"/>
      <c r="F60" s="1353"/>
      <c r="G60" s="1351"/>
      <c r="H60" s="1351"/>
      <c r="I60" s="1351"/>
      <c r="J60" s="1351">
        <f t="shared" si="3"/>
        <v>600000</v>
      </c>
      <c r="K60" s="1351"/>
    </row>
    <row r="61" spans="1:11" ht="12.75" customHeight="1">
      <c r="A61" s="1352" t="s">
        <v>77</v>
      </c>
      <c r="B61" s="1352"/>
      <c r="C61" s="1352" t="s">
        <v>78</v>
      </c>
      <c r="D61" s="1353">
        <v>457586</v>
      </c>
      <c r="E61" s="1353"/>
      <c r="F61" s="1353">
        <v>201800</v>
      </c>
      <c r="G61" s="1351"/>
      <c r="H61" s="1351"/>
      <c r="I61" s="1351"/>
      <c r="J61" s="1351">
        <f t="shared" si="3"/>
        <v>659386</v>
      </c>
      <c r="K61" s="1351"/>
    </row>
    <row r="62" spans="1:11" ht="12.75" customHeight="1">
      <c r="A62" s="1352" t="s">
        <v>79</v>
      </c>
      <c r="B62" s="1352"/>
      <c r="C62" s="1352" t="s">
        <v>80</v>
      </c>
      <c r="D62" s="1353">
        <v>1270675</v>
      </c>
      <c r="E62" s="1353"/>
      <c r="F62" s="1353"/>
      <c r="G62" s="1351"/>
      <c r="H62" s="1351"/>
      <c r="I62" s="1351"/>
      <c r="J62" s="1351">
        <f t="shared" si="3"/>
        <v>1270675</v>
      </c>
      <c r="K62" s="1351"/>
    </row>
    <row r="63" spans="1:11" ht="13.5" customHeight="1">
      <c r="D63" s="1354"/>
      <c r="E63" s="1354"/>
      <c r="F63" s="1354"/>
      <c r="G63" s="1351"/>
      <c r="H63" s="1351"/>
      <c r="I63" s="1351"/>
      <c r="J63" s="1351"/>
      <c r="K63" s="1351"/>
    </row>
    <row r="64" spans="1:11" ht="11.25" customHeight="1">
      <c r="D64" s="1351"/>
      <c r="E64" s="1351"/>
      <c r="F64" s="1351"/>
      <c r="G64" s="1351"/>
      <c r="H64" s="1351"/>
      <c r="I64" s="1351"/>
      <c r="J64" s="1351"/>
      <c r="K64" s="1351"/>
    </row>
    <row r="65" spans="1:11" ht="12.75" customHeight="1">
      <c r="A65" s="1355" t="s">
        <v>81</v>
      </c>
      <c r="B65" s="1355"/>
      <c r="C65" s="1355"/>
      <c r="D65" s="1351"/>
      <c r="E65" s="1351"/>
      <c r="F65" s="1351"/>
      <c r="G65" s="1351"/>
      <c r="H65" s="1351"/>
      <c r="I65" s="1351"/>
      <c r="J65" s="1351"/>
      <c r="K65" s="1351"/>
    </row>
    <row r="66" spans="1:11" ht="12.75" customHeight="1">
      <c r="B66" s="1355" t="s">
        <v>82</v>
      </c>
      <c r="C66" s="1355"/>
      <c r="D66" s="1351"/>
      <c r="E66" s="1351"/>
      <c r="F66" s="1351"/>
      <c r="G66" s="1351"/>
      <c r="H66" s="1351"/>
      <c r="I66" s="1351"/>
      <c r="J66" s="1351"/>
      <c r="K66" s="1351"/>
    </row>
    <row r="67" spans="1:11" ht="12.75" customHeight="1">
      <c r="A67" s="1352" t="s">
        <v>83</v>
      </c>
      <c r="B67" s="1352"/>
      <c r="C67" s="1352" t="s">
        <v>84</v>
      </c>
      <c r="D67" s="1353">
        <v>221463</v>
      </c>
      <c r="E67" s="1353"/>
      <c r="F67" s="1353"/>
      <c r="G67" s="1351"/>
      <c r="H67" s="1351"/>
      <c r="I67" s="1351"/>
      <c r="J67" s="1351">
        <f t="shared" ref="J67:J79" si="4">(D67+F67+H67)-(E67+G67+I67)</f>
        <v>221463</v>
      </c>
      <c r="K67" s="1351"/>
    </row>
    <row r="68" spans="1:11" ht="12.75" customHeight="1">
      <c r="A68" s="1352" t="s">
        <v>85</v>
      </c>
      <c r="B68" s="1352"/>
      <c r="C68" s="1352" t="s">
        <v>86</v>
      </c>
      <c r="D68" s="1353">
        <v>8575</v>
      </c>
      <c r="E68" s="1353"/>
      <c r="F68" s="1353"/>
      <c r="G68" s="1351"/>
      <c r="H68" s="1351"/>
      <c r="I68" s="1351"/>
      <c r="J68" s="1351">
        <f t="shared" si="4"/>
        <v>8575</v>
      </c>
      <c r="K68" s="1351"/>
    </row>
    <row r="69" spans="1:11" ht="12.75" customHeight="1">
      <c r="A69" s="1352" t="s">
        <v>87</v>
      </c>
      <c r="B69" s="1352"/>
      <c r="C69" s="1352" t="s">
        <v>88</v>
      </c>
      <c r="D69" s="1353">
        <v>24166.54</v>
      </c>
      <c r="E69" s="1353"/>
      <c r="F69" s="1353"/>
      <c r="G69" s="1351"/>
      <c r="H69" s="1351"/>
      <c r="I69" s="1351"/>
      <c r="J69" s="1351">
        <f t="shared" si="4"/>
        <v>24166.54</v>
      </c>
      <c r="K69" s="1351"/>
    </row>
    <row r="70" spans="1:11" ht="12.75" customHeight="1">
      <c r="A70" s="1352" t="s">
        <v>89</v>
      </c>
      <c r="B70" s="1352"/>
      <c r="C70" s="1352" t="s">
        <v>90</v>
      </c>
      <c r="D70" s="1353">
        <v>1068976.3049999999</v>
      </c>
      <c r="E70" s="1353"/>
      <c r="F70" s="1353"/>
      <c r="G70" s="1351"/>
      <c r="H70" s="1351"/>
      <c r="I70" s="1351"/>
      <c r="J70" s="1351">
        <f t="shared" si="4"/>
        <v>1068976.3049999999</v>
      </c>
      <c r="K70" s="1351"/>
    </row>
    <row r="71" spans="1:11" ht="12.75" customHeight="1">
      <c r="A71" s="1352" t="s">
        <v>91</v>
      </c>
      <c r="B71" s="1352"/>
      <c r="C71" s="1352" t="s">
        <v>92</v>
      </c>
      <c r="D71" s="1353">
        <v>3500</v>
      </c>
      <c r="E71" s="1353"/>
      <c r="F71" s="1353"/>
      <c r="G71" s="1351"/>
      <c r="H71" s="1351"/>
      <c r="I71" s="1351"/>
      <c r="J71" s="1351">
        <f t="shared" si="4"/>
        <v>3500</v>
      </c>
      <c r="K71" s="1351"/>
    </row>
    <row r="72" spans="1:11" ht="12.75" customHeight="1">
      <c r="A72" s="1352" t="s">
        <v>93</v>
      </c>
      <c r="B72" s="1352"/>
      <c r="C72" s="1352" t="s">
        <v>94</v>
      </c>
      <c r="D72" s="1353">
        <v>26730</v>
      </c>
      <c r="E72" s="1353"/>
      <c r="F72" s="1353"/>
      <c r="G72" s="1351"/>
      <c r="H72" s="1351"/>
      <c r="I72" s="1351"/>
      <c r="J72" s="1351">
        <f t="shared" si="4"/>
        <v>26730</v>
      </c>
      <c r="K72" s="1351"/>
    </row>
    <row r="73" spans="1:11" ht="12.75" customHeight="1">
      <c r="A73" s="1352" t="s">
        <v>95</v>
      </c>
      <c r="B73" s="1352"/>
      <c r="C73" s="1352" t="s">
        <v>96</v>
      </c>
      <c r="D73" s="1353">
        <v>314584</v>
      </c>
      <c r="E73" s="1353"/>
      <c r="F73" s="1353"/>
      <c r="G73" s="1351"/>
      <c r="H73" s="1351"/>
      <c r="I73" s="1351"/>
      <c r="J73" s="1351">
        <f t="shared" si="4"/>
        <v>314584</v>
      </c>
      <c r="K73" s="1351"/>
    </row>
    <row r="74" spans="1:11" ht="12.75" customHeight="1">
      <c r="A74" s="1352" t="s">
        <v>97</v>
      </c>
      <c r="B74" s="1352"/>
      <c r="C74" s="1352" t="s">
        <v>98</v>
      </c>
      <c r="D74" s="1353">
        <v>13265</v>
      </c>
      <c r="E74" s="1353"/>
      <c r="F74" s="1353"/>
      <c r="G74" s="1351"/>
      <c r="H74" s="1351"/>
      <c r="I74" s="1351"/>
      <c r="J74" s="1351">
        <f t="shared" si="4"/>
        <v>13265</v>
      </c>
      <c r="K74" s="1351"/>
    </row>
    <row r="75" spans="1:11" ht="12.75" customHeight="1">
      <c r="A75" s="1352" t="s">
        <v>99</v>
      </c>
      <c r="B75" s="1352"/>
      <c r="C75" s="1352" t="s">
        <v>100</v>
      </c>
      <c r="D75" s="1353">
        <v>4900</v>
      </c>
      <c r="E75" s="1353"/>
      <c r="F75" s="1353"/>
      <c r="G75" s="1351"/>
      <c r="H75" s="1351"/>
      <c r="I75" s="1351"/>
      <c r="J75" s="1351">
        <f t="shared" si="4"/>
        <v>4900</v>
      </c>
      <c r="K75" s="1351"/>
    </row>
    <row r="76" spans="1:11" ht="12.75" customHeight="1">
      <c r="A76" s="1352" t="s">
        <v>101</v>
      </c>
      <c r="B76" s="1352"/>
      <c r="C76" s="1352" t="s">
        <v>102</v>
      </c>
      <c r="D76" s="1353">
        <v>442332</v>
      </c>
      <c r="E76" s="1353"/>
      <c r="F76" s="1353"/>
      <c r="G76" s="1351"/>
      <c r="H76" s="1351"/>
      <c r="I76" s="1351"/>
      <c r="J76" s="1351">
        <f t="shared" si="4"/>
        <v>442332</v>
      </c>
      <c r="K76" s="1351"/>
    </row>
    <row r="77" spans="1:11" ht="12.75" customHeight="1">
      <c r="A77" s="1352" t="s">
        <v>103</v>
      </c>
      <c r="B77" s="1352"/>
      <c r="C77" s="1352" t="s">
        <v>104</v>
      </c>
      <c r="D77" s="1353">
        <v>81715</v>
      </c>
      <c r="E77" s="1353"/>
      <c r="F77" s="1353"/>
      <c r="G77" s="1351"/>
      <c r="H77" s="1351"/>
      <c r="I77" s="1351"/>
      <c r="J77" s="1351">
        <f t="shared" si="4"/>
        <v>81715</v>
      </c>
      <c r="K77" s="1351"/>
    </row>
    <row r="78" spans="1:11" ht="12.75" customHeight="1">
      <c r="A78" s="1352" t="s">
        <v>105</v>
      </c>
      <c r="B78" s="1352"/>
      <c r="C78" s="1352" t="s">
        <v>106</v>
      </c>
      <c r="D78" s="1353">
        <v>19894</v>
      </c>
      <c r="E78" s="1353"/>
      <c r="F78" s="1353"/>
      <c r="G78" s="1351"/>
      <c r="H78" s="1351"/>
      <c r="I78" s="1351"/>
      <c r="J78" s="1351">
        <f t="shared" si="4"/>
        <v>19894</v>
      </c>
      <c r="K78" s="1351"/>
    </row>
    <row r="79" spans="1:11" ht="12.75" customHeight="1">
      <c r="A79" s="1352" t="s">
        <v>107</v>
      </c>
      <c r="B79" s="1352"/>
      <c r="C79" s="1352" t="s">
        <v>108</v>
      </c>
      <c r="D79" s="1353">
        <v>494496</v>
      </c>
      <c r="E79" s="1353"/>
      <c r="F79" s="1353"/>
      <c r="G79" s="1351"/>
      <c r="H79" s="1351"/>
      <c r="I79" s="1351"/>
      <c r="J79" s="1351">
        <f t="shared" si="4"/>
        <v>494496</v>
      </c>
      <c r="K79" s="1351"/>
    </row>
    <row r="80" spans="1:11" ht="12.75" customHeight="1">
      <c r="A80" s="1352" t="s">
        <v>109</v>
      </c>
      <c r="B80" s="1352" t="s">
        <v>110</v>
      </c>
      <c r="C80" s="1352" t="s">
        <v>111</v>
      </c>
      <c r="D80" s="1353"/>
      <c r="E80" s="1353">
        <v>235545.33</v>
      </c>
      <c r="F80" s="1353"/>
      <c r="G80" s="1351"/>
      <c r="H80" s="1351"/>
      <c r="I80" s="1351"/>
      <c r="J80" s="1351"/>
      <c r="K80" s="1351">
        <f>(E80+G80+I80)-(D80+F80+H80)</f>
        <v>235545.33</v>
      </c>
    </row>
    <row r="81" spans="1:11" ht="12.75" customHeight="1">
      <c r="A81" s="1352" t="s">
        <v>112</v>
      </c>
      <c r="B81" s="1352"/>
      <c r="C81" s="1352" t="s">
        <v>113</v>
      </c>
      <c r="D81" s="1353">
        <v>47400</v>
      </c>
      <c r="E81" s="1353"/>
      <c r="F81" s="1353"/>
      <c r="G81" s="1351"/>
      <c r="H81" s="1351"/>
      <c r="I81" s="1351"/>
      <c r="J81" s="1351">
        <f t="shared" ref="J81:J104" si="5">(D81+F81+H81)-(E81+G81+I81)</f>
        <v>47400</v>
      </c>
      <c r="K81" s="1351"/>
    </row>
    <row r="82" spans="1:11" ht="12.75" customHeight="1">
      <c r="A82" s="1352" t="s">
        <v>114</v>
      </c>
      <c r="B82" s="1352"/>
      <c r="C82" s="1352" t="s">
        <v>115</v>
      </c>
      <c r="D82" s="1353">
        <v>1900</v>
      </c>
      <c r="E82" s="1353"/>
      <c r="F82" s="1353"/>
      <c r="G82" s="1351"/>
      <c r="H82" s="1351"/>
      <c r="I82" s="1351"/>
      <c r="J82" s="1351">
        <f t="shared" si="5"/>
        <v>1900</v>
      </c>
      <c r="K82" s="1351"/>
    </row>
    <row r="83" spans="1:11" ht="12.75" customHeight="1">
      <c r="A83" s="1352" t="s">
        <v>116</v>
      </c>
      <c r="B83" s="1352"/>
      <c r="C83" s="1352" t="s">
        <v>117</v>
      </c>
      <c r="D83" s="1353">
        <v>354236</v>
      </c>
      <c r="E83" s="1353"/>
      <c r="F83" s="1353"/>
      <c r="G83" s="1351"/>
      <c r="H83" s="1351"/>
      <c r="I83" s="1351"/>
      <c r="J83" s="1351">
        <f t="shared" si="5"/>
        <v>354236</v>
      </c>
      <c r="K83" s="1351"/>
    </row>
    <row r="84" spans="1:11" ht="12.75" customHeight="1">
      <c r="A84" s="1352" t="s">
        <v>118</v>
      </c>
      <c r="B84" s="1352"/>
      <c r="C84" s="1352" t="s">
        <v>119</v>
      </c>
      <c r="D84" s="1353">
        <v>250323.72500000001</v>
      </c>
      <c r="E84" s="1353"/>
      <c r="F84" s="1353"/>
      <c r="G84" s="1351"/>
      <c r="H84" s="1351"/>
      <c r="I84" s="1351"/>
      <c r="J84" s="1351">
        <f t="shared" si="5"/>
        <v>250323.72500000001</v>
      </c>
      <c r="K84" s="1351"/>
    </row>
    <row r="85" spans="1:11" ht="12.75" customHeight="1">
      <c r="A85" s="1352" t="s">
        <v>120</v>
      </c>
      <c r="B85" s="1352"/>
      <c r="C85" s="1352" t="s">
        <v>121</v>
      </c>
      <c r="D85" s="1353">
        <v>19000</v>
      </c>
      <c r="E85" s="1353"/>
      <c r="F85" s="1353"/>
      <c r="G85" s="1351"/>
      <c r="H85" s="1351"/>
      <c r="I85" s="1351"/>
      <c r="J85" s="1351">
        <f t="shared" si="5"/>
        <v>19000</v>
      </c>
      <c r="K85" s="1351"/>
    </row>
    <row r="86" spans="1:11" ht="12.75" customHeight="1">
      <c r="A86" s="1352" t="s">
        <v>122</v>
      </c>
      <c r="B86" s="1352"/>
      <c r="C86" s="1352" t="s">
        <v>123</v>
      </c>
      <c r="D86" s="1353">
        <v>53599</v>
      </c>
      <c r="E86" s="1353"/>
      <c r="F86" s="1353"/>
      <c r="G86" s="1351"/>
      <c r="H86" s="1351"/>
      <c r="I86" s="1351"/>
      <c r="J86" s="1351">
        <f t="shared" si="5"/>
        <v>53599</v>
      </c>
      <c r="K86" s="1351"/>
    </row>
    <row r="87" spans="1:11" ht="12.75" customHeight="1">
      <c r="A87" s="1352" t="s">
        <v>124</v>
      </c>
      <c r="B87" s="1352"/>
      <c r="C87" s="1352" t="s">
        <v>125</v>
      </c>
      <c r="D87" s="1353">
        <v>3200</v>
      </c>
      <c r="E87" s="1353"/>
      <c r="F87" s="1353"/>
      <c r="G87" s="1351"/>
      <c r="H87" s="1351"/>
      <c r="I87" s="1351"/>
      <c r="J87" s="1351">
        <f t="shared" si="5"/>
        <v>3200</v>
      </c>
      <c r="K87" s="1351"/>
    </row>
    <row r="88" spans="1:11" ht="12.75" customHeight="1">
      <c r="A88" s="1352" t="s">
        <v>126</v>
      </c>
      <c r="B88" s="1352"/>
      <c r="C88" s="1352" t="s">
        <v>127</v>
      </c>
      <c r="D88" s="1353">
        <v>254991</v>
      </c>
      <c r="E88" s="1353"/>
      <c r="F88" s="1353"/>
      <c r="G88" s="1351"/>
      <c r="H88" s="1351"/>
      <c r="I88" s="1351"/>
      <c r="J88" s="1351">
        <f t="shared" si="5"/>
        <v>254991</v>
      </c>
      <c r="K88" s="1351"/>
    </row>
    <row r="89" spans="1:11" ht="12.75" customHeight="1">
      <c r="A89" s="1352" t="s">
        <v>128</v>
      </c>
      <c r="B89" s="1352"/>
      <c r="C89" s="1352" t="s">
        <v>129</v>
      </c>
      <c r="D89" s="1353">
        <v>132701.07</v>
      </c>
      <c r="E89" s="1353"/>
      <c r="F89" s="1353"/>
      <c r="G89" s="1351"/>
      <c r="H89" s="1351"/>
      <c r="I89" s="1351"/>
      <c r="J89" s="1351">
        <f t="shared" si="5"/>
        <v>132701.07</v>
      </c>
      <c r="K89" s="1351"/>
    </row>
    <row r="90" spans="1:11" ht="12.75" customHeight="1">
      <c r="A90" s="1352" t="s">
        <v>130</v>
      </c>
      <c r="B90" s="1352"/>
      <c r="C90" s="1352" t="s">
        <v>131</v>
      </c>
      <c r="D90" s="1353">
        <v>294000</v>
      </c>
      <c r="E90" s="1353"/>
      <c r="F90" s="1353"/>
      <c r="G90" s="1351"/>
      <c r="H90" s="1351"/>
      <c r="I90" s="1351"/>
      <c r="J90" s="1351">
        <f t="shared" si="5"/>
        <v>294000</v>
      </c>
      <c r="K90" s="1351"/>
    </row>
    <row r="91" spans="1:11" ht="12.75" customHeight="1">
      <c r="A91" s="1352" t="s">
        <v>132</v>
      </c>
      <c r="B91" s="1352"/>
      <c r="C91" s="1352" t="s">
        <v>133</v>
      </c>
      <c r="D91" s="1353">
        <v>2940</v>
      </c>
      <c r="E91" s="1353"/>
      <c r="F91" s="1353"/>
      <c r="G91" s="1351"/>
      <c r="H91" s="1351"/>
      <c r="I91" s="1351"/>
      <c r="J91" s="1351">
        <f t="shared" si="5"/>
        <v>2940</v>
      </c>
      <c r="K91" s="1351"/>
    </row>
    <row r="92" spans="1:11" ht="12.75" customHeight="1">
      <c r="A92" s="1352" t="s">
        <v>134</v>
      </c>
      <c r="B92" s="1352"/>
      <c r="C92" s="1352" t="s">
        <v>135</v>
      </c>
      <c r="D92" s="1353">
        <v>1008.75</v>
      </c>
      <c r="E92" s="1353"/>
      <c r="F92" s="1353"/>
      <c r="G92" s="1351"/>
      <c r="H92" s="1351"/>
      <c r="I92" s="1351"/>
      <c r="J92" s="1351">
        <f t="shared" si="5"/>
        <v>1008.75</v>
      </c>
      <c r="K92" s="1351"/>
    </row>
    <row r="93" spans="1:11" ht="12.75" customHeight="1">
      <c r="A93" s="1352" t="s">
        <v>136</v>
      </c>
      <c r="B93" s="1352"/>
      <c r="C93" s="1352" t="s">
        <v>137</v>
      </c>
      <c r="D93" s="1353">
        <v>144854</v>
      </c>
      <c r="E93" s="1353"/>
      <c r="F93" s="1353"/>
      <c r="G93" s="1351"/>
      <c r="H93" s="1351"/>
      <c r="I93" s="1351"/>
      <c r="J93" s="1351">
        <f t="shared" si="5"/>
        <v>144854</v>
      </c>
      <c r="K93" s="1351"/>
    </row>
    <row r="94" spans="1:11" ht="12.75" customHeight="1">
      <c r="A94" s="1352" t="s">
        <v>138</v>
      </c>
      <c r="B94" s="1352"/>
      <c r="C94" s="1352" t="s">
        <v>139</v>
      </c>
      <c r="D94" s="1353">
        <v>1253.2</v>
      </c>
      <c r="E94" s="1353"/>
      <c r="F94" s="1353"/>
      <c r="G94" s="1351"/>
      <c r="H94" s="1351"/>
      <c r="I94" s="1351"/>
      <c r="J94" s="1351">
        <f t="shared" si="5"/>
        <v>1253.2</v>
      </c>
      <c r="K94" s="1351"/>
    </row>
    <row r="95" spans="1:11" ht="12.75" customHeight="1">
      <c r="A95" s="1352" t="s">
        <v>140</v>
      </c>
      <c r="B95" s="1352"/>
      <c r="C95" s="1352" t="s">
        <v>141</v>
      </c>
      <c r="D95" s="1353">
        <v>2350</v>
      </c>
      <c r="E95" s="1353"/>
      <c r="F95" s="1353"/>
      <c r="G95" s="1351"/>
      <c r="H95" s="1351"/>
      <c r="I95" s="1351"/>
      <c r="J95" s="1351">
        <f t="shared" si="5"/>
        <v>2350</v>
      </c>
      <c r="K95" s="1351"/>
    </row>
    <row r="96" spans="1:11" ht="12.75" customHeight="1">
      <c r="A96" s="1352" t="s">
        <v>142</v>
      </c>
      <c r="B96" s="1352"/>
      <c r="C96" s="1352" t="s">
        <v>143</v>
      </c>
      <c r="D96" s="1353">
        <v>58749.9</v>
      </c>
      <c r="E96" s="1353"/>
      <c r="F96" s="1353"/>
      <c r="G96" s="1351"/>
      <c r="H96" s="1351"/>
      <c r="I96" s="1351"/>
      <c r="J96" s="1351">
        <f t="shared" si="5"/>
        <v>58749.9</v>
      </c>
      <c r="K96" s="1351"/>
    </row>
    <row r="97" spans="1:11" ht="12.75" customHeight="1">
      <c r="A97" s="1352" t="s">
        <v>144</v>
      </c>
      <c r="B97" s="1352"/>
      <c r="C97" s="1352" t="s">
        <v>145</v>
      </c>
      <c r="D97" s="1353">
        <v>52223</v>
      </c>
      <c r="E97" s="1353"/>
      <c r="F97" s="1353"/>
      <c r="G97" s="1351"/>
      <c r="H97" s="1351"/>
      <c r="I97" s="1351"/>
      <c r="J97" s="1351">
        <f t="shared" si="5"/>
        <v>52223</v>
      </c>
      <c r="K97" s="1351"/>
    </row>
    <row r="98" spans="1:11" ht="12.75" customHeight="1">
      <c r="A98" s="1352" t="s">
        <v>146</v>
      </c>
      <c r="B98" s="1352"/>
      <c r="C98" s="1352" t="s">
        <v>147</v>
      </c>
      <c r="D98" s="1353">
        <v>9306</v>
      </c>
      <c r="E98" s="1353"/>
      <c r="F98" s="1353"/>
      <c r="G98" s="1351"/>
      <c r="H98" s="1351"/>
      <c r="I98" s="1351"/>
      <c r="J98" s="1351">
        <f t="shared" si="5"/>
        <v>9306</v>
      </c>
      <c r="K98" s="1351"/>
    </row>
    <row r="99" spans="1:11" ht="12.75" customHeight="1">
      <c r="A99" s="1352" t="s">
        <v>148</v>
      </c>
      <c r="B99" s="1352"/>
      <c r="C99" s="1352" t="s">
        <v>149</v>
      </c>
      <c r="D99" s="1353">
        <v>24158</v>
      </c>
      <c r="E99" s="1353"/>
      <c r="F99" s="1353"/>
      <c r="G99" s="1351"/>
      <c r="H99" s="1351"/>
      <c r="I99" s="1351"/>
      <c r="J99" s="1351">
        <f t="shared" si="5"/>
        <v>24158</v>
      </c>
      <c r="K99" s="1351"/>
    </row>
    <row r="100" spans="1:11" ht="12.75" customHeight="1">
      <c r="A100" s="1352" t="s">
        <v>150</v>
      </c>
      <c r="B100" s="1352"/>
      <c r="C100" s="1352" t="s">
        <v>151</v>
      </c>
      <c r="D100" s="1353">
        <v>2223.38</v>
      </c>
      <c r="E100" s="1353"/>
      <c r="F100" s="1353"/>
      <c r="G100" s="1351"/>
      <c r="H100" s="1351"/>
      <c r="I100" s="1351"/>
      <c r="J100" s="1351">
        <f t="shared" si="5"/>
        <v>2223.38</v>
      </c>
      <c r="K100" s="1351"/>
    </row>
    <row r="101" spans="1:11" ht="12.75" customHeight="1">
      <c r="A101" s="1352" t="s">
        <v>152</v>
      </c>
      <c r="B101" s="1352"/>
      <c r="C101" s="1352" t="s">
        <v>153</v>
      </c>
      <c r="D101" s="1353">
        <v>123892</v>
      </c>
      <c r="E101" s="1353"/>
      <c r="F101" s="1353"/>
      <c r="G101" s="1351"/>
      <c r="H101" s="1351"/>
      <c r="I101" s="1351"/>
      <c r="J101" s="1351">
        <f t="shared" si="5"/>
        <v>123892</v>
      </c>
      <c r="K101" s="1351"/>
    </row>
    <row r="102" spans="1:11" ht="12.75" customHeight="1">
      <c r="A102" s="1352" t="s">
        <v>154</v>
      </c>
      <c r="B102" s="1352"/>
      <c r="C102" s="1352" t="s">
        <v>155</v>
      </c>
      <c r="D102" s="1353">
        <v>8439</v>
      </c>
      <c r="E102" s="1353"/>
      <c r="F102" s="1353"/>
      <c r="G102" s="1351"/>
      <c r="H102" s="1351"/>
      <c r="I102" s="1351"/>
      <c r="J102" s="1351">
        <f t="shared" si="5"/>
        <v>8439</v>
      </c>
      <c r="K102" s="1351"/>
    </row>
    <row r="103" spans="1:11" ht="12.75" customHeight="1">
      <c r="A103" s="1352" t="s">
        <v>156</v>
      </c>
      <c r="B103" s="1352"/>
      <c r="C103" s="1352" t="s">
        <v>157</v>
      </c>
      <c r="D103" s="1353">
        <v>555726</v>
      </c>
      <c r="E103" s="1353"/>
      <c r="F103" s="1353"/>
      <c r="G103" s="1351"/>
      <c r="H103" s="1351"/>
      <c r="I103" s="1351"/>
      <c r="J103" s="1351">
        <f t="shared" si="5"/>
        <v>555726</v>
      </c>
      <c r="K103" s="1351"/>
    </row>
    <row r="104" spans="1:11" ht="12.75" customHeight="1">
      <c r="A104" s="1352" t="s">
        <v>158</v>
      </c>
      <c r="B104" s="1352"/>
      <c r="C104" s="1352" t="s">
        <v>159</v>
      </c>
      <c r="D104" s="1353">
        <v>4485</v>
      </c>
      <c r="E104" s="1353"/>
      <c r="F104" s="1353"/>
      <c r="G104" s="1351"/>
      <c r="H104" s="1351"/>
      <c r="I104" s="1351"/>
      <c r="J104" s="1351">
        <f t="shared" si="5"/>
        <v>4485</v>
      </c>
      <c r="K104" s="1351"/>
    </row>
    <row r="105" spans="1:11" ht="13.5" customHeight="1">
      <c r="D105" s="1354"/>
      <c r="E105" s="1354"/>
      <c r="F105" s="1354"/>
      <c r="G105" s="1351"/>
      <c r="H105" s="1351"/>
      <c r="I105" s="1351"/>
      <c r="J105" s="1351"/>
      <c r="K105" s="1351"/>
    </row>
    <row r="106" spans="1:11" ht="12.75" customHeight="1">
      <c r="B106" s="1355" t="s">
        <v>160</v>
      </c>
      <c r="C106" s="1355"/>
      <c r="D106" s="1351"/>
      <c r="E106" s="1351"/>
      <c r="F106" s="1351"/>
      <c r="G106" s="1351"/>
      <c r="H106" s="1351"/>
      <c r="I106" s="1351"/>
      <c r="J106" s="1351"/>
      <c r="K106" s="1351"/>
    </row>
    <row r="107" spans="1:11" ht="12.75" customHeight="1">
      <c r="A107" s="1352" t="s">
        <v>161</v>
      </c>
      <c r="B107" s="1352"/>
      <c r="C107" s="1352" t="s">
        <v>162</v>
      </c>
      <c r="D107" s="1353">
        <v>9562.2000000000007</v>
      </c>
      <c r="E107" s="1353"/>
      <c r="F107" s="1353"/>
      <c r="G107" s="1351"/>
      <c r="H107" s="1351"/>
      <c r="I107" s="1351"/>
      <c r="J107" s="1351">
        <f>(D107+F107+H107)-(E107+G107+I107)</f>
        <v>9562.2000000000007</v>
      </c>
      <c r="K107" s="1351"/>
    </row>
    <row r="108" spans="1:11" ht="12.75" customHeight="1">
      <c r="A108" s="1352" t="s">
        <v>163</v>
      </c>
      <c r="B108" s="1352"/>
      <c r="C108" s="1352" t="s">
        <v>164</v>
      </c>
      <c r="D108" s="1353"/>
      <c r="E108" s="1353">
        <v>1351430.26</v>
      </c>
      <c r="F108" s="1353"/>
      <c r="G108" s="1351"/>
      <c r="H108" s="1351"/>
      <c r="I108" s="1351"/>
      <c r="J108" s="1351"/>
      <c r="K108" s="1351">
        <f>(E108+G108+I108)-(D108+F108+H108)</f>
        <v>1351430.26</v>
      </c>
    </row>
    <row r="109" spans="1:11" ht="12.75" customHeight="1">
      <c r="A109" s="1352" t="s">
        <v>165</v>
      </c>
      <c r="B109" s="1352"/>
      <c r="C109" s="1352" t="s">
        <v>166</v>
      </c>
      <c r="D109" s="1353">
        <v>9429494</v>
      </c>
      <c r="E109" s="1353"/>
      <c r="F109" s="1353"/>
      <c r="G109" s="1351"/>
      <c r="H109" s="1351"/>
      <c r="I109" s="1351">
        <f>'Adj entry 13'!C14</f>
        <v>9429494</v>
      </c>
      <c r="J109" s="1351">
        <f>(D109+F109+H109)-(E109+G109+I109)</f>
        <v>0</v>
      </c>
      <c r="K109" s="1351"/>
    </row>
    <row r="110" spans="1:11" ht="12.75" customHeight="1">
      <c r="A110" s="1352" t="s">
        <v>167</v>
      </c>
      <c r="B110" s="1352"/>
      <c r="C110" s="1352" t="s">
        <v>168</v>
      </c>
      <c r="D110" s="1353">
        <v>517678</v>
      </c>
      <c r="E110" s="1353"/>
      <c r="F110" s="1353"/>
      <c r="G110" s="1351"/>
      <c r="H110" s="1351"/>
      <c r="I110" s="1351"/>
      <c r="J110" s="1351">
        <f>(D110+F110+H110)-(E110+G110+I110)</f>
        <v>517678</v>
      </c>
      <c r="K110" s="1351"/>
    </row>
    <row r="111" spans="1:11" ht="12.75" customHeight="1">
      <c r="A111" s="1352" t="s">
        <v>169</v>
      </c>
      <c r="B111" s="1352"/>
      <c r="C111" s="1352" t="s">
        <v>170</v>
      </c>
      <c r="D111" s="1353">
        <v>254870</v>
      </c>
      <c r="E111" s="1353"/>
      <c r="F111" s="1353"/>
      <c r="G111" s="1351"/>
      <c r="H111" s="1351"/>
      <c r="I111" s="1351"/>
      <c r="J111" s="1351">
        <f>(D111+F111+H111)-(E111+G111+I111)</f>
        <v>254870</v>
      </c>
      <c r="K111" s="1351"/>
    </row>
    <row r="112" spans="1:11" ht="13.5" customHeight="1">
      <c r="D112" s="1354"/>
      <c r="E112" s="1354"/>
      <c r="F112" s="1354"/>
      <c r="G112" s="1351"/>
      <c r="H112" s="1351"/>
      <c r="I112" s="1351"/>
      <c r="J112" s="1351"/>
      <c r="K112" s="1351"/>
    </row>
    <row r="113" spans="1:11" ht="11.25" customHeight="1">
      <c r="D113" s="1351"/>
      <c r="E113" s="1351"/>
      <c r="F113" s="1351"/>
      <c r="G113" s="1351"/>
      <c r="H113" s="1351"/>
      <c r="I113" s="1351"/>
      <c r="J113" s="1351"/>
      <c r="K113" s="1351"/>
    </row>
    <row r="114" spans="1:11" ht="11.25" customHeight="1">
      <c r="D114" s="1351"/>
      <c r="E114" s="1351"/>
      <c r="F114" s="1351"/>
      <c r="G114" s="1351"/>
      <c r="H114" s="1351"/>
      <c r="I114" s="1351"/>
      <c r="J114" s="1351"/>
      <c r="K114" s="1351"/>
    </row>
    <row r="115" spans="1:11" ht="12.75" customHeight="1">
      <c r="A115" s="1357" t="s">
        <v>171</v>
      </c>
      <c r="B115" s="1357"/>
      <c r="C115" s="1357"/>
      <c r="D115" s="1351"/>
      <c r="E115" s="1351"/>
      <c r="F115" s="1351"/>
      <c r="G115" s="1351"/>
      <c r="H115" s="1351"/>
      <c r="I115" s="1351"/>
      <c r="J115" s="1351"/>
      <c r="K115" s="1351"/>
    </row>
    <row r="116" spans="1:11" ht="12.75" customHeight="1">
      <c r="A116" s="1355" t="s">
        <v>172</v>
      </c>
      <c r="B116" s="1355"/>
      <c r="C116" s="1355"/>
      <c r="D116" s="1351"/>
      <c r="E116" s="1351"/>
      <c r="F116" s="1351"/>
      <c r="G116" s="1351"/>
      <c r="H116" s="1351"/>
      <c r="I116" s="1351"/>
      <c r="J116" s="1351"/>
      <c r="K116" s="1351"/>
    </row>
    <row r="117" spans="1:11" ht="12.75" customHeight="1">
      <c r="B117" s="1355" t="s">
        <v>173</v>
      </c>
      <c r="C117" s="1355"/>
      <c r="D117" s="1351"/>
      <c r="E117" s="1351"/>
      <c r="F117" s="1351"/>
      <c r="G117" s="1351"/>
      <c r="H117" s="1351"/>
      <c r="I117" s="1351"/>
      <c r="J117" s="1351"/>
      <c r="K117" s="1351"/>
    </row>
    <row r="118" spans="1:11" ht="12.75" customHeight="1">
      <c r="A118" s="1352" t="s">
        <v>174</v>
      </c>
      <c r="B118" s="1352"/>
      <c r="C118" s="1352" t="s">
        <v>175</v>
      </c>
      <c r="D118" s="1353"/>
      <c r="E118" s="1353">
        <v>622318</v>
      </c>
      <c r="F118" s="1353"/>
      <c r="G118" s="1351"/>
      <c r="H118" s="1351"/>
      <c r="I118" s="1351"/>
      <c r="J118" s="1351"/>
      <c r="K118" s="1351">
        <f>(E118+G118+I118)-(D118+F118+H118)</f>
        <v>622318</v>
      </c>
    </row>
    <row r="119" spans="1:11" ht="12.75" customHeight="1">
      <c r="A119" s="1352" t="s">
        <v>176</v>
      </c>
      <c r="B119" s="1352"/>
      <c r="C119" s="1352" t="s">
        <v>177</v>
      </c>
      <c r="D119" s="1353"/>
      <c r="E119" s="1353">
        <v>470808</v>
      </c>
      <c r="F119" s="1353"/>
      <c r="G119" s="1351"/>
      <c r="H119" s="1351">
        <v>100</v>
      </c>
      <c r="I119" s="1351"/>
      <c r="J119" s="1351"/>
      <c r="K119" s="1351">
        <f>(E119+G119+I119)-(D119+F119+H119)</f>
        <v>470708</v>
      </c>
    </row>
    <row r="120" spans="1:11" ht="12.75" customHeight="1">
      <c r="A120" s="1352" t="s">
        <v>25</v>
      </c>
      <c r="B120" s="1352"/>
      <c r="C120" s="1352" t="s">
        <v>178</v>
      </c>
      <c r="D120" s="1353"/>
      <c r="E120" s="1353"/>
      <c r="F120" s="1353"/>
      <c r="G120" s="1353">
        <v>86100</v>
      </c>
      <c r="H120" s="1351">
        <f>'Adj entry 13'!B23</f>
        <v>69398</v>
      </c>
      <c r="I120" s="1351">
        <f>'Adj entry 13'!C30+'Adj entry 13'!C36+'Adj entry 13'!C39</f>
        <v>25268</v>
      </c>
      <c r="J120" s="1351"/>
      <c r="K120" s="1351">
        <f>(E120+G120+I120)-(D120+F120+H120)</f>
        <v>41970</v>
      </c>
    </row>
    <row r="121" spans="1:11" ht="13.5" customHeight="1">
      <c r="D121" s="1354"/>
      <c r="E121" s="1354"/>
      <c r="F121" s="1354"/>
      <c r="G121" s="1351"/>
      <c r="H121" s="1351"/>
      <c r="I121" s="1351"/>
      <c r="J121" s="1351"/>
      <c r="K121" s="1351"/>
    </row>
    <row r="122" spans="1:11" ht="11.25" customHeight="1">
      <c r="D122" s="1351"/>
      <c r="E122" s="1351"/>
      <c r="F122" s="1351"/>
      <c r="G122" s="1351"/>
      <c r="H122" s="1351"/>
      <c r="I122" s="1351"/>
      <c r="J122" s="1351"/>
      <c r="K122" s="1351"/>
    </row>
    <row r="123" spans="1:11" ht="12.75" customHeight="1">
      <c r="A123" s="1355" t="s">
        <v>179</v>
      </c>
      <c r="B123" s="1355"/>
      <c r="C123" s="1355"/>
      <c r="D123" s="1351"/>
      <c r="E123" s="1351"/>
      <c r="F123" s="1351"/>
      <c r="G123" s="1351"/>
      <c r="H123" s="1351"/>
      <c r="I123" s="1351"/>
      <c r="J123" s="1351"/>
      <c r="K123" s="1351"/>
    </row>
    <row r="124" spans="1:11" ht="12.75" customHeight="1">
      <c r="B124" s="1355" t="s">
        <v>180</v>
      </c>
      <c r="C124" s="1355"/>
      <c r="D124" s="1351"/>
      <c r="E124" s="1351"/>
      <c r="F124" s="1351"/>
      <c r="G124" s="1351"/>
      <c r="H124" s="1351"/>
      <c r="I124" s="1351"/>
      <c r="J124" s="1351"/>
      <c r="K124" s="1351"/>
    </row>
    <row r="125" spans="1:11" ht="12.75" customHeight="1">
      <c r="A125" s="1352" t="s">
        <v>181</v>
      </c>
      <c r="B125" s="1352"/>
      <c r="C125" s="1352" t="s">
        <v>182</v>
      </c>
      <c r="D125" s="1353"/>
      <c r="E125" s="1353">
        <v>1607</v>
      </c>
      <c r="F125" s="1353"/>
      <c r="G125" s="1351"/>
      <c r="H125" s="1351"/>
      <c r="I125" s="1351"/>
      <c r="J125" s="1351"/>
      <c r="K125" s="1351">
        <f>(E125+G125+I125)-(D125+F125+H125)</f>
        <v>1607</v>
      </c>
    </row>
    <row r="126" spans="1:11" ht="12.75" customHeight="1">
      <c r="A126" s="1352" t="s">
        <v>183</v>
      </c>
      <c r="B126" s="1352"/>
      <c r="C126" s="1352" t="s">
        <v>184</v>
      </c>
      <c r="D126" s="1353"/>
      <c r="E126" s="1353">
        <v>23230</v>
      </c>
      <c r="F126" s="1353"/>
      <c r="G126" s="1351"/>
      <c r="H126" s="1351"/>
      <c r="I126" s="1351"/>
      <c r="J126" s="1351"/>
      <c r="K126" s="1351">
        <f t="shared" ref="K126:K136" si="6">(E126+G126+I126)-(D126+F126+H126)</f>
        <v>23230</v>
      </c>
    </row>
    <row r="127" spans="1:11" ht="12.75" customHeight="1">
      <c r="A127" s="1352" t="s">
        <v>185</v>
      </c>
      <c r="B127" s="1352"/>
      <c r="C127" s="1352" t="s">
        <v>186</v>
      </c>
      <c r="D127" s="1353"/>
      <c r="E127" s="1353">
        <v>38372</v>
      </c>
      <c r="F127" s="1353"/>
      <c r="G127" s="1351"/>
      <c r="H127" s="1351"/>
      <c r="I127" s="1351"/>
      <c r="J127" s="1351"/>
      <c r="K127" s="1351">
        <f t="shared" si="6"/>
        <v>38372</v>
      </c>
    </row>
    <row r="128" spans="1:11" ht="12.75" customHeight="1">
      <c r="A128" s="1352" t="s">
        <v>187</v>
      </c>
      <c r="B128" s="1352"/>
      <c r="C128" s="1352" t="s">
        <v>188</v>
      </c>
      <c r="D128" s="1353"/>
      <c r="E128" s="1353">
        <v>935410</v>
      </c>
      <c r="F128" s="1353"/>
      <c r="G128" s="1351"/>
      <c r="H128" s="1351"/>
      <c r="I128" s="1351"/>
      <c r="J128" s="1351"/>
      <c r="K128" s="1351">
        <f t="shared" si="6"/>
        <v>935410</v>
      </c>
    </row>
    <row r="129" spans="1:11" ht="12.75" customHeight="1">
      <c r="A129" s="1352" t="s">
        <v>189</v>
      </c>
      <c r="B129" s="1352"/>
      <c r="C129" s="1352" t="s">
        <v>190</v>
      </c>
      <c r="D129" s="1353"/>
      <c r="E129" s="1353">
        <v>100005</v>
      </c>
      <c r="F129" s="1353"/>
      <c r="G129" s="1351"/>
      <c r="H129" s="1351"/>
      <c r="I129" s="1351"/>
      <c r="J129" s="1351"/>
      <c r="K129" s="1351">
        <f t="shared" si="6"/>
        <v>100005</v>
      </c>
    </row>
    <row r="130" spans="1:11" ht="12.75" customHeight="1">
      <c r="A130" s="1352" t="s">
        <v>191</v>
      </c>
      <c r="B130" s="1352"/>
      <c r="C130" s="1352" t="s">
        <v>192</v>
      </c>
      <c r="D130" s="1353"/>
      <c r="E130" s="1353">
        <v>439685</v>
      </c>
      <c r="F130" s="1353"/>
      <c r="G130" s="1351"/>
      <c r="H130" s="1351"/>
      <c r="I130" s="1351"/>
      <c r="J130" s="1351"/>
      <c r="K130" s="1351">
        <f t="shared" si="6"/>
        <v>439685</v>
      </c>
    </row>
    <row r="131" spans="1:11" ht="12.75" customHeight="1">
      <c r="A131" s="1352" t="s">
        <v>193</v>
      </c>
      <c r="B131" s="1352"/>
      <c r="C131" s="1352" t="s">
        <v>194</v>
      </c>
      <c r="D131" s="1353"/>
      <c r="E131" s="1353">
        <v>79694</v>
      </c>
      <c r="F131" s="1353"/>
      <c r="G131" s="1351"/>
      <c r="H131" s="1351"/>
      <c r="I131" s="1351"/>
      <c r="J131" s="1351"/>
      <c r="K131" s="1351">
        <f t="shared" si="6"/>
        <v>79694</v>
      </c>
    </row>
    <row r="132" spans="1:11" ht="12.75" customHeight="1">
      <c r="A132" s="1352" t="s">
        <v>195</v>
      </c>
      <c r="B132" s="1352"/>
      <c r="C132" s="1352" t="s">
        <v>196</v>
      </c>
      <c r="D132" s="1353"/>
      <c r="E132" s="1353">
        <v>24960</v>
      </c>
      <c r="F132" s="1353"/>
      <c r="G132" s="1351"/>
      <c r="H132" s="1351"/>
      <c r="I132" s="1351"/>
      <c r="J132" s="1351"/>
      <c r="K132" s="1351">
        <f t="shared" si="6"/>
        <v>24960</v>
      </c>
    </row>
    <row r="133" spans="1:11" ht="12.75" customHeight="1">
      <c r="A133" s="1352" t="s">
        <v>197</v>
      </c>
      <c r="B133" s="1352"/>
      <c r="C133" s="1352" t="s">
        <v>198</v>
      </c>
      <c r="D133" s="1353"/>
      <c r="E133" s="1353">
        <v>123004</v>
      </c>
      <c r="F133" s="1353"/>
      <c r="G133" s="1351"/>
      <c r="H133" s="1351"/>
      <c r="I133" s="1351"/>
      <c r="J133" s="1351"/>
      <c r="K133" s="1351">
        <f t="shared" si="6"/>
        <v>123004</v>
      </c>
    </row>
    <row r="134" spans="1:11" ht="12.75" customHeight="1">
      <c r="A134" s="1352" t="s">
        <v>199</v>
      </c>
      <c r="B134" s="1352"/>
      <c r="C134" s="1352" t="s">
        <v>200</v>
      </c>
      <c r="D134" s="1353"/>
      <c r="E134" s="1353">
        <v>185080</v>
      </c>
      <c r="F134" s="1353"/>
      <c r="G134" s="1351"/>
      <c r="H134" s="1351"/>
      <c r="I134" s="1351"/>
      <c r="J134" s="1351"/>
      <c r="K134" s="1351">
        <f t="shared" si="6"/>
        <v>185080</v>
      </c>
    </row>
    <row r="135" spans="1:11" ht="12.75" customHeight="1">
      <c r="A135" s="1352" t="s">
        <v>25</v>
      </c>
      <c r="B135" s="1352"/>
      <c r="C135" s="1352" t="s">
        <v>164</v>
      </c>
      <c r="D135" s="1353"/>
      <c r="E135" s="1353"/>
      <c r="F135" s="1353"/>
      <c r="G135" s="1353">
        <v>100829</v>
      </c>
      <c r="H135" s="1351"/>
      <c r="I135" s="1351"/>
      <c r="J135" s="1351"/>
      <c r="K135" s="1351">
        <f t="shared" si="6"/>
        <v>100829</v>
      </c>
    </row>
    <row r="136" spans="1:11" ht="12.75" customHeight="1">
      <c r="A136" s="1352" t="s">
        <v>25</v>
      </c>
      <c r="B136" s="1352"/>
      <c r="C136" s="1352" t="s">
        <v>201</v>
      </c>
      <c r="D136" s="1353"/>
      <c r="E136" s="1353"/>
      <c r="F136" s="1353"/>
      <c r="G136" s="1353">
        <v>9429494</v>
      </c>
      <c r="H136" s="1351">
        <f>'Adj entry 13'!B13</f>
        <v>9429494</v>
      </c>
      <c r="I136" s="1351"/>
      <c r="J136" s="1351"/>
      <c r="K136" s="1351">
        <f t="shared" si="6"/>
        <v>0</v>
      </c>
    </row>
    <row r="137" spans="1:11" ht="12.75" customHeight="1">
      <c r="A137" s="1352"/>
      <c r="B137" s="1352"/>
      <c r="C137" s="1352"/>
      <c r="D137" s="1353"/>
      <c r="E137" s="1353"/>
      <c r="F137" s="1353"/>
      <c r="G137" s="1351"/>
      <c r="H137" s="1351"/>
      <c r="I137" s="1351"/>
      <c r="J137" s="1351"/>
      <c r="K137" s="1351"/>
    </row>
    <row r="138" spans="1:11" ht="13.5" customHeight="1">
      <c r="D138" s="1354"/>
      <c r="E138" s="1354"/>
      <c r="F138" s="1354"/>
      <c r="G138" s="1351"/>
      <c r="H138" s="1351"/>
      <c r="I138" s="1351"/>
      <c r="J138" s="1351"/>
      <c r="K138" s="1351"/>
    </row>
    <row r="139" spans="1:11" ht="12.75" customHeight="1">
      <c r="B139" s="1355" t="s">
        <v>202</v>
      </c>
      <c r="C139" s="1355"/>
      <c r="D139" s="1351"/>
      <c r="E139" s="1351"/>
      <c r="F139" s="1351"/>
      <c r="G139" s="1351"/>
      <c r="H139" s="1351"/>
      <c r="I139" s="1351"/>
      <c r="J139" s="1351"/>
      <c r="K139" s="1351"/>
    </row>
    <row r="140" spans="1:11" ht="12.75" customHeight="1">
      <c r="A140" s="1352" t="s">
        <v>203</v>
      </c>
      <c r="B140" s="1352"/>
      <c r="C140" s="1352" t="s">
        <v>204</v>
      </c>
      <c r="D140" s="1353"/>
      <c r="E140" s="1353">
        <v>132599</v>
      </c>
      <c r="F140" s="1353"/>
      <c r="G140" s="1353">
        <v>254774</v>
      </c>
      <c r="H140" s="1351">
        <f>'Adj entry 13'!B7</f>
        <v>417</v>
      </c>
      <c r="I140" s="1351"/>
      <c r="J140" s="1351"/>
      <c r="K140" s="1351">
        <f t="shared" ref="K140:K146" si="7">(E140+G140+I140)-(D140+F140+H140)</f>
        <v>386956</v>
      </c>
    </row>
    <row r="141" spans="1:11" ht="12.75" customHeight="1">
      <c r="A141" s="1352" t="s">
        <v>205</v>
      </c>
      <c r="B141" s="1352"/>
      <c r="C141" s="1352" t="s">
        <v>206</v>
      </c>
      <c r="D141" s="1353"/>
      <c r="E141" s="1353">
        <v>71905</v>
      </c>
      <c r="F141" s="1353"/>
      <c r="G141" s="1353">
        <v>154685</v>
      </c>
      <c r="H141" s="1351"/>
      <c r="I141" s="1351"/>
      <c r="J141" s="1351"/>
      <c r="K141" s="1351">
        <f t="shared" si="7"/>
        <v>226590</v>
      </c>
    </row>
    <row r="142" spans="1:11" ht="12.75" customHeight="1">
      <c r="A142" s="1352" t="s">
        <v>207</v>
      </c>
      <c r="B142" s="1352"/>
      <c r="C142" s="1352" t="s">
        <v>208</v>
      </c>
      <c r="D142" s="1353"/>
      <c r="E142" s="1353">
        <v>72744</v>
      </c>
      <c r="F142" s="1353"/>
      <c r="G142" s="1351"/>
      <c r="H142" s="1351"/>
      <c r="I142" s="1351"/>
      <c r="J142" s="1351"/>
      <c r="K142" s="1351">
        <f t="shared" si="7"/>
        <v>72744</v>
      </c>
    </row>
    <row r="143" spans="1:11" ht="12.75" customHeight="1">
      <c r="A143" s="1352" t="s">
        <v>209</v>
      </c>
      <c r="B143" s="1352"/>
      <c r="C143" s="1352" t="s">
        <v>210</v>
      </c>
      <c r="D143" s="1353"/>
      <c r="E143" s="1353">
        <v>31796</v>
      </c>
      <c r="F143" s="1353"/>
      <c r="G143" s="1353">
        <v>34146</v>
      </c>
      <c r="H143" s="1351"/>
      <c r="I143" s="1351"/>
      <c r="J143" s="1351"/>
      <c r="K143" s="1351">
        <f t="shared" si="7"/>
        <v>65942</v>
      </c>
    </row>
    <row r="144" spans="1:11" ht="12.75" customHeight="1">
      <c r="A144" s="1352" t="s">
        <v>211</v>
      </c>
      <c r="B144" s="1352"/>
      <c r="C144" s="1352" t="s">
        <v>212</v>
      </c>
      <c r="D144" s="1353"/>
      <c r="E144" s="1353">
        <v>441287</v>
      </c>
      <c r="F144" s="1353"/>
      <c r="G144" s="1351"/>
      <c r="H144" s="1351"/>
      <c r="I144" s="1351"/>
      <c r="J144" s="1351"/>
      <c r="K144" s="1351">
        <f t="shared" si="7"/>
        <v>441287</v>
      </c>
    </row>
    <row r="145" spans="1:11" ht="12.75" customHeight="1">
      <c r="A145" s="1352" t="s">
        <v>213</v>
      </c>
      <c r="B145" s="1352"/>
      <c r="C145" s="1352" t="s">
        <v>214</v>
      </c>
      <c r="D145" s="1353"/>
      <c r="E145" s="1353">
        <v>269933</v>
      </c>
      <c r="F145" s="1353"/>
      <c r="G145" s="1353">
        <v>133510</v>
      </c>
      <c r="H145" s="1351"/>
      <c r="I145" s="1351"/>
      <c r="J145" s="1351"/>
      <c r="K145" s="1351">
        <f t="shared" si="7"/>
        <v>403443</v>
      </c>
    </row>
    <row r="146" spans="1:11" ht="12.75" customHeight="1">
      <c r="A146" s="1352" t="s">
        <v>215</v>
      </c>
      <c r="B146" s="1352"/>
      <c r="C146" s="1352" t="s">
        <v>216</v>
      </c>
      <c r="D146" s="1353"/>
      <c r="E146" s="1353">
        <v>672937</v>
      </c>
      <c r="F146" s="1353"/>
      <c r="G146" s="1351"/>
      <c r="H146" s="1351"/>
      <c r="I146" s="1351"/>
      <c r="J146" s="1351"/>
      <c r="K146" s="1351">
        <f t="shared" si="7"/>
        <v>672937</v>
      </c>
    </row>
    <row r="147" spans="1:11" ht="13.5" customHeight="1">
      <c r="D147" s="1354"/>
      <c r="E147" s="1354"/>
      <c r="F147" s="1354"/>
      <c r="G147" s="1351"/>
      <c r="H147" s="1351"/>
      <c r="I147" s="1351"/>
      <c r="J147" s="1351"/>
      <c r="K147" s="1351"/>
    </row>
    <row r="148" spans="1:11" ht="13.5" customHeight="1">
      <c r="A148" s="1357" t="s">
        <v>217</v>
      </c>
      <c r="D148" s="1354"/>
      <c r="E148" s="1354"/>
      <c r="F148" s="1354"/>
      <c r="G148" s="1351"/>
      <c r="H148" s="1351"/>
      <c r="I148" s="1351"/>
      <c r="J148" s="1351"/>
      <c r="K148" s="1351"/>
    </row>
    <row r="149" spans="1:11" ht="13.5" customHeight="1">
      <c r="B149" s="1355" t="s">
        <v>218</v>
      </c>
      <c r="D149" s="1354"/>
      <c r="E149" s="1354"/>
      <c r="F149" s="1354"/>
      <c r="G149" s="1351"/>
      <c r="H149" s="1351"/>
      <c r="I149" s="1351"/>
      <c r="J149" s="1351"/>
      <c r="K149" s="1351"/>
    </row>
    <row r="150" spans="1:11" ht="12.75" customHeight="1">
      <c r="A150" s="1352" t="s">
        <v>25</v>
      </c>
      <c r="B150" s="1352"/>
      <c r="C150" s="1352" t="s">
        <v>219</v>
      </c>
      <c r="D150" s="1353"/>
      <c r="E150" s="1353"/>
      <c r="F150" s="1353"/>
      <c r="G150" s="1353">
        <v>3690284.54</v>
      </c>
      <c r="H150" s="1351"/>
      <c r="I150" s="1351"/>
      <c r="J150" s="1351"/>
      <c r="K150" s="1351">
        <f>(E150+G150+I150)-(D150+F150+H150)</f>
        <v>3690284.54</v>
      </c>
    </row>
    <row r="151" spans="1:11" ht="12.75" customHeight="1">
      <c r="A151" s="1352" t="s">
        <v>25</v>
      </c>
      <c r="B151" s="1352"/>
      <c r="C151" s="1352" t="s">
        <v>220</v>
      </c>
      <c r="D151" s="1353"/>
      <c r="E151" s="1353"/>
      <c r="F151" s="1353"/>
      <c r="G151" s="1353">
        <v>20000</v>
      </c>
      <c r="H151" s="1351"/>
      <c r="I151" s="1351"/>
      <c r="J151" s="1351"/>
      <c r="K151" s="1351">
        <f>(E151+G151+I151)-(D151+F151+H151)</f>
        <v>20000</v>
      </c>
    </row>
    <row r="152" spans="1:11" ht="12.75" customHeight="1">
      <c r="A152" s="1352" t="s">
        <v>25</v>
      </c>
      <c r="B152" s="1352"/>
      <c r="C152" s="1352" t="s">
        <v>221</v>
      </c>
      <c r="D152" s="1353"/>
      <c r="E152" s="1353"/>
      <c r="F152" s="1353"/>
      <c r="G152" s="1353">
        <v>500000</v>
      </c>
      <c r="H152" s="1351"/>
      <c r="I152" s="1351"/>
      <c r="J152" s="1351"/>
      <c r="K152" s="1351">
        <f>(E152+G152+I152)-(D152+F152+H152)</f>
        <v>500000</v>
      </c>
    </row>
    <row r="153" spans="1:11" ht="11.25" customHeight="1">
      <c r="D153" s="1351"/>
      <c r="E153" s="1351"/>
      <c r="F153" s="1351"/>
      <c r="G153" s="1351"/>
      <c r="H153" s="1351"/>
      <c r="I153" s="1351"/>
      <c r="J153" s="1351"/>
      <c r="K153" s="1351"/>
    </row>
    <row r="154" spans="1:11" ht="11.25" customHeight="1">
      <c r="D154" s="1351"/>
      <c r="E154" s="1351"/>
      <c r="F154" s="1351"/>
      <c r="G154" s="1351"/>
      <c r="H154" s="1351"/>
      <c r="I154" s="1351"/>
      <c r="J154" s="1351"/>
      <c r="K154" s="1351"/>
    </row>
    <row r="155" spans="1:11" ht="12.75" customHeight="1">
      <c r="A155" s="1357" t="s">
        <v>222</v>
      </c>
      <c r="B155" s="1357"/>
      <c r="C155" s="1357"/>
      <c r="D155" s="1351"/>
      <c r="E155" s="1351"/>
      <c r="F155" s="1351"/>
      <c r="G155" s="1351"/>
      <c r="H155" s="1351"/>
      <c r="I155" s="1351"/>
      <c r="J155" s="1351"/>
      <c r="K155" s="1351"/>
    </row>
    <row r="156" spans="1:11" ht="12.75" customHeight="1">
      <c r="A156" s="1355" t="s">
        <v>223</v>
      </c>
      <c r="B156" s="1355"/>
      <c r="C156" s="1355"/>
      <c r="D156" s="1351"/>
      <c r="E156" s="1351"/>
      <c r="F156" s="1351"/>
      <c r="G156" s="1351"/>
      <c r="H156" s="1351"/>
      <c r="I156" s="1351"/>
      <c r="J156" s="1351"/>
      <c r="K156" s="1351"/>
    </row>
    <row r="157" spans="1:11" ht="12.75" customHeight="1">
      <c r="B157" s="1355" t="s">
        <v>224</v>
      </c>
      <c r="C157" s="1355"/>
      <c r="D157" s="1351"/>
      <c r="E157" s="1351"/>
      <c r="F157" s="1351"/>
      <c r="G157" s="1351"/>
      <c r="H157" s="1351"/>
      <c r="I157" s="1351"/>
      <c r="J157" s="1351"/>
      <c r="K157" s="1351"/>
    </row>
    <row r="158" spans="1:11" ht="12.75" customHeight="1">
      <c r="A158" s="1352" t="s">
        <v>225</v>
      </c>
      <c r="B158" s="1352"/>
      <c r="C158" s="1352" t="s">
        <v>226</v>
      </c>
      <c r="D158" s="1353"/>
      <c r="E158" s="1353">
        <v>-5.0000000000000001E-3</v>
      </c>
      <c r="F158" s="1353"/>
      <c r="G158" s="1351"/>
      <c r="H158" s="1351"/>
      <c r="I158" s="1351"/>
      <c r="J158" s="1351"/>
      <c r="K158" s="1351">
        <f>(E158+G158+I158)-(D158+F158+H158)</f>
        <v>-5.0000000000000001E-3</v>
      </c>
    </row>
    <row r="159" spans="1:11" ht="12.75" customHeight="1">
      <c r="A159" s="1352" t="s">
        <v>227</v>
      </c>
      <c r="B159" s="1352"/>
      <c r="C159" s="1352" t="s">
        <v>228</v>
      </c>
      <c r="D159" s="1353"/>
      <c r="E159" s="1353">
        <v>2277095</v>
      </c>
      <c r="F159" s="1353"/>
      <c r="G159" s="1351"/>
      <c r="H159" s="1351"/>
      <c r="I159" s="1351"/>
      <c r="J159" s="1351"/>
      <c r="K159" s="1351">
        <f>(E159+G159+I159)-(D159+F159+H159)</f>
        <v>2277095</v>
      </c>
    </row>
    <row r="160" spans="1:11" ht="12.75" customHeight="1">
      <c r="A160" s="1352"/>
      <c r="B160" s="1352"/>
      <c r="C160" s="1352"/>
      <c r="D160" s="1353"/>
      <c r="E160" s="1353"/>
      <c r="F160" s="1353"/>
      <c r="G160" s="1351"/>
      <c r="H160" s="1351"/>
      <c r="I160" s="1351"/>
      <c r="J160" s="1351"/>
      <c r="K160" s="1351"/>
    </row>
    <row r="161" spans="1:11" ht="12.75" customHeight="1">
      <c r="A161" s="1352"/>
      <c r="B161" s="1355" t="s">
        <v>229</v>
      </c>
      <c r="C161" s="1352"/>
      <c r="D161" s="1353"/>
      <c r="E161" s="1353"/>
      <c r="F161" s="1353"/>
      <c r="G161" s="1351"/>
      <c r="H161" s="1351"/>
      <c r="I161" s="1351"/>
      <c r="J161" s="1351"/>
      <c r="K161" s="1351"/>
    </row>
    <row r="162" spans="1:11" ht="12.75" customHeight="1">
      <c r="A162" s="1352" t="s">
        <v>25</v>
      </c>
      <c r="B162" s="1352"/>
      <c r="C162" s="1352" t="s">
        <v>229</v>
      </c>
      <c r="D162" s="1353"/>
      <c r="E162" s="1353"/>
      <c r="F162" s="1353"/>
      <c r="G162" s="1353">
        <v>505428</v>
      </c>
      <c r="H162" s="1351"/>
      <c r="I162" s="1351"/>
      <c r="J162" s="1351"/>
      <c r="K162" s="1351">
        <f>(E162+G162+I162)-(D162+F162+H162)</f>
        <v>505428</v>
      </c>
    </row>
    <row r="163" spans="1:11" ht="13.5" customHeight="1">
      <c r="D163" s="1354"/>
      <c r="E163" s="1354"/>
      <c r="F163" s="1354"/>
      <c r="G163" s="1351"/>
      <c r="H163" s="1351"/>
      <c r="I163" s="1351"/>
      <c r="J163" s="1351"/>
      <c r="K163" s="1351"/>
    </row>
    <row r="164" spans="1:11" ht="12.75" customHeight="1">
      <c r="B164" s="1355" t="s">
        <v>230</v>
      </c>
      <c r="C164" s="1355"/>
      <c r="D164" s="1351"/>
      <c r="E164" s="1351"/>
      <c r="F164" s="1351"/>
      <c r="G164" s="1351"/>
      <c r="H164" s="1351"/>
      <c r="I164" s="1351"/>
      <c r="J164" s="1351"/>
      <c r="K164" s="1351"/>
    </row>
    <row r="165" spans="1:11" ht="12.75" customHeight="1">
      <c r="A165" s="1352" t="s">
        <v>231</v>
      </c>
      <c r="B165" s="1352"/>
      <c r="C165" s="1352" t="s">
        <v>232</v>
      </c>
      <c r="D165" s="1353"/>
      <c r="E165" s="1353">
        <v>52116.452500000101</v>
      </c>
      <c r="F165" s="1353"/>
      <c r="G165" s="1351"/>
      <c r="H165" s="1351"/>
      <c r="I165" s="1351"/>
      <c r="J165" s="1351"/>
      <c r="K165" s="1351">
        <f>(E165+G165+I165)-(D165+F165+H165)</f>
        <v>52116.452500000101</v>
      </c>
    </row>
    <row r="166" spans="1:11" ht="13.5" customHeight="1">
      <c r="D166" s="1354"/>
      <c r="E166" s="1354"/>
      <c r="F166" s="1354"/>
      <c r="G166" s="1351"/>
      <c r="H166" s="1351"/>
      <c r="I166" s="1351"/>
      <c r="J166" s="1351"/>
      <c r="K166" s="1351"/>
    </row>
    <row r="167" spans="1:11" ht="11.25" customHeight="1">
      <c r="D167" s="1351"/>
      <c r="E167" s="1351"/>
      <c r="F167" s="1351"/>
      <c r="G167" s="1351"/>
      <c r="H167" s="1351"/>
      <c r="I167" s="1351"/>
      <c r="J167" s="1351"/>
      <c r="K167" s="1351"/>
    </row>
    <row r="168" spans="1:11" ht="12.75" customHeight="1">
      <c r="A168" s="1355" t="s">
        <v>233</v>
      </c>
      <c r="B168" s="1355"/>
      <c r="C168" s="1355"/>
      <c r="D168" s="1351"/>
      <c r="E168" s="1351"/>
      <c r="F168" s="1351"/>
      <c r="G168" s="1351"/>
      <c r="H168" s="1351"/>
      <c r="I168" s="1351"/>
      <c r="J168" s="1351"/>
      <c r="K168" s="1351"/>
    </row>
    <row r="169" spans="1:11" ht="12.75" customHeight="1">
      <c r="B169" s="1355" t="s">
        <v>234</v>
      </c>
      <c r="C169" s="1355"/>
      <c r="D169" s="1351"/>
      <c r="E169" s="1351"/>
      <c r="F169" s="1351"/>
      <c r="G169" s="1351"/>
      <c r="H169" s="1351"/>
      <c r="I169" s="1351"/>
      <c r="J169" s="1351"/>
      <c r="K169" s="1351"/>
    </row>
    <row r="170" spans="1:11" ht="12.75" customHeight="1">
      <c r="A170" s="1352" t="s">
        <v>235</v>
      </c>
      <c r="B170" s="1352"/>
      <c r="C170" s="1352" t="s">
        <v>236</v>
      </c>
      <c r="D170" s="1353"/>
      <c r="E170" s="1353">
        <v>26295567</v>
      </c>
      <c r="F170" s="1353"/>
      <c r="G170" s="1351"/>
      <c r="H170" s="1351"/>
      <c r="I170" s="1351"/>
      <c r="J170" s="1351"/>
      <c r="K170" s="1351">
        <f>(E170+G170+I170)-(D170+F170+H170)</f>
        <v>26295567</v>
      </c>
    </row>
    <row r="171" spans="1:11" ht="13.5" customHeight="1">
      <c r="D171" s="1354"/>
      <c r="E171" s="1354"/>
      <c r="F171" s="1354"/>
      <c r="G171" s="1351"/>
      <c r="H171" s="1351"/>
      <c r="I171" s="1351"/>
      <c r="J171" s="1351"/>
      <c r="K171" s="1351"/>
    </row>
    <row r="172" spans="1:11" ht="12.75" customHeight="1">
      <c r="B172" s="1355" t="s">
        <v>237</v>
      </c>
      <c r="C172" s="1355"/>
      <c r="D172" s="1351"/>
      <c r="E172" s="1351"/>
      <c r="F172" s="1351"/>
      <c r="G172" s="1351"/>
      <c r="H172" s="1351"/>
      <c r="I172" s="1351"/>
      <c r="J172" s="1351"/>
      <c r="K172" s="1351"/>
    </row>
    <row r="173" spans="1:11" ht="12.75" customHeight="1">
      <c r="A173" s="1352" t="s">
        <v>238</v>
      </c>
      <c r="B173" s="1352"/>
      <c r="C173" s="1352" t="s">
        <v>239</v>
      </c>
      <c r="D173" s="1353"/>
      <c r="E173" s="1353">
        <v>4818215</v>
      </c>
      <c r="F173" s="1353"/>
      <c r="G173" s="1351"/>
      <c r="H173" s="1351"/>
      <c r="I173" s="1351"/>
      <c r="J173" s="1351"/>
      <c r="K173" s="1351">
        <f>(E173+G173+I173)-(D173+F173+H173)</f>
        <v>4818215</v>
      </c>
    </row>
    <row r="174" spans="1:11" ht="13.5" customHeight="1">
      <c r="D174" s="1354"/>
      <c r="E174" s="1354"/>
      <c r="F174" s="1354"/>
      <c r="G174" s="1351"/>
      <c r="H174" s="1351"/>
      <c r="I174" s="1351"/>
      <c r="J174" s="1351"/>
      <c r="K174" s="1351"/>
    </row>
    <row r="175" spans="1:11" ht="12.75" customHeight="1">
      <c r="B175" s="1355" t="s">
        <v>240</v>
      </c>
      <c r="C175" s="1355"/>
      <c r="D175" s="1351"/>
      <c r="E175" s="1351"/>
      <c r="F175" s="1351"/>
      <c r="G175" s="1351"/>
      <c r="H175" s="1351"/>
      <c r="I175" s="1351"/>
      <c r="J175" s="1351"/>
      <c r="K175" s="1351"/>
    </row>
    <row r="176" spans="1:11" ht="12.75" customHeight="1">
      <c r="A176" s="1352" t="s">
        <v>241</v>
      </c>
      <c r="B176" s="1352"/>
      <c r="C176" s="1352" t="s">
        <v>242</v>
      </c>
      <c r="D176" s="1353"/>
      <c r="E176" s="1353">
        <v>8403217</v>
      </c>
      <c r="F176" s="1353"/>
      <c r="G176" s="1351"/>
      <c r="H176" s="1351"/>
      <c r="I176" s="1351"/>
      <c r="J176" s="1351"/>
      <c r="K176" s="1351">
        <f>(E176+G176+I176)-(D176+F176+H176)</f>
        <v>8403217</v>
      </c>
    </row>
    <row r="177" spans="1:11" ht="13.5" customHeight="1">
      <c r="D177" s="1354"/>
      <c r="E177" s="1354"/>
      <c r="F177" s="1354"/>
      <c r="G177" s="1351"/>
      <c r="H177" s="1351"/>
      <c r="I177" s="1351"/>
      <c r="J177" s="1351"/>
      <c r="K177" s="1351"/>
    </row>
    <row r="178" spans="1:11" ht="12.75" customHeight="1">
      <c r="B178" s="1355" t="s">
        <v>243</v>
      </c>
      <c r="C178" s="1355"/>
      <c r="D178" s="1351"/>
      <c r="E178" s="1351"/>
      <c r="F178" s="1351"/>
      <c r="G178" s="1351"/>
      <c r="H178" s="1351"/>
      <c r="I178" s="1351"/>
      <c r="J178" s="1351"/>
      <c r="K178" s="1351"/>
    </row>
    <row r="179" spans="1:11" ht="12.75" customHeight="1">
      <c r="A179" s="1352" t="s">
        <v>244</v>
      </c>
      <c r="B179" s="1352"/>
      <c r="C179" s="1352" t="s">
        <v>243</v>
      </c>
      <c r="D179" s="1353"/>
      <c r="E179" s="1353">
        <v>1239268</v>
      </c>
      <c r="F179" s="1353"/>
      <c r="G179" s="1351"/>
      <c r="H179" s="1351"/>
      <c r="I179" s="1351"/>
      <c r="J179" s="1351"/>
      <c r="K179" s="1351">
        <f>(E179+G179+I179)-(D179+F179+H179)</f>
        <v>1239268</v>
      </c>
    </row>
    <row r="180" spans="1:11" ht="13.5" customHeight="1">
      <c r="D180" s="1354"/>
      <c r="E180" s="1354"/>
      <c r="F180" s="1354"/>
      <c r="G180" s="1351"/>
      <c r="H180" s="1351"/>
      <c r="I180" s="1351"/>
      <c r="J180" s="1351"/>
      <c r="K180" s="1351"/>
    </row>
    <row r="181" spans="1:11" ht="11.25" customHeight="1">
      <c r="D181" s="1351"/>
      <c r="E181" s="1351"/>
      <c r="F181" s="1351"/>
      <c r="G181" s="1351"/>
      <c r="H181" s="1351"/>
      <c r="I181" s="1351"/>
      <c r="J181" s="1351"/>
      <c r="K181" s="1351"/>
    </row>
    <row r="182" spans="1:11" ht="11.25" customHeight="1">
      <c r="D182" s="1351"/>
      <c r="E182" s="1351"/>
      <c r="F182" s="1351"/>
      <c r="G182" s="1351"/>
      <c r="H182" s="1351"/>
      <c r="I182" s="1351"/>
      <c r="J182" s="1351"/>
      <c r="K182" s="1351"/>
    </row>
    <row r="183" spans="1:11" ht="12.75" customHeight="1">
      <c r="A183" s="1357" t="s">
        <v>245</v>
      </c>
      <c r="B183" s="1357"/>
      <c r="C183" s="1357"/>
      <c r="D183" s="1351"/>
      <c r="E183" s="1351"/>
      <c r="F183" s="1351"/>
      <c r="G183" s="1351"/>
      <c r="H183" s="1351"/>
      <c r="I183" s="1351"/>
      <c r="J183" s="1351"/>
      <c r="K183" s="1351"/>
    </row>
    <row r="184" spans="1:11" ht="12.75" customHeight="1">
      <c r="A184" s="1355" t="s">
        <v>246</v>
      </c>
      <c r="B184" s="1355"/>
      <c r="C184" s="1355"/>
      <c r="D184" s="1351"/>
      <c r="E184" s="1351"/>
      <c r="F184" s="1351"/>
      <c r="G184" s="1351"/>
      <c r="H184" s="1351"/>
      <c r="I184" s="1351"/>
      <c r="J184" s="1351"/>
      <c r="K184" s="1351"/>
    </row>
    <row r="185" spans="1:11" ht="12.75" customHeight="1">
      <c r="B185" s="1355" t="s">
        <v>247</v>
      </c>
      <c r="C185" s="1355"/>
      <c r="D185" s="1351"/>
      <c r="E185" s="1351"/>
      <c r="F185" s="1351"/>
      <c r="G185" s="1351"/>
      <c r="H185" s="1351"/>
      <c r="I185" s="1351"/>
      <c r="J185" s="1351"/>
      <c r="K185" s="1351"/>
    </row>
    <row r="186" spans="1:11" ht="12.75" customHeight="1">
      <c r="A186" s="1352" t="s">
        <v>248</v>
      </c>
      <c r="B186" s="1352"/>
      <c r="C186" s="1352" t="s">
        <v>249</v>
      </c>
      <c r="D186" s="1353">
        <v>23622799</v>
      </c>
      <c r="E186" s="1353"/>
      <c r="F186" s="1353"/>
      <c r="G186" s="1351"/>
      <c r="H186" s="1351"/>
      <c r="I186" s="1351"/>
      <c r="J186" s="1351">
        <f>(D186+F186+H186)-(E186+G186+I186)</f>
        <v>23622799</v>
      </c>
      <c r="K186" s="1351"/>
    </row>
    <row r="187" spans="1:11" ht="13.5" customHeight="1">
      <c r="D187" s="1354"/>
      <c r="E187" s="1354"/>
      <c r="F187" s="1354"/>
      <c r="G187" s="1351"/>
      <c r="H187" s="1351"/>
      <c r="I187" s="1351"/>
      <c r="J187" s="1351"/>
      <c r="K187" s="1351"/>
    </row>
    <row r="188" spans="1:11" ht="12.75" customHeight="1">
      <c r="B188" s="1355" t="s">
        <v>250</v>
      </c>
      <c r="C188" s="1355"/>
      <c r="D188" s="1351"/>
      <c r="E188" s="1351"/>
      <c r="F188" s="1351"/>
      <c r="G188" s="1351"/>
      <c r="H188" s="1351"/>
      <c r="I188" s="1351"/>
      <c r="J188" s="1351"/>
      <c r="K188" s="1351"/>
    </row>
    <row r="189" spans="1:11" ht="12.75" customHeight="1">
      <c r="A189" s="1352" t="s">
        <v>251</v>
      </c>
      <c r="B189" s="1352"/>
      <c r="C189" s="1352" t="s">
        <v>252</v>
      </c>
      <c r="D189" s="1353">
        <v>6518791.25</v>
      </c>
      <c r="E189" s="1353"/>
      <c r="F189" s="1353"/>
      <c r="G189" s="1351"/>
      <c r="H189" s="1351"/>
      <c r="I189" s="1351"/>
      <c r="J189" s="1351">
        <f>(D189+F189+H189)-(E189+G189+I189)</f>
        <v>6518791.25</v>
      </c>
      <c r="K189" s="1351"/>
    </row>
    <row r="190" spans="1:11" ht="13.5" customHeight="1">
      <c r="D190" s="1354"/>
      <c r="E190" s="1354"/>
      <c r="F190" s="1354"/>
      <c r="G190" s="1351"/>
      <c r="H190" s="1351"/>
      <c r="I190" s="1351"/>
      <c r="J190" s="1351"/>
      <c r="K190" s="1351"/>
    </row>
    <row r="191" spans="1:11" ht="12.75" customHeight="1">
      <c r="B191" s="1355" t="s">
        <v>253</v>
      </c>
      <c r="C191" s="1355"/>
      <c r="D191" s="1351"/>
      <c r="E191" s="1351"/>
      <c r="F191" s="1351"/>
      <c r="G191" s="1351"/>
      <c r="H191" s="1351"/>
      <c r="I191" s="1351"/>
      <c r="J191" s="1351"/>
      <c r="K191" s="1351"/>
    </row>
    <row r="192" spans="1:11" ht="12.75" customHeight="1">
      <c r="A192" s="1352" t="s">
        <v>254</v>
      </c>
      <c r="B192" s="1352"/>
      <c r="C192" s="1352" t="s">
        <v>255</v>
      </c>
      <c r="D192" s="1353">
        <v>2921590.33</v>
      </c>
      <c r="E192" s="1353"/>
      <c r="F192" s="1353"/>
      <c r="G192" s="1351"/>
      <c r="H192" s="1351"/>
      <c r="I192" s="1351"/>
      <c r="J192" s="1351">
        <f>(D192+F192+H192)-(E192+G192+I192)</f>
        <v>2921590.33</v>
      </c>
      <c r="K192" s="1351"/>
    </row>
    <row r="193" spans="1:11" ht="13.5" customHeight="1">
      <c r="D193" s="1354"/>
      <c r="E193" s="1354"/>
      <c r="F193" s="1354"/>
      <c r="G193" s="1351"/>
      <c r="H193" s="1351"/>
      <c r="I193" s="1351"/>
      <c r="J193" s="1351"/>
      <c r="K193" s="1351"/>
    </row>
    <row r="194" spans="1:11" ht="12.75" customHeight="1">
      <c r="B194" s="1355" t="s">
        <v>256</v>
      </c>
      <c r="C194" s="1355"/>
      <c r="D194" s="1351"/>
      <c r="E194" s="1351"/>
      <c r="F194" s="1351"/>
      <c r="G194" s="1351"/>
      <c r="H194" s="1351"/>
      <c r="I194" s="1351"/>
      <c r="J194" s="1351"/>
      <c r="K194" s="1351"/>
    </row>
    <row r="195" spans="1:11" ht="12.75" customHeight="1">
      <c r="A195" s="1352" t="s">
        <v>257</v>
      </c>
      <c r="B195" s="1352"/>
      <c r="C195" s="1352" t="s">
        <v>256</v>
      </c>
      <c r="D195" s="1353">
        <v>597994</v>
      </c>
      <c r="E195" s="1353"/>
      <c r="F195" s="1353"/>
      <c r="G195" s="1351"/>
      <c r="H195" s="1351"/>
      <c r="I195" s="1351"/>
      <c r="J195" s="1351">
        <f>(D195+F195+H195)-(E195+G195+I195)</f>
        <v>597994</v>
      </c>
      <c r="K195" s="1351"/>
    </row>
    <row r="196" spans="1:11" ht="13.5" customHeight="1">
      <c r="D196" s="1354"/>
      <c r="E196" s="1354"/>
      <c r="F196" s="1354"/>
      <c r="G196" s="1351"/>
      <c r="H196" s="1351"/>
      <c r="I196" s="1351"/>
      <c r="J196" s="1351"/>
      <c r="K196" s="1351"/>
    </row>
    <row r="197" spans="1:11" ht="11.25" customHeight="1">
      <c r="D197" s="1351"/>
      <c r="E197" s="1351"/>
      <c r="F197" s="1351"/>
      <c r="G197" s="1351"/>
      <c r="H197" s="1351"/>
      <c r="I197" s="1351"/>
      <c r="J197" s="1351"/>
      <c r="K197" s="1351"/>
    </row>
    <row r="198" spans="1:11" ht="11.25" customHeight="1">
      <c r="D198" s="1351"/>
      <c r="E198" s="1351"/>
      <c r="F198" s="1351"/>
      <c r="G198" s="1351"/>
      <c r="H198" s="1351"/>
      <c r="I198" s="1351"/>
      <c r="J198" s="1351"/>
      <c r="K198" s="1351"/>
    </row>
    <row r="199" spans="1:11" ht="12.75" customHeight="1">
      <c r="A199" s="1357" t="s">
        <v>258</v>
      </c>
      <c r="B199" s="1357"/>
      <c r="C199" s="1357"/>
      <c r="D199" s="1351"/>
      <c r="E199" s="1351"/>
      <c r="F199" s="1351"/>
      <c r="G199" s="1351"/>
      <c r="H199" s="1351"/>
      <c r="I199" s="1351"/>
      <c r="J199" s="1351"/>
      <c r="K199" s="1351"/>
    </row>
    <row r="200" spans="1:11" ht="12.75" customHeight="1">
      <c r="A200" s="1355" t="s">
        <v>259</v>
      </c>
      <c r="B200" s="1355"/>
      <c r="C200" s="1355"/>
      <c r="D200" s="1351"/>
      <c r="E200" s="1351"/>
      <c r="F200" s="1351"/>
      <c r="G200" s="1351"/>
      <c r="H200" s="1351"/>
      <c r="I200" s="1351"/>
      <c r="J200" s="1351"/>
      <c r="K200" s="1351"/>
    </row>
    <row r="201" spans="1:11" ht="12.75" customHeight="1">
      <c r="B201" s="1355" t="s">
        <v>260</v>
      </c>
      <c r="C201" s="1355"/>
      <c r="D201" s="1351"/>
      <c r="E201" s="1351"/>
      <c r="F201" s="1351"/>
      <c r="G201" s="1351"/>
      <c r="H201" s="1351"/>
      <c r="I201" s="1351"/>
      <c r="J201" s="1351"/>
      <c r="K201" s="1351"/>
    </row>
    <row r="202" spans="1:11" ht="12.75" customHeight="1">
      <c r="A202" s="1352" t="s">
        <v>261</v>
      </c>
      <c r="B202" s="1352"/>
      <c r="C202" s="1352" t="s">
        <v>262</v>
      </c>
      <c r="D202" s="1353">
        <v>82500</v>
      </c>
      <c r="E202" s="1353"/>
      <c r="F202" s="1353"/>
      <c r="G202" s="1351"/>
      <c r="H202" s="1351"/>
      <c r="I202" s="1351"/>
      <c r="J202" s="1351">
        <f t="shared" ref="J202:J224" si="8">(D202+F202+H202)-(E202+G202+I202)</f>
        <v>82500</v>
      </c>
      <c r="K202" s="1351"/>
    </row>
    <row r="203" spans="1:11" ht="12.75" customHeight="1">
      <c r="A203" s="1352" t="s">
        <v>263</v>
      </c>
      <c r="B203" s="1352"/>
      <c r="C203" s="1352" t="s">
        <v>264</v>
      </c>
      <c r="D203" s="1353">
        <v>65212</v>
      </c>
      <c r="E203" s="1353"/>
      <c r="F203" s="1353"/>
      <c r="G203" s="1351"/>
      <c r="H203" s="1351"/>
      <c r="I203" s="1351"/>
      <c r="J203" s="1351">
        <f t="shared" si="8"/>
        <v>65212</v>
      </c>
      <c r="K203" s="1351"/>
    </row>
    <row r="204" spans="1:11" ht="12.75" customHeight="1">
      <c r="A204" s="1352" t="s">
        <v>265</v>
      </c>
      <c r="B204" s="1352"/>
      <c r="C204" s="1352" t="s">
        <v>266</v>
      </c>
      <c r="D204" s="1353">
        <v>231758</v>
      </c>
      <c r="E204" s="1353"/>
      <c r="F204" s="1353">
        <v>18139</v>
      </c>
      <c r="G204" s="1351"/>
      <c r="H204" s="1351"/>
      <c r="I204" s="1351">
        <f>'Adj entry 13'!C8</f>
        <v>417</v>
      </c>
      <c r="J204" s="1351">
        <f t="shared" si="8"/>
        <v>249480</v>
      </c>
      <c r="K204" s="1351"/>
    </row>
    <row r="205" spans="1:11" ht="12.75" customHeight="1">
      <c r="A205" s="1352" t="s">
        <v>267</v>
      </c>
      <c r="B205" s="1352"/>
      <c r="C205" s="1352" t="s">
        <v>268</v>
      </c>
      <c r="D205" s="1353">
        <v>780000</v>
      </c>
      <c r="E205" s="1353"/>
      <c r="F205" s="1353">
        <v>654000</v>
      </c>
      <c r="G205" s="1351"/>
      <c r="H205" s="1351"/>
      <c r="I205" s="1351"/>
      <c r="J205" s="1351">
        <f t="shared" si="8"/>
        <v>1434000</v>
      </c>
      <c r="K205" s="1351"/>
    </row>
    <row r="206" spans="1:11" ht="12.75" customHeight="1">
      <c r="A206" s="1352" t="s">
        <v>269</v>
      </c>
      <c r="B206" s="1352"/>
      <c r="C206" s="1352" t="s">
        <v>270</v>
      </c>
      <c r="D206" s="1353">
        <v>51200</v>
      </c>
      <c r="E206" s="1353"/>
      <c r="F206" s="1353"/>
      <c r="G206" s="1351"/>
      <c r="H206" s="1351">
        <f>'Adj entry 13'!B16</f>
        <v>0</v>
      </c>
      <c r="I206" s="1351"/>
      <c r="J206" s="1351">
        <f t="shared" si="8"/>
        <v>51200</v>
      </c>
      <c r="K206" s="1351"/>
    </row>
    <row r="207" spans="1:11" ht="12.75" customHeight="1">
      <c r="A207" s="1352" t="s">
        <v>271</v>
      </c>
      <c r="B207" s="1352"/>
      <c r="C207" s="1352" t="s">
        <v>272</v>
      </c>
      <c r="D207" s="1353">
        <v>213066</v>
      </c>
      <c r="E207" s="1353"/>
      <c r="F207" s="1353">
        <v>96627</v>
      </c>
      <c r="G207" s="1351"/>
      <c r="H207" s="1351">
        <f>'Adj entry 13'!B29+'Adj entry 13'!B32+'Adj entry 13'!B35</f>
        <v>17569</v>
      </c>
      <c r="I207" s="1351">
        <f>'Adj entry 13'!C27</f>
        <v>150</v>
      </c>
      <c r="J207" s="1351">
        <f t="shared" si="8"/>
        <v>327112</v>
      </c>
      <c r="K207" s="1351"/>
    </row>
    <row r="208" spans="1:11" ht="12.75" customHeight="1">
      <c r="A208" s="1352" t="s">
        <v>273</v>
      </c>
      <c r="B208" s="1352"/>
      <c r="C208" s="1352" t="s">
        <v>274</v>
      </c>
      <c r="D208" s="1353">
        <v>115205</v>
      </c>
      <c r="E208" s="1353"/>
      <c r="F208" s="1353"/>
      <c r="G208" s="1351"/>
      <c r="H208" s="1351"/>
      <c r="I208" s="1351"/>
      <c r="J208" s="1351">
        <f t="shared" si="8"/>
        <v>115205</v>
      </c>
      <c r="K208" s="1351"/>
    </row>
    <row r="209" spans="1:11" ht="12.75" customHeight="1">
      <c r="A209" s="1352" t="s">
        <v>275</v>
      </c>
      <c r="B209" s="1352"/>
      <c r="C209" s="1352" t="s">
        <v>276</v>
      </c>
      <c r="D209" s="1353">
        <v>320710</v>
      </c>
      <c r="E209" s="1353"/>
      <c r="F209" s="1353">
        <v>5900</v>
      </c>
      <c r="G209" s="1351"/>
      <c r="H209" s="1351"/>
      <c r="I209" s="1351"/>
      <c r="J209" s="1351">
        <f t="shared" si="8"/>
        <v>326610</v>
      </c>
      <c r="K209" s="1351"/>
    </row>
    <row r="210" spans="1:11" ht="12.75" customHeight="1">
      <c r="A210" s="1352" t="s">
        <v>277</v>
      </c>
      <c r="B210" s="1352"/>
      <c r="C210" s="1352" t="s">
        <v>278</v>
      </c>
      <c r="D210" s="1353">
        <v>187138</v>
      </c>
      <c r="E210" s="1353"/>
      <c r="F210" s="1353"/>
      <c r="G210" s="1351"/>
      <c r="H210" s="1351"/>
      <c r="I210" s="1351">
        <f>'Adj entry 13'!C24</f>
        <v>91542</v>
      </c>
      <c r="J210" s="1351">
        <f t="shared" si="8"/>
        <v>95596</v>
      </c>
      <c r="K210" s="1351"/>
    </row>
    <row r="211" spans="1:11" ht="12.75" customHeight="1">
      <c r="A211" s="1352" t="s">
        <v>279</v>
      </c>
      <c r="B211" s="1352"/>
      <c r="C211" s="1352" t="s">
        <v>280</v>
      </c>
      <c r="D211" s="1353">
        <v>45641</v>
      </c>
      <c r="E211" s="1353"/>
      <c r="F211" s="1353"/>
      <c r="G211" s="1351"/>
      <c r="H211" s="1351"/>
      <c r="I211" s="1351"/>
      <c r="J211" s="1351">
        <f t="shared" si="8"/>
        <v>45641</v>
      </c>
      <c r="K211" s="1351"/>
    </row>
    <row r="212" spans="1:11" ht="12.75" customHeight="1">
      <c r="A212" s="1352" t="s">
        <v>281</v>
      </c>
      <c r="B212" s="1352"/>
      <c r="C212" s="1352" t="s">
        <v>282</v>
      </c>
      <c r="D212" s="1353">
        <v>11050</v>
      </c>
      <c r="E212" s="1353"/>
      <c r="F212" s="1353"/>
      <c r="G212" s="1351"/>
      <c r="H212" s="1351"/>
      <c r="I212" s="1351"/>
      <c r="J212" s="1351">
        <f t="shared" si="8"/>
        <v>11050</v>
      </c>
      <c r="K212" s="1351"/>
    </row>
    <row r="213" spans="1:11" ht="12.75" customHeight="1">
      <c r="A213" s="1352" t="s">
        <v>283</v>
      </c>
      <c r="B213" s="1352"/>
      <c r="C213" s="1352" t="s">
        <v>284</v>
      </c>
      <c r="D213" s="1353">
        <v>64908</v>
      </c>
      <c r="E213" s="1353"/>
      <c r="F213" s="1353"/>
      <c r="G213" s="1351"/>
      <c r="H213" s="1351"/>
      <c r="I213" s="1351">
        <f>'Adj entry 13'!C20</f>
        <v>11058</v>
      </c>
      <c r="J213" s="1351">
        <f t="shared" si="8"/>
        <v>53850</v>
      </c>
      <c r="K213" s="1351"/>
    </row>
    <row r="214" spans="1:11" ht="12.75" customHeight="1">
      <c r="A214" s="1352" t="s">
        <v>285</v>
      </c>
      <c r="B214" s="1352"/>
      <c r="C214" s="1352" t="s">
        <v>286</v>
      </c>
      <c r="D214" s="1353">
        <v>30262</v>
      </c>
      <c r="E214" s="1353"/>
      <c r="F214" s="1353"/>
      <c r="G214" s="1351"/>
      <c r="H214" s="1351"/>
      <c r="I214" s="1351"/>
      <c r="J214" s="1351">
        <f t="shared" si="8"/>
        <v>30262</v>
      </c>
      <c r="K214" s="1351"/>
    </row>
    <row r="215" spans="1:11" ht="12.75" customHeight="1">
      <c r="A215" s="1352" t="s">
        <v>287</v>
      </c>
      <c r="B215" s="1352"/>
      <c r="C215" s="1352" t="s">
        <v>288</v>
      </c>
      <c r="D215" s="1353">
        <v>390000</v>
      </c>
      <c r="E215" s="1353"/>
      <c r="F215" s="1353">
        <v>116592</v>
      </c>
      <c r="G215" s="1351"/>
      <c r="H215" s="1351"/>
      <c r="I215" s="1351"/>
      <c r="J215" s="1351">
        <f t="shared" si="8"/>
        <v>506592</v>
      </c>
      <c r="K215" s="1351"/>
    </row>
    <row r="216" spans="1:11" ht="12.75" customHeight="1">
      <c r="A216" s="1352" t="s">
        <v>289</v>
      </c>
      <c r="B216" s="1352"/>
      <c r="C216" s="1352" t="s">
        <v>290</v>
      </c>
      <c r="D216" s="1353">
        <v>38969</v>
      </c>
      <c r="E216" s="1353"/>
      <c r="F216" s="1353"/>
      <c r="G216" s="1351"/>
      <c r="H216" s="1351"/>
      <c r="I216" s="1351"/>
      <c r="J216" s="1351">
        <f t="shared" si="8"/>
        <v>38969</v>
      </c>
      <c r="K216" s="1351"/>
    </row>
    <row r="217" spans="1:11" ht="12.75" customHeight="1">
      <c r="A217" s="1352" t="s">
        <v>291</v>
      </c>
      <c r="B217" s="1352"/>
      <c r="C217" s="1352" t="s">
        <v>292</v>
      </c>
      <c r="D217" s="1353">
        <v>99478</v>
      </c>
      <c r="E217" s="1353"/>
      <c r="F217" s="1353"/>
      <c r="G217" s="1351"/>
      <c r="H217" s="1351"/>
      <c r="I217" s="1351"/>
      <c r="J217" s="1351">
        <f t="shared" si="8"/>
        <v>99478</v>
      </c>
      <c r="K217" s="1351"/>
    </row>
    <row r="218" spans="1:11" ht="12.75" customHeight="1">
      <c r="A218" s="1352" t="s">
        <v>293</v>
      </c>
      <c r="B218" s="1352"/>
      <c r="C218" s="1352" t="s">
        <v>294</v>
      </c>
      <c r="D218" s="1353">
        <v>60410</v>
      </c>
      <c r="E218" s="1353"/>
      <c r="F218" s="1353"/>
      <c r="G218" s="1351"/>
      <c r="H218" s="1351"/>
      <c r="I218" s="1351"/>
      <c r="J218" s="1351">
        <f t="shared" si="8"/>
        <v>60410</v>
      </c>
      <c r="K218" s="1351"/>
    </row>
    <row r="219" spans="1:11" ht="12.75" customHeight="1">
      <c r="A219" s="1352" t="s">
        <v>295</v>
      </c>
      <c r="B219" s="1352"/>
      <c r="C219" s="1352" t="s">
        <v>296</v>
      </c>
      <c r="D219" s="1353">
        <v>60400</v>
      </c>
      <c r="E219" s="1353"/>
      <c r="F219" s="1353"/>
      <c r="G219" s="1351"/>
      <c r="H219" s="1351"/>
      <c r="I219" s="1351"/>
      <c r="J219" s="1351">
        <f t="shared" si="8"/>
        <v>60400</v>
      </c>
      <c r="K219" s="1351"/>
    </row>
    <row r="220" spans="1:11" ht="12.75" customHeight="1">
      <c r="A220" s="1352" t="s">
        <v>297</v>
      </c>
      <c r="B220" s="1352"/>
      <c r="C220" s="1352" t="s">
        <v>298</v>
      </c>
      <c r="D220" s="1353">
        <v>3377560</v>
      </c>
      <c r="E220" s="1353"/>
      <c r="F220" s="1353">
        <v>270263</v>
      </c>
      <c r="G220" s="1351"/>
      <c r="H220" s="1351"/>
      <c r="I220" s="1351">
        <f>'Adj entry 13'!C17</f>
        <v>0</v>
      </c>
      <c r="J220" s="1351">
        <f t="shared" si="8"/>
        <v>3647823</v>
      </c>
      <c r="K220" s="1351"/>
    </row>
    <row r="221" spans="1:11" ht="12.75" customHeight="1">
      <c r="A221" s="1352" t="s">
        <v>299</v>
      </c>
      <c r="B221" s="1352"/>
      <c r="C221" s="1352" t="s">
        <v>300</v>
      </c>
      <c r="D221" s="1353">
        <v>133673</v>
      </c>
      <c r="E221" s="1353"/>
      <c r="F221" s="1353"/>
      <c r="G221" s="1351"/>
      <c r="H221" s="1351"/>
      <c r="I221" s="1351"/>
      <c r="J221" s="1351">
        <f t="shared" si="8"/>
        <v>133673</v>
      </c>
      <c r="K221" s="1351"/>
    </row>
    <row r="222" spans="1:11" ht="12.75" customHeight="1">
      <c r="A222" s="1352" t="s">
        <v>301</v>
      </c>
      <c r="B222" s="1352"/>
      <c r="C222" s="1352" t="s">
        <v>302</v>
      </c>
      <c r="D222" s="1353">
        <v>172466</v>
      </c>
      <c r="E222" s="1353"/>
      <c r="F222" s="1353"/>
      <c r="G222" s="1351"/>
      <c r="H222" s="1351">
        <f>'Adj entry 13'!B38</f>
        <v>8700</v>
      </c>
      <c r="I222" s="1351"/>
      <c r="J222" s="1351">
        <f t="shared" si="8"/>
        <v>181166</v>
      </c>
      <c r="K222" s="1351"/>
    </row>
    <row r="223" spans="1:11" ht="12.75" customHeight="1">
      <c r="A223" s="1352" t="s">
        <v>303</v>
      </c>
      <c r="B223" s="1352"/>
      <c r="C223" s="1352" t="s">
        <v>304</v>
      </c>
      <c r="D223" s="1353">
        <v>25000</v>
      </c>
      <c r="E223" s="1353"/>
      <c r="F223" s="1353"/>
      <c r="G223" s="1351"/>
      <c r="H223" s="1351"/>
      <c r="I223" s="1351"/>
      <c r="J223" s="1351">
        <f t="shared" si="8"/>
        <v>25000</v>
      </c>
      <c r="K223" s="1351"/>
    </row>
    <row r="224" spans="1:11" ht="13.5" customHeight="1">
      <c r="C224" s="1282" t="s">
        <v>41</v>
      </c>
      <c r="D224" s="1354"/>
      <c r="E224" s="1354"/>
      <c r="F224" s="1354"/>
      <c r="G224" s="1351"/>
      <c r="H224" s="1351" t="e">
        <f>'Adj entry 13'!B4</f>
        <v>#REF!</v>
      </c>
      <c r="I224" s="1351"/>
      <c r="J224" s="1351" t="e">
        <f t="shared" si="8"/>
        <v>#REF!</v>
      </c>
      <c r="K224" s="1351"/>
    </row>
    <row r="225" spans="1:11" ht="11.25" customHeight="1">
      <c r="D225" s="1351"/>
      <c r="E225" s="1351"/>
      <c r="F225" s="1351"/>
      <c r="G225" s="1351"/>
      <c r="H225" s="1351"/>
      <c r="I225" s="1351"/>
      <c r="J225" s="1351"/>
      <c r="K225" s="1351"/>
    </row>
    <row r="226" spans="1:11" ht="12.75" customHeight="1">
      <c r="A226" s="1355" t="s">
        <v>305</v>
      </c>
      <c r="B226" s="1355"/>
      <c r="C226" s="1355"/>
      <c r="D226" s="1351"/>
      <c r="E226" s="1351"/>
      <c r="F226" s="1351"/>
      <c r="G226" s="1351"/>
      <c r="H226" s="1351"/>
      <c r="I226" s="1351"/>
      <c r="J226" s="1351"/>
      <c r="K226" s="1351"/>
    </row>
    <row r="227" spans="1:11" ht="12.75" customHeight="1">
      <c r="B227" s="1355" t="s">
        <v>305</v>
      </c>
      <c r="C227" s="1355"/>
      <c r="D227" s="1351"/>
      <c r="E227" s="1351"/>
      <c r="F227" s="1351"/>
      <c r="G227" s="1351"/>
      <c r="H227" s="1351"/>
      <c r="I227" s="1351"/>
      <c r="J227" s="1351"/>
      <c r="K227" s="1351"/>
    </row>
    <row r="228" spans="1:11" ht="12.75" customHeight="1">
      <c r="A228" s="1352" t="s">
        <v>306</v>
      </c>
      <c r="B228" s="1352"/>
      <c r="C228" s="1352" t="s">
        <v>307</v>
      </c>
      <c r="D228" s="1353">
        <v>287327</v>
      </c>
      <c r="E228" s="1353"/>
      <c r="F228" s="1353"/>
      <c r="G228" s="1351"/>
      <c r="H228" s="1351"/>
      <c r="I228" s="1351"/>
      <c r="J228" s="1351">
        <f>(D228+F228+H228)-(E228+G228+I228)</f>
        <v>287327</v>
      </c>
      <c r="K228" s="1351"/>
    </row>
    <row r="229" spans="1:11" ht="12.75" customHeight="1">
      <c r="A229" s="1352" t="s">
        <v>308</v>
      </c>
      <c r="B229" s="1352"/>
      <c r="C229" s="1352" t="s">
        <v>309</v>
      </c>
      <c r="D229" s="1353">
        <v>315420</v>
      </c>
      <c r="E229" s="1353"/>
      <c r="F229" s="1353"/>
      <c r="G229" s="1351"/>
      <c r="H229" s="1351"/>
      <c r="I229" s="1351"/>
      <c r="J229" s="1351">
        <f>(D229+F229+H229)-(E229+G229+I229)</f>
        <v>315420</v>
      </c>
      <c r="K229" s="1351"/>
    </row>
    <row r="230" spans="1:11" ht="12.75" customHeight="1">
      <c r="A230" s="1352" t="s">
        <v>25</v>
      </c>
      <c r="B230" s="1352"/>
      <c r="C230" s="1352" t="s">
        <v>310</v>
      </c>
      <c r="D230" s="1353"/>
      <c r="E230" s="1353"/>
      <c r="F230" s="1353">
        <v>8000</v>
      </c>
      <c r="G230" s="1351"/>
      <c r="H230" s="1351"/>
      <c r="I230" s="1351"/>
      <c r="J230" s="1351">
        <f>(D230+F230+H230)-(E230+G230+I230)</f>
        <v>8000</v>
      </c>
      <c r="K230" s="1351"/>
    </row>
    <row r="231" spans="1:11" ht="13.5" customHeight="1">
      <c r="D231" s="1354"/>
      <c r="E231" s="1354"/>
      <c r="F231" s="1354"/>
      <c r="G231" s="1351"/>
      <c r="H231" s="1351"/>
      <c r="I231" s="1351"/>
      <c r="J231" s="1351"/>
      <c r="K231" s="1351"/>
    </row>
    <row r="232" spans="1:11" ht="11.25" customHeight="1">
      <c r="D232" s="1351"/>
      <c r="E232" s="1351"/>
      <c r="F232" s="1351"/>
      <c r="G232" s="1351"/>
      <c r="H232" s="1351"/>
      <c r="I232" s="1351"/>
      <c r="J232" s="1351"/>
      <c r="K232" s="1351"/>
    </row>
    <row r="233" spans="1:11" ht="12.75" customHeight="1">
      <c r="A233" s="1355" t="s">
        <v>311</v>
      </c>
      <c r="B233" s="1355"/>
      <c r="C233" s="1355"/>
      <c r="D233" s="1351"/>
      <c r="E233" s="1351"/>
      <c r="F233" s="1351"/>
      <c r="G233" s="1351"/>
      <c r="H233" s="1351"/>
      <c r="I233" s="1351"/>
      <c r="J233" s="1351"/>
      <c r="K233" s="1351"/>
    </row>
    <row r="234" spans="1:11" ht="12.75" customHeight="1">
      <c r="B234" s="1355" t="s">
        <v>312</v>
      </c>
      <c r="C234" s="1355"/>
      <c r="D234" s="1351"/>
      <c r="E234" s="1351"/>
      <c r="F234" s="1351"/>
      <c r="G234" s="1351"/>
      <c r="H234" s="1351"/>
      <c r="I234" s="1351"/>
      <c r="J234" s="1351"/>
      <c r="K234" s="1351"/>
    </row>
    <row r="235" spans="1:11" ht="12.75" customHeight="1">
      <c r="A235" s="1352" t="s">
        <v>313</v>
      </c>
      <c r="B235" s="1352"/>
      <c r="C235" s="1352" t="s">
        <v>314</v>
      </c>
      <c r="D235" s="1353">
        <v>105802.33900000001</v>
      </c>
      <c r="E235" s="1353"/>
      <c r="F235" s="1353">
        <v>476.24</v>
      </c>
      <c r="G235" s="1351"/>
      <c r="H235" s="1351"/>
      <c r="I235" s="1351"/>
      <c r="J235" s="1351">
        <f>(D235+F235+H235)-(E235+G235+I235)</f>
        <v>106278.579</v>
      </c>
      <c r="K235" s="1351"/>
    </row>
    <row r="236" spans="1:11" ht="12.75" customHeight="1">
      <c r="A236" s="1352" t="s">
        <v>315</v>
      </c>
      <c r="B236" s="1352"/>
      <c r="C236" s="1352" t="s">
        <v>316</v>
      </c>
      <c r="D236" s="1353">
        <v>12628</v>
      </c>
      <c r="E236" s="1353"/>
      <c r="F236" s="1353"/>
      <c r="G236" s="1351"/>
      <c r="H236" s="1351"/>
      <c r="I236" s="1351"/>
      <c r="J236" s="1351">
        <f>(D236+F236+H236)-(E236+G236+I236)</f>
        <v>12628</v>
      </c>
      <c r="K236" s="1351"/>
    </row>
    <row r="237" spans="1:11" ht="11.25" customHeight="1">
      <c r="D237" s="1351"/>
      <c r="E237" s="1351"/>
      <c r="F237" s="1351"/>
      <c r="G237" s="1351"/>
      <c r="H237" s="1351"/>
      <c r="I237" s="1351"/>
      <c r="J237" s="1351"/>
      <c r="K237" s="1351"/>
    </row>
    <row r="238" spans="1:11" ht="12.75" customHeight="1">
      <c r="A238" s="1355" t="s">
        <v>317</v>
      </c>
      <c r="B238" s="1355"/>
      <c r="C238" s="1355"/>
      <c r="D238" s="1351"/>
      <c r="E238" s="1351"/>
      <c r="F238" s="1351"/>
      <c r="G238" s="1351"/>
      <c r="H238" s="1351"/>
      <c r="I238" s="1351"/>
      <c r="J238" s="1351"/>
      <c r="K238" s="1351"/>
    </row>
    <row r="239" spans="1:11" ht="12.75" customHeight="1">
      <c r="B239" s="1355" t="s">
        <v>318</v>
      </c>
      <c r="C239" s="1355"/>
      <c r="D239" s="1351"/>
      <c r="E239" s="1351"/>
      <c r="F239" s="1351"/>
      <c r="G239" s="1351"/>
      <c r="H239" s="1351"/>
      <c r="I239" s="1351"/>
      <c r="J239" s="1351"/>
      <c r="K239" s="1351"/>
    </row>
    <row r="240" spans="1:11" ht="12.75" customHeight="1">
      <c r="A240" s="1352" t="s">
        <v>319</v>
      </c>
      <c r="B240" s="1352"/>
      <c r="C240" s="1352" t="s">
        <v>320</v>
      </c>
      <c r="D240" s="1353">
        <v>7850</v>
      </c>
      <c r="E240" s="1353"/>
      <c r="F240" s="1353"/>
      <c r="G240" s="1351"/>
      <c r="H240" s="1351"/>
      <c r="I240" s="1351"/>
      <c r="J240" s="1351">
        <f>(D240+F240+H240)-(E240+G240+I240)</f>
        <v>7850</v>
      </c>
      <c r="K240" s="1351"/>
    </row>
    <row r="241" spans="1:11" ht="12.75" customHeight="1">
      <c r="A241" s="1352" t="s">
        <v>321</v>
      </c>
      <c r="B241" s="1352"/>
      <c r="C241" s="1352" t="s">
        <v>322</v>
      </c>
      <c r="D241" s="1353">
        <v>37135</v>
      </c>
      <c r="E241" s="1353"/>
      <c r="F241" s="1353"/>
      <c r="G241" s="1351"/>
      <c r="H241" s="1351"/>
      <c r="I241" s="1351"/>
      <c r="J241" s="1351">
        <f>(D241+F241+H241)-(E241+G241+I241)</f>
        <v>37135</v>
      </c>
      <c r="K241" s="1351"/>
    </row>
    <row r="242" spans="1:11" ht="13.5" customHeight="1">
      <c r="D242" s="1358"/>
      <c r="E242" s="1358"/>
      <c r="F242" s="1358"/>
    </row>
    <row r="243" spans="1:11" ht="11.25" customHeight="1"/>
    <row r="244" spans="1:11" ht="11.25" customHeight="1"/>
    <row r="245" spans="1:11" ht="6" customHeight="1"/>
    <row r="246" spans="1:11" ht="13.5" customHeight="1">
      <c r="D246" s="1359">
        <f>SUM(D13:D241)</f>
        <v>60447423.8015</v>
      </c>
      <c r="E246" s="1359">
        <f>SUM(E13:E241)</f>
        <v>49409828.037500001</v>
      </c>
      <c r="F246" s="1359">
        <f>SUM(F13:F241)</f>
        <v>3871654.79</v>
      </c>
      <c r="G246" s="1359">
        <f>SUM(G13:G241)</f>
        <v>14909250.539999999</v>
      </c>
      <c r="H246" s="1359" t="e">
        <f>SUM(H13:H241)+0.51</f>
        <v>#REF!</v>
      </c>
      <c r="I246" s="1359" t="e">
        <f>SUM(I13:I241)</f>
        <v>#REF!</v>
      </c>
      <c r="J246" s="1359" t="e">
        <f>SUM(J13:J241)</f>
        <v>#REF!</v>
      </c>
      <c r="K246" s="1359" t="e">
        <f>SUM(K13:K241)</f>
        <v>#REF!</v>
      </c>
    </row>
    <row r="247" spans="1:11" ht="12" customHeight="1"/>
    <row r="248" spans="1:11" ht="14.15" customHeight="1"/>
    <row r="249" spans="1:11" ht="12" customHeight="1">
      <c r="D249" s="1360">
        <f>D246+F246</f>
        <v>64319078.591499999</v>
      </c>
      <c r="E249" s="1360"/>
      <c r="F249" s="1360">
        <f>E246+G246</f>
        <v>64319078.577500001</v>
      </c>
      <c r="H249" s="1312" t="e">
        <f>H246-I246</f>
        <v>#REF!</v>
      </c>
      <c r="J249" s="1312" t="e">
        <f>J246-K246</f>
        <v>#REF!</v>
      </c>
    </row>
    <row r="250" spans="1:11" ht="12.75" customHeight="1">
      <c r="D250" s="1360"/>
      <c r="E250" s="1360"/>
      <c r="F250" s="1360"/>
    </row>
    <row r="251" spans="1:11" ht="13">
      <c r="A251" s="1357"/>
      <c r="B251" s="1357"/>
      <c r="C251" s="1357"/>
      <c r="D251" s="1360"/>
      <c r="E251" s="1360"/>
      <c r="F251" s="1360">
        <f>D249-F249</f>
        <v>1.40000060200691E-2</v>
      </c>
    </row>
    <row r="252" spans="1:11" ht="12.75" customHeight="1">
      <c r="A252" s="1355"/>
      <c r="B252" s="1355"/>
      <c r="C252" s="1355"/>
    </row>
    <row r="253" spans="1:11" ht="12.75" customHeight="1">
      <c r="B253" s="1355"/>
      <c r="C253" s="1355"/>
    </row>
    <row r="254" spans="1:11" ht="12.75" customHeight="1">
      <c r="A254" s="1352"/>
      <c r="B254" s="1352"/>
      <c r="C254" s="1352"/>
      <c r="D254" s="1361"/>
      <c r="E254" s="1361"/>
      <c r="F254" s="1361"/>
    </row>
    <row r="255" spans="1:11" ht="13.5" customHeight="1">
      <c r="D255" s="1358"/>
      <c r="E255" s="1358"/>
      <c r="F255" s="1358"/>
    </row>
    <row r="256" spans="1:11" ht="12.75" customHeight="1">
      <c r="B256" s="1355"/>
      <c r="C256" s="1355"/>
    </row>
    <row r="257" spans="1:6" ht="12.75" customHeight="1">
      <c r="A257" s="1352"/>
      <c r="B257" s="1352"/>
      <c r="C257" s="1352"/>
      <c r="D257" s="1361"/>
      <c r="E257" s="1361"/>
      <c r="F257" s="1361"/>
    </row>
    <row r="258" spans="1:6" ht="12.75" customHeight="1">
      <c r="A258" s="1352"/>
      <c r="B258" s="1352"/>
      <c r="C258" s="1352"/>
      <c r="D258" s="1361"/>
      <c r="E258" s="1361"/>
      <c r="F258" s="1361"/>
    </row>
    <row r="259" spans="1:6" ht="12.75" customHeight="1">
      <c r="A259" s="1352"/>
      <c r="B259" s="1352"/>
      <c r="C259" s="1352"/>
      <c r="D259" s="1361"/>
      <c r="E259" s="1361"/>
      <c r="F259" s="1361"/>
    </row>
    <row r="260" spans="1:6" ht="12.75" customHeight="1">
      <c r="A260" s="1352"/>
      <c r="B260" s="1352"/>
      <c r="C260" s="1352"/>
      <c r="D260" s="1361"/>
      <c r="E260" s="1361"/>
      <c r="F260" s="1361"/>
    </row>
    <row r="261" spans="1:6" ht="12.75" customHeight="1">
      <c r="A261" s="1352"/>
      <c r="B261" s="1352"/>
      <c r="C261" s="1352"/>
      <c r="D261" s="1361"/>
      <c r="E261" s="1361"/>
      <c r="F261" s="1361"/>
    </row>
    <row r="262" spans="1:6" ht="12.75" customHeight="1">
      <c r="A262" s="1352"/>
      <c r="B262" s="1352"/>
      <c r="C262" s="1352"/>
      <c r="D262" s="1361"/>
      <c r="E262" s="1361"/>
      <c r="F262" s="1361"/>
    </row>
    <row r="263" spans="1:6" ht="12.75" customHeight="1">
      <c r="A263" s="1352"/>
      <c r="B263" s="1352"/>
      <c r="C263" s="1352"/>
      <c r="D263" s="1361"/>
      <c r="E263" s="1361"/>
      <c r="F263" s="1361"/>
    </row>
    <row r="264" spans="1:6" ht="13.5" customHeight="1">
      <c r="D264" s="1358"/>
      <c r="E264" s="1358"/>
      <c r="F264" s="1358"/>
    </row>
    <row r="265" spans="1:6" ht="12.75" customHeight="1">
      <c r="B265" s="1355"/>
      <c r="C265" s="1355"/>
    </row>
    <row r="266" spans="1:6" ht="12.75" customHeight="1">
      <c r="A266" s="1352"/>
      <c r="B266" s="1352"/>
      <c r="C266" s="1352"/>
      <c r="D266" s="1361"/>
      <c r="E266" s="1361"/>
      <c r="F266" s="1361"/>
    </row>
    <row r="267" spans="1:6" ht="13.5" customHeight="1">
      <c r="D267" s="1358"/>
      <c r="E267" s="1358"/>
      <c r="F267" s="1358"/>
    </row>
    <row r="268" spans="1:6" ht="11.25" customHeight="1"/>
    <row r="269" spans="1:6" ht="12.75" customHeight="1">
      <c r="A269" s="1355"/>
      <c r="B269" s="1355"/>
      <c r="C269" s="1355"/>
    </row>
    <row r="270" spans="1:6" ht="12.75" customHeight="1">
      <c r="B270" s="1355"/>
      <c r="C270" s="1355"/>
    </row>
    <row r="271" spans="1:6" ht="12.75" customHeight="1">
      <c r="A271" s="1352"/>
      <c r="B271" s="1352"/>
      <c r="C271" s="1352"/>
      <c r="D271" s="1361"/>
      <c r="E271" s="1361"/>
      <c r="F271" s="1361"/>
    </row>
    <row r="272" spans="1:6" ht="13.5" customHeight="1">
      <c r="D272" s="1358"/>
      <c r="E272" s="1358"/>
      <c r="F272" s="1358"/>
    </row>
    <row r="273" spans="1:6" ht="12.75" customHeight="1">
      <c r="B273" s="1355"/>
      <c r="C273" s="1355"/>
    </row>
    <row r="274" spans="1:6" ht="12.75" customHeight="1">
      <c r="A274" s="1352"/>
      <c r="B274" s="1352"/>
      <c r="C274" s="1352"/>
      <c r="D274" s="1361"/>
      <c r="E274" s="1361"/>
      <c r="F274" s="1361"/>
    </row>
    <row r="275" spans="1:6" ht="13.5" customHeight="1">
      <c r="D275" s="1358"/>
      <c r="E275" s="1358"/>
      <c r="F275" s="1358"/>
    </row>
    <row r="276" spans="1:6" ht="12.75" customHeight="1">
      <c r="B276" s="1355"/>
      <c r="C276" s="1355"/>
    </row>
    <row r="277" spans="1:6" ht="12.75" customHeight="1">
      <c r="A277" s="1352"/>
      <c r="B277" s="1352"/>
      <c r="C277" s="1352"/>
      <c r="D277" s="1361"/>
      <c r="E277" s="1361"/>
      <c r="F277" s="1361"/>
    </row>
    <row r="278" spans="1:6" ht="13.5" customHeight="1">
      <c r="D278" s="1358"/>
      <c r="E278" s="1358"/>
      <c r="F278" s="1358"/>
    </row>
    <row r="279" spans="1:6" ht="12.75" customHeight="1">
      <c r="B279" s="1355"/>
      <c r="C279" s="1355"/>
    </row>
    <row r="280" spans="1:6" ht="12.75" customHeight="1">
      <c r="A280" s="1352"/>
      <c r="B280" s="1352"/>
      <c r="C280" s="1352"/>
      <c r="D280" s="1361"/>
      <c r="E280" s="1361"/>
      <c r="F280" s="1361"/>
    </row>
    <row r="281" spans="1:6" ht="13.5" customHeight="1">
      <c r="D281" s="1358"/>
      <c r="E281" s="1358"/>
      <c r="F281" s="1358"/>
    </row>
    <row r="282" spans="1:6" ht="11.25" customHeight="1"/>
    <row r="283" spans="1:6" ht="11.25" customHeight="1"/>
    <row r="284" spans="1:6" ht="12.75" customHeight="1">
      <c r="A284" s="1357"/>
      <c r="B284" s="1357"/>
      <c r="C284" s="1357"/>
    </row>
    <row r="285" spans="1:6" ht="12.75" customHeight="1">
      <c r="A285" s="1355"/>
      <c r="B285" s="1355"/>
      <c r="C285" s="1355"/>
    </row>
    <row r="286" spans="1:6" ht="12.75" customHeight="1">
      <c r="B286" s="1355"/>
      <c r="C286" s="1355"/>
    </row>
    <row r="287" spans="1:6" ht="12.75" customHeight="1">
      <c r="A287" s="1352"/>
      <c r="B287" s="1352"/>
      <c r="C287" s="1352"/>
      <c r="D287" s="1361"/>
      <c r="E287" s="1361"/>
      <c r="F287" s="1361"/>
    </row>
    <row r="288" spans="1:6" ht="12.75" customHeight="1">
      <c r="A288" s="1352"/>
      <c r="B288" s="1352"/>
      <c r="C288" s="1352"/>
      <c r="D288" s="1361"/>
      <c r="E288" s="1361"/>
      <c r="F288" s="1361"/>
    </row>
    <row r="289" spans="1:6" ht="13.5" customHeight="1">
      <c r="D289" s="1358"/>
      <c r="E289" s="1358"/>
      <c r="F289" s="1358"/>
    </row>
    <row r="290" spans="1:6" ht="12.75" customHeight="1">
      <c r="B290" s="1355"/>
      <c r="C290" s="1355"/>
    </row>
    <row r="291" spans="1:6" ht="12.75" customHeight="1">
      <c r="A291" s="1352"/>
      <c r="B291" s="1352"/>
      <c r="C291" s="1352"/>
      <c r="D291" s="1361"/>
      <c r="E291" s="1361"/>
      <c r="F291" s="1361"/>
    </row>
    <row r="292" spans="1:6" ht="12.75" customHeight="1">
      <c r="A292" s="1352"/>
      <c r="B292" s="1352"/>
      <c r="C292" s="1352"/>
      <c r="D292" s="1361"/>
      <c r="E292" s="1361"/>
      <c r="F292" s="1361"/>
    </row>
    <row r="293" spans="1:6" ht="13.5" customHeight="1">
      <c r="D293" s="1358"/>
      <c r="E293" s="1358"/>
      <c r="F293" s="1358"/>
    </row>
    <row r="294" spans="1:6" ht="12.75" customHeight="1">
      <c r="B294" s="1355"/>
      <c r="C294" s="1355"/>
    </row>
    <row r="295" spans="1:6" ht="12.75" customHeight="1">
      <c r="A295" s="1352"/>
      <c r="B295" s="1352"/>
      <c r="C295" s="1352"/>
      <c r="D295" s="1361"/>
      <c r="E295" s="1361"/>
      <c r="F295" s="1361"/>
    </row>
    <row r="296" spans="1:6" ht="12.75" customHeight="1">
      <c r="A296" s="1352"/>
      <c r="B296" s="1352"/>
      <c r="C296" s="1352"/>
      <c r="D296" s="1361"/>
      <c r="E296" s="1361"/>
      <c r="F296" s="1361"/>
    </row>
    <row r="297" spans="1:6" ht="12.75" customHeight="1">
      <c r="A297" s="1352"/>
      <c r="B297" s="1352"/>
      <c r="C297" s="1352"/>
      <c r="D297" s="1361"/>
      <c r="E297" s="1361"/>
      <c r="F297" s="1361"/>
    </row>
    <row r="298" spans="1:6" ht="12.75" customHeight="1">
      <c r="A298" s="1352"/>
      <c r="B298" s="1352"/>
      <c r="C298" s="1352"/>
      <c r="D298" s="1361"/>
      <c r="E298" s="1361"/>
      <c r="F298" s="1361"/>
    </row>
    <row r="299" spans="1:6" ht="13.5" customHeight="1">
      <c r="D299" s="1358"/>
      <c r="E299" s="1358"/>
      <c r="F299" s="1358"/>
    </row>
    <row r="300" spans="1:6" ht="11.25" customHeight="1"/>
    <row r="301" spans="1:6" ht="11.25" customHeight="1"/>
    <row r="302" spans="1:6" ht="12.75" customHeight="1">
      <c r="A302" s="1357"/>
      <c r="B302" s="1357"/>
      <c r="C302" s="1357"/>
    </row>
    <row r="303" spans="1:6" ht="13">
      <c r="A303" s="1355"/>
      <c r="B303" s="1355"/>
      <c r="C303" s="1355"/>
    </row>
    <row r="304" spans="1:6" ht="12.75" customHeight="1">
      <c r="B304" s="1355"/>
      <c r="C304" s="1355"/>
    </row>
    <row r="305" spans="1:6" ht="12.75" customHeight="1">
      <c r="A305" s="1352"/>
      <c r="B305" s="1352"/>
      <c r="C305" s="1352"/>
      <c r="D305" s="1361"/>
      <c r="E305" s="1361"/>
      <c r="F305" s="1361"/>
    </row>
    <row r="306" spans="1:6" ht="12.75" customHeight="1">
      <c r="A306" s="1352"/>
      <c r="B306" s="1352"/>
      <c r="C306" s="1352"/>
      <c r="D306" s="1361"/>
      <c r="E306" s="1361"/>
      <c r="F306" s="1361"/>
    </row>
    <row r="307" spans="1:6" ht="12.75" customHeight="1">
      <c r="A307" s="1352"/>
      <c r="B307" s="1352"/>
      <c r="C307" s="1352"/>
      <c r="D307" s="1361"/>
      <c r="E307" s="1361"/>
      <c r="F307" s="1361"/>
    </row>
    <row r="308" spans="1:6" ht="13.5" customHeight="1">
      <c r="D308" s="1358"/>
      <c r="E308" s="1358"/>
      <c r="F308" s="1358"/>
    </row>
    <row r="309" spans="1:6" ht="11.25" customHeight="1"/>
    <row r="310" spans="1:6" ht="11.25" customHeight="1"/>
    <row r="311" spans="1:6" ht="13">
      <c r="A311" s="1357"/>
      <c r="B311" s="1357"/>
      <c r="C311" s="1357"/>
    </row>
    <row r="312" spans="1:6" ht="12.75" customHeight="1">
      <c r="A312" s="1355"/>
      <c r="B312" s="1355"/>
      <c r="C312" s="1355"/>
    </row>
    <row r="313" spans="1:6" ht="12.75" customHeight="1">
      <c r="B313" s="1355"/>
      <c r="C313" s="1355"/>
    </row>
    <row r="314" spans="1:6" ht="12.75" customHeight="1">
      <c r="A314" s="1352"/>
      <c r="B314" s="1352"/>
      <c r="C314" s="1352"/>
      <c r="D314" s="1361"/>
      <c r="E314" s="1361"/>
      <c r="F314" s="1361"/>
    </row>
    <row r="315" spans="1:6" ht="13.5" customHeight="1">
      <c r="D315" s="1358"/>
      <c r="E315" s="1358"/>
      <c r="F315" s="1358"/>
    </row>
    <row r="316" spans="1:6" ht="11.25" customHeight="1"/>
    <row r="317" spans="1:6" ht="11.25" customHeight="1"/>
    <row r="318" spans="1:6" ht="12.75" customHeight="1">
      <c r="A318" s="1357"/>
      <c r="B318" s="1357"/>
      <c r="C318" s="1357"/>
    </row>
    <row r="319" spans="1:6" ht="12.75" customHeight="1">
      <c r="A319" s="1355"/>
      <c r="B319" s="1355"/>
      <c r="C319" s="1355"/>
    </row>
    <row r="320" spans="1:6" ht="12.75" customHeight="1">
      <c r="B320" s="1355"/>
      <c r="C320" s="1355"/>
    </row>
    <row r="321" spans="1:6" ht="12.75" customHeight="1">
      <c r="A321" s="1352"/>
      <c r="B321" s="1352"/>
      <c r="C321" s="1352"/>
      <c r="D321" s="1361"/>
      <c r="E321" s="1361"/>
      <c r="F321" s="1361"/>
    </row>
    <row r="322" spans="1:6" ht="12.75" customHeight="1">
      <c r="A322" s="1352"/>
      <c r="B322" s="1352"/>
      <c r="C322" s="1352"/>
      <c r="D322" s="1361"/>
      <c r="E322" s="1361"/>
      <c r="F322" s="1361"/>
    </row>
    <row r="323" spans="1:6" ht="12.75" customHeight="1">
      <c r="A323" s="1352"/>
      <c r="B323" s="1352"/>
      <c r="C323" s="1352"/>
      <c r="D323" s="1361"/>
      <c r="E323" s="1361"/>
      <c r="F323" s="1361"/>
    </row>
    <row r="324" spans="1:6" ht="12.75" customHeight="1">
      <c r="A324" s="1352"/>
      <c r="B324" s="1352"/>
      <c r="C324" s="1352"/>
      <c r="D324" s="1361"/>
      <c r="E324" s="1361"/>
      <c r="F324" s="1361"/>
    </row>
    <row r="325" spans="1:6" ht="12.75" customHeight="1">
      <c r="A325" s="1352"/>
      <c r="B325" s="1352"/>
      <c r="C325" s="1352"/>
      <c r="D325" s="1361"/>
      <c r="E325" s="1361"/>
      <c r="F325" s="1361"/>
    </row>
    <row r="326" spans="1:6" ht="12.75" customHeight="1">
      <c r="A326" s="1352"/>
      <c r="B326" s="1352"/>
      <c r="C326" s="1352"/>
      <c r="D326" s="1361"/>
      <c r="E326" s="1361"/>
      <c r="F326" s="1361"/>
    </row>
    <row r="327" spans="1:6" ht="13.5" customHeight="1">
      <c r="D327" s="1358"/>
      <c r="E327" s="1358"/>
      <c r="F327" s="1358"/>
    </row>
    <row r="328" spans="1:6" ht="11.25" customHeight="1"/>
    <row r="329" spans="1:6" ht="12.75" customHeight="1">
      <c r="A329" s="1355"/>
      <c r="B329" s="1355"/>
      <c r="C329" s="1355"/>
    </row>
    <row r="330" spans="1:6" ht="12.75" customHeight="1">
      <c r="B330" s="1355"/>
      <c r="C330" s="1355"/>
    </row>
    <row r="331" spans="1:6" ht="12.75" customHeight="1">
      <c r="A331" s="1352"/>
      <c r="B331" s="1352"/>
      <c r="C331" s="1352"/>
      <c r="D331" s="1361"/>
      <c r="E331" s="1361"/>
      <c r="F331" s="1361"/>
    </row>
    <row r="332" spans="1:6" ht="13.5" customHeight="1">
      <c r="D332" s="1358"/>
      <c r="E332" s="1358"/>
      <c r="F332" s="1358"/>
    </row>
    <row r="333" spans="1:6" ht="11.25" customHeight="1"/>
    <row r="334" spans="1:6" ht="12.75" customHeight="1">
      <c r="A334" s="1355"/>
      <c r="B334" s="1355"/>
      <c r="C334" s="1355"/>
    </row>
    <row r="335" spans="1:6" ht="12.75" customHeight="1">
      <c r="B335" s="1355"/>
      <c r="C335" s="1355"/>
    </row>
    <row r="336" spans="1:6" ht="12.75" customHeight="1">
      <c r="A336" s="1352"/>
      <c r="B336" s="1352"/>
      <c r="C336" s="1352"/>
      <c r="D336" s="1361"/>
      <c r="E336" s="1361"/>
      <c r="F336" s="1361"/>
    </row>
    <row r="337" spans="4:8" ht="13.5" customHeight="1">
      <c r="D337" s="1358"/>
      <c r="E337" s="1358"/>
      <c r="F337" s="1358"/>
    </row>
    <row r="338" spans="4:8" ht="11.25" customHeight="1"/>
    <row r="339" spans="4:8" ht="11.25" customHeight="1"/>
    <row r="340" spans="4:8" ht="6" customHeight="1"/>
    <row r="341" spans="4:8" ht="13.5" customHeight="1">
      <c r="D341" s="1358"/>
      <c r="E341" s="1362"/>
      <c r="F341" s="1362"/>
      <c r="G341" s="1362"/>
      <c r="H341" s="1362"/>
    </row>
  </sheetData>
  <mergeCells count="18">
    <mergeCell ref="A2:I2"/>
    <mergeCell ref="A4:I4"/>
    <mergeCell ref="D6:E6"/>
    <mergeCell ref="F6:G6"/>
    <mergeCell ref="H6:I6"/>
    <mergeCell ref="J6:K6"/>
    <mergeCell ref="A10:C10"/>
    <mergeCell ref="A11:C11"/>
    <mergeCell ref="B12:C12"/>
    <mergeCell ref="D7:D9"/>
    <mergeCell ref="E7:E9"/>
    <mergeCell ref="F7:F9"/>
    <mergeCell ref="G7:G9"/>
    <mergeCell ref="H7:H9"/>
    <mergeCell ref="I7:I9"/>
    <mergeCell ref="J7:J9"/>
    <mergeCell ref="K7:K9"/>
    <mergeCell ref="A7:C9"/>
  </mergeCells>
  <pageMargins left="0.15972222222222199" right="0.233333333333333" top="0.15972222222222199" bottom="0.16041666666666701" header="0" footer="0"/>
  <pageSetup paperSize="9" scale="77" fitToHeight="0" orientation="landscape"/>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92D050"/>
    <pageSetUpPr fitToPage="1"/>
  </sheetPr>
  <dimension ref="A1:G40"/>
  <sheetViews>
    <sheetView view="pageBreakPreview" topLeftCell="A28" zoomScale="110" zoomScaleNormal="100" workbookViewId="0">
      <selection activeCell="B28" sqref="B28"/>
    </sheetView>
  </sheetViews>
  <sheetFormatPr defaultColWidth="8.81640625" defaultRowHeight="14.5"/>
  <cols>
    <col min="1" max="1" width="38.54296875" customWidth="1"/>
    <col min="2" max="3" width="13.54296875" style="181" customWidth="1"/>
    <col min="4" max="5" width="13.54296875" customWidth="1"/>
  </cols>
  <sheetData>
    <row r="1" spans="1:7" s="1336" customFormat="1" ht="18.5">
      <c r="A1" s="1389" t="s">
        <v>323</v>
      </c>
      <c r="B1" s="1389"/>
      <c r="C1" s="1389"/>
      <c r="D1" s="1389"/>
      <c r="E1" s="1389"/>
    </row>
    <row r="2" spans="1:7" s="1336" customFormat="1" ht="18.5">
      <c r="A2" s="1390" t="s">
        <v>324</v>
      </c>
      <c r="B2" s="1390"/>
      <c r="C2" s="1390"/>
      <c r="D2" s="1390"/>
      <c r="E2" s="1390"/>
      <c r="G2" s="1337"/>
    </row>
    <row r="3" spans="1:7" ht="18" customHeight="1">
      <c r="A3" s="1338" t="s">
        <v>325</v>
      </c>
      <c r="B3" s="1339" t="s">
        <v>7</v>
      </c>
      <c r="C3" s="1339" t="s">
        <v>8</v>
      </c>
      <c r="D3" s="1338" t="s">
        <v>326</v>
      </c>
      <c r="E3" s="1338" t="s">
        <v>327</v>
      </c>
    </row>
    <row r="4" spans="1:7" ht="18" customHeight="1">
      <c r="A4" s="1340" t="s">
        <v>328</v>
      </c>
      <c r="B4" s="1341" t="e">
        <f>'C.tax computation'!K34</f>
        <v>#REF!</v>
      </c>
      <c r="C4" s="1341"/>
      <c r="D4" s="1342"/>
      <c r="E4" s="1342" t="s">
        <v>329</v>
      </c>
    </row>
    <row r="5" spans="1:7" ht="18" customHeight="1">
      <c r="A5" s="1343" t="s">
        <v>330</v>
      </c>
      <c r="B5" s="1344"/>
      <c r="C5" s="1344" t="e">
        <f>B4</f>
        <v>#REF!</v>
      </c>
      <c r="D5" s="1345"/>
      <c r="E5" s="1342" t="s">
        <v>329</v>
      </c>
    </row>
    <row r="6" spans="1:7" ht="18" customHeight="1">
      <c r="A6" s="1346"/>
      <c r="B6" s="511" t="e">
        <f>SUM(B4:B5)</f>
        <v>#REF!</v>
      </c>
      <c r="C6" s="511" t="e">
        <f>SUM(C4:C5)</f>
        <v>#REF!</v>
      </c>
      <c r="D6" s="1347" t="s">
        <v>331</v>
      </c>
      <c r="E6" s="1347"/>
    </row>
    <row r="7" spans="1:7" ht="18" customHeight="1">
      <c r="A7" s="1340" t="s">
        <v>332</v>
      </c>
      <c r="B7" s="1341">
        <v>417</v>
      </c>
      <c r="C7" s="1341"/>
      <c r="D7" s="1342"/>
      <c r="E7" s="1342" t="s">
        <v>329</v>
      </c>
    </row>
    <row r="8" spans="1:7" ht="18" customHeight="1">
      <c r="A8" s="1343" t="s">
        <v>333</v>
      </c>
      <c r="B8" s="1344"/>
      <c r="C8" s="1344">
        <f>B7</f>
        <v>417</v>
      </c>
      <c r="D8" s="1345"/>
      <c r="E8" s="1342" t="s">
        <v>329</v>
      </c>
    </row>
    <row r="9" spans="1:7" ht="18" customHeight="1">
      <c r="A9" s="1346"/>
      <c r="B9" s="511">
        <f>SUM(B7:B8)</f>
        <v>417</v>
      </c>
      <c r="C9" s="511">
        <f>SUM(C7:C8)</f>
        <v>417</v>
      </c>
      <c r="D9" s="1347" t="s">
        <v>331</v>
      </c>
      <c r="E9" s="1347"/>
    </row>
    <row r="10" spans="1:7" ht="18" customHeight="1">
      <c r="A10" s="1340" t="s">
        <v>334</v>
      </c>
      <c r="B10" s="1341" t="e">
        <f>'Def tax'!H64</f>
        <v>#REF!</v>
      </c>
      <c r="C10" s="1341"/>
      <c r="D10" s="1342"/>
      <c r="E10" s="1342" t="s">
        <v>329</v>
      </c>
    </row>
    <row r="11" spans="1:7" ht="18" customHeight="1">
      <c r="A11" s="1343" t="s">
        <v>335</v>
      </c>
      <c r="B11" s="1344"/>
      <c r="C11" s="1344" t="e">
        <f>B10</f>
        <v>#REF!</v>
      </c>
      <c r="D11" s="1345"/>
      <c r="E11" s="1342" t="s">
        <v>329</v>
      </c>
    </row>
    <row r="12" spans="1:7" ht="18" customHeight="1">
      <c r="A12" s="1346"/>
      <c r="B12" s="511" t="e">
        <f>SUM(B10:B11)</f>
        <v>#REF!</v>
      </c>
      <c r="C12" s="511" t="e">
        <f>SUM(C10:C11)</f>
        <v>#REF!</v>
      </c>
      <c r="D12" s="1347" t="s">
        <v>331</v>
      </c>
      <c r="E12" s="1347"/>
    </row>
    <row r="13" spans="1:7" ht="18" customHeight="1">
      <c r="A13" s="1340" t="s">
        <v>336</v>
      </c>
      <c r="B13" s="1341">
        <v>9429494</v>
      </c>
      <c r="C13" s="1341"/>
      <c r="D13" s="1342"/>
      <c r="E13" s="1342" t="s">
        <v>337</v>
      </c>
    </row>
    <row r="14" spans="1:7" ht="18" customHeight="1">
      <c r="A14" s="1343" t="s">
        <v>338</v>
      </c>
      <c r="B14" s="1344"/>
      <c r="C14" s="1344">
        <f>B13</f>
        <v>9429494</v>
      </c>
      <c r="D14" s="1345"/>
      <c r="E14" s="1345" t="s">
        <v>337</v>
      </c>
    </row>
    <row r="15" spans="1:7" ht="18" customHeight="1">
      <c r="A15" s="1346"/>
      <c r="B15" s="511">
        <f>SUM(B13:B14)</f>
        <v>9429494</v>
      </c>
      <c r="C15" s="511">
        <f>SUM(C13:C14)</f>
        <v>9429494</v>
      </c>
      <c r="D15" s="1347" t="s">
        <v>331</v>
      </c>
      <c r="E15" s="1350"/>
    </row>
    <row r="16" spans="1:7" ht="18" customHeight="1">
      <c r="A16" s="1340" t="s">
        <v>339</v>
      </c>
      <c r="B16" s="1341">
        <v>0</v>
      </c>
      <c r="C16" s="1341"/>
      <c r="D16" s="1342"/>
      <c r="E16" s="1342" t="s">
        <v>337</v>
      </c>
    </row>
    <row r="17" spans="1:7" ht="18" customHeight="1">
      <c r="A17" s="1343" t="s">
        <v>340</v>
      </c>
      <c r="B17" s="1344"/>
      <c r="C17" s="1344">
        <f>B16</f>
        <v>0</v>
      </c>
      <c r="D17" s="1345"/>
      <c r="E17" s="1342" t="s">
        <v>337</v>
      </c>
    </row>
    <row r="18" spans="1:7" ht="18" customHeight="1">
      <c r="A18" s="1346"/>
      <c r="B18" s="511">
        <f>SUM(B16:B17)</f>
        <v>0</v>
      </c>
      <c r="C18" s="511">
        <f>SUM(C16:C17)</f>
        <v>0</v>
      </c>
      <c r="D18" s="1347" t="s">
        <v>331</v>
      </c>
      <c r="E18" s="1350"/>
    </row>
    <row r="19" spans="1:7" ht="18" customHeight="1">
      <c r="A19" s="1340" t="s">
        <v>341</v>
      </c>
      <c r="B19" s="1341">
        <v>11058</v>
      </c>
      <c r="C19" s="1341"/>
      <c r="D19" s="1342"/>
      <c r="E19" s="1342" t="s">
        <v>337</v>
      </c>
    </row>
    <row r="20" spans="1:7" ht="18" customHeight="1">
      <c r="A20" s="1343" t="s">
        <v>342</v>
      </c>
      <c r="B20" s="1344"/>
      <c r="C20" s="1344">
        <f>B19</f>
        <v>11058</v>
      </c>
      <c r="D20" s="1345"/>
      <c r="E20" s="1342" t="s">
        <v>337</v>
      </c>
    </row>
    <row r="21" spans="1:7" ht="18" customHeight="1">
      <c r="A21" s="1346"/>
      <c r="B21" s="511">
        <f>SUM(B19:B20)</f>
        <v>11058</v>
      </c>
      <c r="C21" s="511">
        <f>SUM(C19:C20)</f>
        <v>11058</v>
      </c>
      <c r="D21" s="1347" t="s">
        <v>331</v>
      </c>
      <c r="E21" s="1350"/>
    </row>
    <row r="22" spans="1:7" ht="18" customHeight="1">
      <c r="A22" s="1340" t="s">
        <v>343</v>
      </c>
      <c r="B22" s="1348">
        <v>22144</v>
      </c>
      <c r="C22" s="1348"/>
      <c r="D22" s="1342"/>
      <c r="E22" s="1342" t="s">
        <v>337</v>
      </c>
      <c r="F22">
        <v>22144</v>
      </c>
    </row>
    <row r="23" spans="1:7" ht="18" customHeight="1">
      <c r="A23" s="1343" t="s">
        <v>344</v>
      </c>
      <c r="B23" s="512">
        <v>69398</v>
      </c>
      <c r="C23" s="512"/>
      <c r="D23" s="1345"/>
      <c r="E23" s="1342" t="s">
        <v>329</v>
      </c>
      <c r="F23">
        <v>69398</v>
      </c>
    </row>
    <row r="24" spans="1:7" ht="18" customHeight="1">
      <c r="A24" s="1343" t="s">
        <v>345</v>
      </c>
      <c r="B24" s="512"/>
      <c r="C24" s="512">
        <v>91542</v>
      </c>
      <c r="D24" s="1345"/>
      <c r="E24" s="1342" t="s">
        <v>337</v>
      </c>
      <c r="G24">
        <v>91542</v>
      </c>
    </row>
    <row r="25" spans="1:7" ht="18" customHeight="1">
      <c r="A25" s="1346"/>
      <c r="B25" s="511">
        <f>SUM(B22:B24)</f>
        <v>91542</v>
      </c>
      <c r="C25" s="511">
        <f>SUM(C22:C24)</f>
        <v>91542</v>
      </c>
      <c r="D25" s="1347" t="s">
        <v>331</v>
      </c>
      <c r="E25" s="1350"/>
    </row>
    <row r="26" spans="1:7" ht="18" customHeight="1">
      <c r="A26" s="1340" t="s">
        <v>346</v>
      </c>
      <c r="B26" s="1341">
        <v>150</v>
      </c>
      <c r="C26" s="1341"/>
      <c r="D26" s="1342"/>
      <c r="E26" s="1342" t="s">
        <v>329</v>
      </c>
    </row>
    <row r="27" spans="1:7" ht="18" customHeight="1">
      <c r="A27" s="1340" t="s">
        <v>347</v>
      </c>
      <c r="B27" s="1344"/>
      <c r="C27" s="1344">
        <v>150</v>
      </c>
      <c r="D27" s="1345"/>
      <c r="E27" s="1342" t="s">
        <v>329</v>
      </c>
    </row>
    <row r="28" spans="1:7" ht="18" customHeight="1">
      <c r="A28" s="1346"/>
      <c r="B28" s="511">
        <f>SUM(B26:B27)</f>
        <v>150</v>
      </c>
      <c r="C28" s="511">
        <f>SUM(C26:C27)</f>
        <v>150</v>
      </c>
      <c r="D28" s="1347" t="s">
        <v>331</v>
      </c>
      <c r="E28" s="1350"/>
    </row>
    <row r="29" spans="1:7" ht="18" customHeight="1">
      <c r="A29" s="1340" t="s">
        <v>348</v>
      </c>
      <c r="B29" s="1341">
        <v>5992</v>
      </c>
      <c r="C29" s="1341"/>
      <c r="D29" s="1342"/>
      <c r="E29" s="1342" t="s">
        <v>329</v>
      </c>
    </row>
    <row r="30" spans="1:7" ht="18" customHeight="1">
      <c r="A30" s="1343" t="s">
        <v>349</v>
      </c>
      <c r="B30" s="1344"/>
      <c r="C30" s="1344">
        <v>5992</v>
      </c>
      <c r="D30" s="1345"/>
      <c r="E30" s="1342" t="s">
        <v>329</v>
      </c>
    </row>
    <row r="31" spans="1:7" ht="18" customHeight="1">
      <c r="A31" s="1346"/>
      <c r="B31" s="511">
        <f>SUM(B29:B30)</f>
        <v>5992</v>
      </c>
      <c r="C31" s="511">
        <f>SUM(C29:C30)</f>
        <v>5992</v>
      </c>
      <c r="D31" s="1347" t="s">
        <v>331</v>
      </c>
      <c r="E31" s="1350"/>
    </row>
    <row r="32" spans="1:7" ht="18" customHeight="1">
      <c r="A32" s="1340" t="s">
        <v>350</v>
      </c>
      <c r="B32" s="1341">
        <v>1001</v>
      </c>
      <c r="C32" s="1341"/>
      <c r="D32" s="1342"/>
      <c r="E32" s="1342" t="s">
        <v>337</v>
      </c>
    </row>
    <row r="33" spans="1:5" ht="18" customHeight="1">
      <c r="A33" s="1343" t="s">
        <v>351</v>
      </c>
      <c r="B33" s="1344"/>
      <c r="C33" s="1344">
        <v>1001</v>
      </c>
      <c r="D33" s="1345"/>
      <c r="E33" s="1342" t="s">
        <v>337</v>
      </c>
    </row>
    <row r="34" spans="1:5" ht="18" customHeight="1">
      <c r="A34" s="1346"/>
      <c r="B34" s="511">
        <f>SUM(B32:B33)</f>
        <v>1001</v>
      </c>
      <c r="C34" s="511">
        <f>SUM(C32:C33)</f>
        <v>1001</v>
      </c>
      <c r="D34" s="1347" t="s">
        <v>331</v>
      </c>
      <c r="E34" s="1350"/>
    </row>
    <row r="35" spans="1:5" ht="18" customHeight="1">
      <c r="A35" s="1340" t="s">
        <v>350</v>
      </c>
      <c r="B35" s="1341">
        <v>10576</v>
      </c>
      <c r="C35" s="1341"/>
      <c r="D35" s="1342"/>
      <c r="E35" s="1342" t="s">
        <v>337</v>
      </c>
    </row>
    <row r="36" spans="1:5" ht="18" customHeight="1">
      <c r="A36" s="1343" t="s">
        <v>352</v>
      </c>
      <c r="B36" s="1344"/>
      <c r="C36" s="1344">
        <v>10576</v>
      </c>
      <c r="D36" s="1345"/>
      <c r="E36" s="1342" t="s">
        <v>337</v>
      </c>
    </row>
    <row r="37" spans="1:5" ht="18" customHeight="1">
      <c r="A37" s="1346"/>
      <c r="B37" s="511">
        <f>SUM(B35:B36)</f>
        <v>10576</v>
      </c>
      <c r="C37" s="511">
        <f>SUM(C35:C36)</f>
        <v>10576</v>
      </c>
      <c r="D37" s="1347" t="s">
        <v>331</v>
      </c>
      <c r="E37" s="1350"/>
    </row>
    <row r="38" spans="1:5">
      <c r="A38" s="1340" t="s">
        <v>353</v>
      </c>
      <c r="B38" s="1341">
        <v>8700</v>
      </c>
      <c r="C38" s="1341"/>
      <c r="D38" s="1342"/>
      <c r="E38" s="1342" t="s">
        <v>337</v>
      </c>
    </row>
    <row r="39" spans="1:5">
      <c r="A39" s="1343" t="s">
        <v>352</v>
      </c>
      <c r="B39" s="1344"/>
      <c r="C39" s="1344">
        <v>8700</v>
      </c>
      <c r="D39" s="1345"/>
      <c r="E39" s="1342" t="s">
        <v>337</v>
      </c>
    </row>
    <row r="40" spans="1:5">
      <c r="A40" s="1346"/>
      <c r="B40" s="511">
        <f>SUM(B38:B39)</f>
        <v>8700</v>
      </c>
      <c r="C40" s="511">
        <f>SUM(C38:C39)</f>
        <v>8700</v>
      </c>
      <c r="D40" s="1349" t="s">
        <v>331</v>
      </c>
      <c r="E40" s="1350"/>
    </row>
  </sheetData>
  <mergeCells count="2">
    <mergeCell ref="A1:E1"/>
    <mergeCell ref="A2:E2"/>
  </mergeCells>
  <pageMargins left="0.7" right="0.7" top="0.75" bottom="0.75" header="0.3" footer="0.3"/>
  <pageSetup scale="97"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417"/>
  <sheetViews>
    <sheetView showGridLines="0" showOutlineSymbols="0" view="pageBreakPreview" topLeftCell="A204" zoomScaleNormal="100" workbookViewId="0">
      <selection activeCell="J214" sqref="J214"/>
    </sheetView>
  </sheetViews>
  <sheetFormatPr defaultColWidth="6.81640625" defaultRowHeight="12.75" customHeight="1"/>
  <cols>
    <col min="1" max="1" width="15.81640625" style="1282" customWidth="1"/>
    <col min="2" max="2" width="45.453125" style="1282" customWidth="1"/>
    <col min="3" max="4" width="15" style="1282" customWidth="1"/>
    <col min="5" max="5" width="13.54296875" style="1282" customWidth="1"/>
    <col min="6" max="6" width="15" style="1282" customWidth="1"/>
    <col min="7" max="7" width="14.453125" style="1282" customWidth="1"/>
    <col min="8" max="8" width="13" style="1282" customWidth="1"/>
    <col min="9" max="10" width="15.1796875" style="1282" customWidth="1"/>
    <col min="11" max="13" width="11.453125" style="1282" customWidth="1"/>
    <col min="14" max="14" width="8.54296875" style="1282" customWidth="1"/>
    <col min="15" max="15" width="16.54296875" style="1282" customWidth="1"/>
    <col min="16" max="16" width="8" style="1282" customWidth="1"/>
    <col min="17" max="17" width="11.453125" style="1282" customWidth="1"/>
    <col min="18" max="256" width="6.81640625" style="1282"/>
    <col min="257" max="257" width="11.453125" style="1282" customWidth="1"/>
    <col min="258" max="258" width="44.1796875" style="1282" customWidth="1"/>
    <col min="259" max="266" width="13" style="1282" customWidth="1"/>
    <col min="267" max="512" width="6.81640625" style="1282"/>
    <col min="513" max="513" width="11.453125" style="1282" customWidth="1"/>
    <col min="514" max="514" width="44.1796875" style="1282" customWidth="1"/>
    <col min="515" max="522" width="13" style="1282" customWidth="1"/>
    <col min="523" max="768" width="6.81640625" style="1282"/>
    <col min="769" max="769" width="11.453125" style="1282" customWidth="1"/>
    <col min="770" max="770" width="44.1796875" style="1282" customWidth="1"/>
    <col min="771" max="778" width="13" style="1282" customWidth="1"/>
    <col min="779" max="1024" width="6.81640625" style="1282"/>
    <col min="1025" max="1025" width="11.453125" style="1282" customWidth="1"/>
    <col min="1026" max="1026" width="44.1796875" style="1282" customWidth="1"/>
    <col min="1027" max="1034" width="13" style="1282" customWidth="1"/>
    <col min="1035" max="1280" width="6.81640625" style="1282"/>
    <col min="1281" max="1281" width="11.453125" style="1282" customWidth="1"/>
    <col min="1282" max="1282" width="44.1796875" style="1282" customWidth="1"/>
    <col min="1283" max="1290" width="13" style="1282" customWidth="1"/>
    <col min="1291" max="1536" width="6.81640625" style="1282"/>
    <col min="1537" max="1537" width="11.453125" style="1282" customWidth="1"/>
    <col min="1538" max="1538" width="44.1796875" style="1282" customWidth="1"/>
    <col min="1539" max="1546" width="13" style="1282" customWidth="1"/>
    <col min="1547" max="1792" width="6.81640625" style="1282"/>
    <col min="1793" max="1793" width="11.453125" style="1282" customWidth="1"/>
    <col min="1794" max="1794" width="44.1796875" style="1282" customWidth="1"/>
    <col min="1795" max="1802" width="13" style="1282" customWidth="1"/>
    <col min="1803" max="2048" width="6.81640625" style="1282"/>
    <col min="2049" max="2049" width="11.453125" style="1282" customWidth="1"/>
    <col min="2050" max="2050" width="44.1796875" style="1282" customWidth="1"/>
    <col min="2051" max="2058" width="13" style="1282" customWidth="1"/>
    <col min="2059" max="2304" width="6.81640625" style="1282"/>
    <col min="2305" max="2305" width="11.453125" style="1282" customWidth="1"/>
    <col min="2306" max="2306" width="44.1796875" style="1282" customWidth="1"/>
    <col min="2307" max="2314" width="13" style="1282" customWidth="1"/>
    <col min="2315" max="2560" width="6.81640625" style="1282"/>
    <col min="2561" max="2561" width="11.453125" style="1282" customWidth="1"/>
    <col min="2562" max="2562" width="44.1796875" style="1282" customWidth="1"/>
    <col min="2563" max="2570" width="13" style="1282" customWidth="1"/>
    <col min="2571" max="2816" width="6.81640625" style="1282"/>
    <col min="2817" max="2817" width="11.453125" style="1282" customWidth="1"/>
    <col min="2818" max="2818" width="44.1796875" style="1282" customWidth="1"/>
    <col min="2819" max="2826" width="13" style="1282" customWidth="1"/>
    <col min="2827" max="3072" width="6.81640625" style="1282"/>
    <col min="3073" max="3073" width="11.453125" style="1282" customWidth="1"/>
    <col min="3074" max="3074" width="44.1796875" style="1282" customWidth="1"/>
    <col min="3075" max="3082" width="13" style="1282" customWidth="1"/>
    <col min="3083" max="3328" width="6.81640625" style="1282"/>
    <col min="3329" max="3329" width="11.453125" style="1282" customWidth="1"/>
    <col min="3330" max="3330" width="44.1796875" style="1282" customWidth="1"/>
    <col min="3331" max="3338" width="13" style="1282" customWidth="1"/>
    <col min="3339" max="3584" width="6.81640625" style="1282"/>
    <col min="3585" max="3585" width="11.453125" style="1282" customWidth="1"/>
    <col min="3586" max="3586" width="44.1796875" style="1282" customWidth="1"/>
    <col min="3587" max="3594" width="13" style="1282" customWidth="1"/>
    <col min="3595" max="3840" width="6.81640625" style="1282"/>
    <col min="3841" max="3841" width="11.453125" style="1282" customWidth="1"/>
    <col min="3842" max="3842" width="44.1796875" style="1282" customWidth="1"/>
    <col min="3843" max="3850" width="13" style="1282" customWidth="1"/>
    <col min="3851" max="4096" width="6.81640625" style="1282"/>
    <col min="4097" max="4097" width="11.453125" style="1282" customWidth="1"/>
    <col min="4098" max="4098" width="44.1796875" style="1282" customWidth="1"/>
    <col min="4099" max="4106" width="13" style="1282" customWidth="1"/>
    <col min="4107" max="4352" width="6.81640625" style="1282"/>
    <col min="4353" max="4353" width="11.453125" style="1282" customWidth="1"/>
    <col min="4354" max="4354" width="44.1796875" style="1282" customWidth="1"/>
    <col min="4355" max="4362" width="13" style="1282" customWidth="1"/>
    <col min="4363" max="4608" width="6.81640625" style="1282"/>
    <col min="4609" max="4609" width="11.453125" style="1282" customWidth="1"/>
    <col min="4610" max="4610" width="44.1796875" style="1282" customWidth="1"/>
    <col min="4611" max="4618" width="13" style="1282" customWidth="1"/>
    <col min="4619" max="4864" width="6.81640625" style="1282"/>
    <col min="4865" max="4865" width="11.453125" style="1282" customWidth="1"/>
    <col min="4866" max="4866" width="44.1796875" style="1282" customWidth="1"/>
    <col min="4867" max="4874" width="13" style="1282" customWidth="1"/>
    <col min="4875" max="5120" width="6.81640625" style="1282"/>
    <col min="5121" max="5121" width="11.453125" style="1282" customWidth="1"/>
    <col min="5122" max="5122" width="44.1796875" style="1282" customWidth="1"/>
    <col min="5123" max="5130" width="13" style="1282" customWidth="1"/>
    <col min="5131" max="5376" width="6.81640625" style="1282"/>
    <col min="5377" max="5377" width="11.453125" style="1282" customWidth="1"/>
    <col min="5378" max="5378" width="44.1796875" style="1282" customWidth="1"/>
    <col min="5379" max="5386" width="13" style="1282" customWidth="1"/>
    <col min="5387" max="5632" width="6.81640625" style="1282"/>
    <col min="5633" max="5633" width="11.453125" style="1282" customWidth="1"/>
    <col min="5634" max="5634" width="44.1796875" style="1282" customWidth="1"/>
    <col min="5635" max="5642" width="13" style="1282" customWidth="1"/>
    <col min="5643" max="5888" width="6.81640625" style="1282"/>
    <col min="5889" max="5889" width="11.453125" style="1282" customWidth="1"/>
    <col min="5890" max="5890" width="44.1796875" style="1282" customWidth="1"/>
    <col min="5891" max="5898" width="13" style="1282" customWidth="1"/>
    <col min="5899" max="6144" width="6.81640625" style="1282"/>
    <col min="6145" max="6145" width="11.453125" style="1282" customWidth="1"/>
    <col min="6146" max="6146" width="44.1796875" style="1282" customWidth="1"/>
    <col min="6147" max="6154" width="13" style="1282" customWidth="1"/>
    <col min="6155" max="6400" width="6.81640625" style="1282"/>
    <col min="6401" max="6401" width="11.453125" style="1282" customWidth="1"/>
    <col min="6402" max="6402" width="44.1796875" style="1282" customWidth="1"/>
    <col min="6403" max="6410" width="13" style="1282" customWidth="1"/>
    <col min="6411" max="6656" width="6.81640625" style="1282"/>
    <col min="6657" max="6657" width="11.453125" style="1282" customWidth="1"/>
    <col min="6658" max="6658" width="44.1796875" style="1282" customWidth="1"/>
    <col min="6659" max="6666" width="13" style="1282" customWidth="1"/>
    <col min="6667" max="6912" width="6.81640625" style="1282"/>
    <col min="6913" max="6913" width="11.453125" style="1282" customWidth="1"/>
    <col min="6914" max="6914" width="44.1796875" style="1282" customWidth="1"/>
    <col min="6915" max="6922" width="13" style="1282" customWidth="1"/>
    <col min="6923" max="7168" width="6.81640625" style="1282"/>
    <col min="7169" max="7169" width="11.453125" style="1282" customWidth="1"/>
    <col min="7170" max="7170" width="44.1796875" style="1282" customWidth="1"/>
    <col min="7171" max="7178" width="13" style="1282" customWidth="1"/>
    <col min="7179" max="7424" width="6.81640625" style="1282"/>
    <col min="7425" max="7425" width="11.453125" style="1282" customWidth="1"/>
    <col min="7426" max="7426" width="44.1796875" style="1282" customWidth="1"/>
    <col min="7427" max="7434" width="13" style="1282" customWidth="1"/>
    <col min="7435" max="7680" width="6.81640625" style="1282"/>
    <col min="7681" max="7681" width="11.453125" style="1282" customWidth="1"/>
    <col min="7682" max="7682" width="44.1796875" style="1282" customWidth="1"/>
    <col min="7683" max="7690" width="13" style="1282" customWidth="1"/>
    <col min="7691" max="7936" width="6.81640625" style="1282"/>
    <col min="7937" max="7937" width="11.453125" style="1282" customWidth="1"/>
    <col min="7938" max="7938" width="44.1796875" style="1282" customWidth="1"/>
    <col min="7939" max="7946" width="13" style="1282" customWidth="1"/>
    <col min="7947" max="8192" width="6.81640625" style="1282"/>
    <col min="8193" max="8193" width="11.453125" style="1282" customWidth="1"/>
    <col min="8194" max="8194" width="44.1796875" style="1282" customWidth="1"/>
    <col min="8195" max="8202" width="13" style="1282" customWidth="1"/>
    <col min="8203" max="8448" width="6.81640625" style="1282"/>
    <col min="8449" max="8449" width="11.453125" style="1282" customWidth="1"/>
    <col min="8450" max="8450" width="44.1796875" style="1282" customWidth="1"/>
    <col min="8451" max="8458" width="13" style="1282" customWidth="1"/>
    <col min="8459" max="8704" width="6.81640625" style="1282"/>
    <col min="8705" max="8705" width="11.453125" style="1282" customWidth="1"/>
    <col min="8706" max="8706" width="44.1796875" style="1282" customWidth="1"/>
    <col min="8707" max="8714" width="13" style="1282" customWidth="1"/>
    <col min="8715" max="8960" width="6.81640625" style="1282"/>
    <col min="8961" max="8961" width="11.453125" style="1282" customWidth="1"/>
    <col min="8962" max="8962" width="44.1796875" style="1282" customWidth="1"/>
    <col min="8963" max="8970" width="13" style="1282" customWidth="1"/>
    <col min="8971" max="9216" width="6.81640625" style="1282"/>
    <col min="9217" max="9217" width="11.453125" style="1282" customWidth="1"/>
    <col min="9218" max="9218" width="44.1796875" style="1282" customWidth="1"/>
    <col min="9219" max="9226" width="13" style="1282" customWidth="1"/>
    <col min="9227" max="9472" width="6.81640625" style="1282"/>
    <col min="9473" max="9473" width="11.453125" style="1282" customWidth="1"/>
    <col min="9474" max="9474" width="44.1796875" style="1282" customWidth="1"/>
    <col min="9475" max="9482" width="13" style="1282" customWidth="1"/>
    <col min="9483" max="9728" width="6.81640625" style="1282"/>
    <col min="9729" max="9729" width="11.453125" style="1282" customWidth="1"/>
    <col min="9730" max="9730" width="44.1796875" style="1282" customWidth="1"/>
    <col min="9731" max="9738" width="13" style="1282" customWidth="1"/>
    <col min="9739" max="9984" width="6.81640625" style="1282"/>
    <col min="9985" max="9985" width="11.453125" style="1282" customWidth="1"/>
    <col min="9986" max="9986" width="44.1796875" style="1282" customWidth="1"/>
    <col min="9987" max="9994" width="13" style="1282" customWidth="1"/>
    <col min="9995" max="10240" width="6.81640625" style="1282"/>
    <col min="10241" max="10241" width="11.453125" style="1282" customWidth="1"/>
    <col min="10242" max="10242" width="44.1796875" style="1282" customWidth="1"/>
    <col min="10243" max="10250" width="13" style="1282" customWidth="1"/>
    <col min="10251" max="10496" width="6.81640625" style="1282"/>
    <col min="10497" max="10497" width="11.453125" style="1282" customWidth="1"/>
    <col min="10498" max="10498" width="44.1796875" style="1282" customWidth="1"/>
    <col min="10499" max="10506" width="13" style="1282" customWidth="1"/>
    <col min="10507" max="10752" width="6.81640625" style="1282"/>
    <col min="10753" max="10753" width="11.453125" style="1282" customWidth="1"/>
    <col min="10754" max="10754" width="44.1796875" style="1282" customWidth="1"/>
    <col min="10755" max="10762" width="13" style="1282" customWidth="1"/>
    <col min="10763" max="11008" width="6.81640625" style="1282"/>
    <col min="11009" max="11009" width="11.453125" style="1282" customWidth="1"/>
    <col min="11010" max="11010" width="44.1796875" style="1282" customWidth="1"/>
    <col min="11011" max="11018" width="13" style="1282" customWidth="1"/>
    <col min="11019" max="11264" width="6.81640625" style="1282"/>
    <col min="11265" max="11265" width="11.453125" style="1282" customWidth="1"/>
    <col min="11266" max="11266" width="44.1796875" style="1282" customWidth="1"/>
    <col min="11267" max="11274" width="13" style="1282" customWidth="1"/>
    <col min="11275" max="11520" width="6.81640625" style="1282"/>
    <col min="11521" max="11521" width="11.453125" style="1282" customWidth="1"/>
    <col min="11522" max="11522" width="44.1796875" style="1282" customWidth="1"/>
    <col min="11523" max="11530" width="13" style="1282" customWidth="1"/>
    <col min="11531" max="11776" width="6.81640625" style="1282"/>
    <col min="11777" max="11777" width="11.453125" style="1282" customWidth="1"/>
    <col min="11778" max="11778" width="44.1796875" style="1282" customWidth="1"/>
    <col min="11779" max="11786" width="13" style="1282" customWidth="1"/>
    <col min="11787" max="12032" width="6.81640625" style="1282"/>
    <col min="12033" max="12033" width="11.453125" style="1282" customWidth="1"/>
    <col min="12034" max="12034" width="44.1796875" style="1282" customWidth="1"/>
    <col min="12035" max="12042" width="13" style="1282" customWidth="1"/>
    <col min="12043" max="12288" width="6.81640625" style="1282"/>
    <col min="12289" max="12289" width="11.453125" style="1282" customWidth="1"/>
    <col min="12290" max="12290" width="44.1796875" style="1282" customWidth="1"/>
    <col min="12291" max="12298" width="13" style="1282" customWidth="1"/>
    <col min="12299" max="12544" width="6.81640625" style="1282"/>
    <col min="12545" max="12545" width="11.453125" style="1282" customWidth="1"/>
    <col min="12546" max="12546" width="44.1796875" style="1282" customWidth="1"/>
    <col min="12547" max="12554" width="13" style="1282" customWidth="1"/>
    <col min="12555" max="12800" width="6.81640625" style="1282"/>
    <col min="12801" max="12801" width="11.453125" style="1282" customWidth="1"/>
    <col min="12802" max="12802" width="44.1796875" style="1282" customWidth="1"/>
    <col min="12803" max="12810" width="13" style="1282" customWidth="1"/>
    <col min="12811" max="13056" width="6.81640625" style="1282"/>
    <col min="13057" max="13057" width="11.453125" style="1282" customWidth="1"/>
    <col min="13058" max="13058" width="44.1796875" style="1282" customWidth="1"/>
    <col min="13059" max="13066" width="13" style="1282" customWidth="1"/>
    <col min="13067" max="13312" width="6.81640625" style="1282"/>
    <col min="13313" max="13313" width="11.453125" style="1282" customWidth="1"/>
    <col min="13314" max="13314" width="44.1796875" style="1282" customWidth="1"/>
    <col min="13315" max="13322" width="13" style="1282" customWidth="1"/>
    <col min="13323" max="13568" width="6.81640625" style="1282"/>
    <col min="13569" max="13569" width="11.453125" style="1282" customWidth="1"/>
    <col min="13570" max="13570" width="44.1796875" style="1282" customWidth="1"/>
    <col min="13571" max="13578" width="13" style="1282" customWidth="1"/>
    <col min="13579" max="13824" width="6.81640625" style="1282"/>
    <col min="13825" max="13825" width="11.453125" style="1282" customWidth="1"/>
    <col min="13826" max="13826" width="44.1796875" style="1282" customWidth="1"/>
    <col min="13827" max="13834" width="13" style="1282" customWidth="1"/>
    <col min="13835" max="14080" width="6.81640625" style="1282"/>
    <col min="14081" max="14081" width="11.453125" style="1282" customWidth="1"/>
    <col min="14082" max="14082" width="44.1796875" style="1282" customWidth="1"/>
    <col min="14083" max="14090" width="13" style="1282" customWidth="1"/>
    <col min="14091" max="14336" width="6.81640625" style="1282"/>
    <col min="14337" max="14337" width="11.453125" style="1282" customWidth="1"/>
    <col min="14338" max="14338" width="44.1796875" style="1282" customWidth="1"/>
    <col min="14339" max="14346" width="13" style="1282" customWidth="1"/>
    <col min="14347" max="14592" width="6.81640625" style="1282"/>
    <col min="14593" max="14593" width="11.453125" style="1282" customWidth="1"/>
    <col min="14594" max="14594" width="44.1796875" style="1282" customWidth="1"/>
    <col min="14595" max="14602" width="13" style="1282" customWidth="1"/>
    <col min="14603" max="14848" width="6.81640625" style="1282"/>
    <col min="14849" max="14849" width="11.453125" style="1282" customWidth="1"/>
    <col min="14850" max="14850" width="44.1796875" style="1282" customWidth="1"/>
    <col min="14851" max="14858" width="13" style="1282" customWidth="1"/>
    <col min="14859" max="15104" width="6.81640625" style="1282"/>
    <col min="15105" max="15105" width="11.453125" style="1282" customWidth="1"/>
    <col min="15106" max="15106" width="44.1796875" style="1282" customWidth="1"/>
    <col min="15107" max="15114" width="13" style="1282" customWidth="1"/>
    <col min="15115" max="15360" width="6.81640625" style="1282"/>
    <col min="15361" max="15361" width="11.453125" style="1282" customWidth="1"/>
    <col min="15362" max="15362" width="44.1796875" style="1282" customWidth="1"/>
    <col min="15363" max="15370" width="13" style="1282" customWidth="1"/>
    <col min="15371" max="15616" width="6.81640625" style="1282"/>
    <col min="15617" max="15617" width="11.453125" style="1282" customWidth="1"/>
    <col min="15618" max="15618" width="44.1796875" style="1282" customWidth="1"/>
    <col min="15619" max="15626" width="13" style="1282" customWidth="1"/>
    <col min="15627" max="15872" width="6.81640625" style="1282"/>
    <col min="15873" max="15873" width="11.453125" style="1282" customWidth="1"/>
    <col min="15874" max="15874" width="44.1796875" style="1282" customWidth="1"/>
    <col min="15875" max="15882" width="13" style="1282" customWidth="1"/>
    <col min="15883" max="16128" width="6.81640625" style="1282"/>
    <col min="16129" max="16129" width="11.453125" style="1282" customWidth="1"/>
    <col min="16130" max="16130" width="44.1796875" style="1282" customWidth="1"/>
    <col min="16131" max="16138" width="13" style="1282" customWidth="1"/>
    <col min="16139" max="16384" width="6.81640625" style="1282"/>
  </cols>
  <sheetData>
    <row r="1" spans="1:10" ht="14">
      <c r="A1" s="1397" t="str">
        <f>SOFP!A1</f>
        <v>AIMAL KHAN TRADERS</v>
      </c>
      <c r="B1" s="1398"/>
      <c r="C1" s="1398"/>
      <c r="D1" s="1398"/>
      <c r="E1" s="1398"/>
      <c r="F1" s="1398"/>
      <c r="G1" s="1398"/>
      <c r="H1" s="1398"/>
      <c r="I1" s="1398"/>
      <c r="J1" s="1398"/>
    </row>
    <row r="2" spans="1:10" ht="14">
      <c r="A2" s="1398" t="s">
        <v>354</v>
      </c>
      <c r="B2" s="1398"/>
      <c r="C2" s="1398"/>
      <c r="D2" s="1398"/>
      <c r="E2" s="1398"/>
      <c r="F2" s="1398"/>
      <c r="G2" s="1398"/>
      <c r="H2" s="1398"/>
      <c r="I2" s="1398"/>
      <c r="J2" s="1398"/>
    </row>
    <row r="3" spans="1:10" ht="12.5"/>
    <row r="4" spans="1:10" ht="12.5"/>
    <row r="5" spans="1:10" ht="12.5"/>
    <row r="6" spans="1:10" ht="13">
      <c r="A6" s="1394"/>
      <c r="B6" s="1396"/>
      <c r="C6" s="1391" t="s">
        <v>355</v>
      </c>
      <c r="D6" s="1392"/>
      <c r="E6" s="1391" t="s">
        <v>356</v>
      </c>
      <c r="F6" s="1392"/>
      <c r="G6" s="1391" t="s">
        <v>357</v>
      </c>
      <c r="H6" s="1392"/>
      <c r="I6" s="1391" t="s">
        <v>358</v>
      </c>
      <c r="J6" s="1392"/>
    </row>
    <row r="7" spans="1:10" ht="13">
      <c r="A7" s="1395"/>
      <c r="B7" s="1396"/>
      <c r="C7" s="1284" t="s">
        <v>7</v>
      </c>
      <c r="D7" s="1285" t="s">
        <v>8</v>
      </c>
      <c r="E7" s="1284" t="s">
        <v>7</v>
      </c>
      <c r="F7" s="1287" t="s">
        <v>8</v>
      </c>
      <c r="G7" s="1295" t="s">
        <v>7</v>
      </c>
      <c r="H7" s="1283" t="s">
        <v>8</v>
      </c>
      <c r="I7" s="1295" t="s">
        <v>7</v>
      </c>
      <c r="J7" s="1283" t="s">
        <v>8</v>
      </c>
    </row>
    <row r="8" spans="1:10" ht="13">
      <c r="A8" s="1286" t="s">
        <v>11</v>
      </c>
      <c r="C8" s="1284"/>
      <c r="D8" s="1287"/>
      <c r="E8" s="1284"/>
      <c r="F8" s="1287"/>
      <c r="G8" s="1296"/>
      <c r="H8" s="1285"/>
      <c r="I8" s="1296"/>
      <c r="J8" s="1285"/>
    </row>
    <row r="9" spans="1:10" ht="14.5">
      <c r="A9" s="1282" t="s">
        <v>12</v>
      </c>
      <c r="B9" s="1282" t="s">
        <v>13</v>
      </c>
      <c r="C9" s="1288">
        <v>8925</v>
      </c>
      <c r="D9" s="1289">
        <v>0</v>
      </c>
      <c r="E9" s="1297">
        <v>0</v>
      </c>
      <c r="F9" s="1298"/>
      <c r="G9" s="1299"/>
      <c r="H9" s="1298"/>
      <c r="I9" s="1297">
        <f>C9+G9</f>
        <v>8925</v>
      </c>
      <c r="J9" s="1298">
        <f>D9+H9</f>
        <v>0</v>
      </c>
    </row>
    <row r="10" spans="1:10" ht="14.5">
      <c r="A10" s="1290" t="s">
        <v>28</v>
      </c>
      <c r="B10" s="1290" t="s">
        <v>13</v>
      </c>
      <c r="C10" s="1291"/>
      <c r="D10" s="1289"/>
      <c r="E10" s="1299"/>
      <c r="F10" s="1298"/>
      <c r="G10" s="1299"/>
      <c r="H10" s="1298"/>
      <c r="I10" s="1299">
        <f t="shared" ref="I10:I73" si="0">C10+G10</f>
        <v>0</v>
      </c>
      <c r="J10" s="1298">
        <f t="shared" ref="J10:J73" si="1">D10+H10</f>
        <v>0</v>
      </c>
    </row>
    <row r="11" spans="1:10" ht="14.5">
      <c r="A11" s="1286" t="s">
        <v>14</v>
      </c>
      <c r="C11" s="1292"/>
      <c r="D11" s="1293"/>
      <c r="E11" s="1299"/>
      <c r="F11" s="1298"/>
      <c r="G11" s="1299"/>
      <c r="H11" s="1298"/>
      <c r="I11" s="1299">
        <f t="shared" si="0"/>
        <v>0</v>
      </c>
      <c r="J11" s="1298">
        <f t="shared" si="1"/>
        <v>0</v>
      </c>
    </row>
    <row r="12" spans="1:10" ht="14.5" hidden="1">
      <c r="A12" s="1282" t="s">
        <v>15</v>
      </c>
      <c r="B12" s="1282" t="s">
        <v>16</v>
      </c>
      <c r="C12" s="1291"/>
      <c r="D12" s="1289"/>
      <c r="E12" s="1299"/>
      <c r="F12" s="1298"/>
      <c r="G12" s="1299"/>
      <c r="H12" s="1298"/>
      <c r="I12" s="1299">
        <f t="shared" si="0"/>
        <v>0</v>
      </c>
      <c r="J12" s="1298">
        <f t="shared" si="1"/>
        <v>0</v>
      </c>
    </row>
    <row r="13" spans="1:10" ht="14.5">
      <c r="A13" s="1282" t="s">
        <v>17</v>
      </c>
      <c r="B13" s="1282" t="s">
        <v>18</v>
      </c>
      <c r="C13" s="1291">
        <v>0</v>
      </c>
      <c r="D13" s="1289"/>
      <c r="E13" s="1299"/>
      <c r="F13" s="1298"/>
      <c r="G13" s="1299">
        <v>0</v>
      </c>
      <c r="H13" s="1298"/>
      <c r="I13" s="1297">
        <f t="shared" si="0"/>
        <v>0</v>
      </c>
      <c r="J13" s="1298">
        <f t="shared" si="1"/>
        <v>0</v>
      </c>
    </row>
    <row r="14" spans="1:10" ht="14.5">
      <c r="B14" s="1281" t="s">
        <v>359</v>
      </c>
      <c r="C14" s="1288">
        <v>515289.57</v>
      </c>
      <c r="D14" s="1289"/>
      <c r="E14" s="1299"/>
      <c r="F14" s="1298"/>
      <c r="G14" s="1299"/>
      <c r="H14" s="1298"/>
      <c r="I14" s="1297">
        <f t="shared" si="0"/>
        <v>515289.57</v>
      </c>
      <c r="J14" s="1298">
        <f t="shared" si="1"/>
        <v>0</v>
      </c>
    </row>
    <row r="15" spans="1:10" ht="14.5">
      <c r="A15" s="1282" t="s">
        <v>19</v>
      </c>
      <c r="B15" s="1282" t="s">
        <v>20</v>
      </c>
      <c r="C15" s="1291">
        <v>0</v>
      </c>
      <c r="D15" s="1289"/>
      <c r="E15" s="1299"/>
      <c r="F15" s="1298"/>
      <c r="G15" s="1299"/>
      <c r="H15" s="1298">
        <f>'Adj entry 19'!D30</f>
        <v>0</v>
      </c>
      <c r="I15" s="1297">
        <f t="shared" si="0"/>
        <v>0</v>
      </c>
      <c r="J15" s="1298">
        <f t="shared" si="1"/>
        <v>0</v>
      </c>
    </row>
    <row r="16" spans="1:10" ht="14.5">
      <c r="A16" s="1282" t="s">
        <v>21</v>
      </c>
      <c r="B16" s="1282" t="s">
        <v>22</v>
      </c>
      <c r="C16" s="1291">
        <v>0</v>
      </c>
      <c r="D16" s="1289"/>
      <c r="F16" s="1298"/>
      <c r="G16" s="1299">
        <f>'Adj entry 19'!C22</f>
        <v>0</v>
      </c>
      <c r="H16" s="1298"/>
      <c r="I16" s="1297">
        <f t="shared" si="0"/>
        <v>0</v>
      </c>
      <c r="J16" s="1298">
        <f t="shared" si="1"/>
        <v>0</v>
      </c>
    </row>
    <row r="17" spans="1:13" ht="14.5">
      <c r="A17" s="1282" t="s">
        <v>23</v>
      </c>
      <c r="B17" s="1282" t="s">
        <v>24</v>
      </c>
      <c r="C17" s="1291">
        <v>0</v>
      </c>
      <c r="D17" s="1289"/>
      <c r="E17" s="1299"/>
      <c r="F17" s="1298"/>
      <c r="G17" s="1299"/>
      <c r="H17" s="1298"/>
      <c r="I17" s="1297">
        <f t="shared" si="0"/>
        <v>0</v>
      </c>
      <c r="J17" s="1298">
        <f t="shared" si="1"/>
        <v>0</v>
      </c>
    </row>
    <row r="18" spans="1:13" ht="14.5">
      <c r="A18" s="1282" t="s">
        <v>12</v>
      </c>
      <c r="B18" s="1282" t="s">
        <v>360</v>
      </c>
      <c r="C18" s="1291">
        <v>0</v>
      </c>
      <c r="D18" s="1289"/>
      <c r="E18" s="1297">
        <v>0</v>
      </c>
      <c r="F18" s="1298"/>
      <c r="G18" s="1299">
        <v>0</v>
      </c>
      <c r="H18" s="1298">
        <f>'Adj entry 19'!D17</f>
        <v>0</v>
      </c>
      <c r="I18" s="1297">
        <f t="shared" si="0"/>
        <v>0</v>
      </c>
      <c r="J18" s="1298">
        <f t="shared" si="1"/>
        <v>0</v>
      </c>
    </row>
    <row r="19" spans="1:13" ht="14.5" hidden="1">
      <c r="C19" s="1291"/>
      <c r="D19" s="1289"/>
      <c r="E19" s="1299"/>
      <c r="F19" s="1298"/>
      <c r="G19" s="1299"/>
      <c r="H19" s="1298"/>
      <c r="I19" s="1299">
        <f t="shared" si="0"/>
        <v>0</v>
      </c>
      <c r="J19" s="1298">
        <f t="shared" si="1"/>
        <v>0</v>
      </c>
    </row>
    <row r="20" spans="1:13" ht="14.5">
      <c r="A20" s="1286" t="s">
        <v>361</v>
      </c>
      <c r="C20" s="1291">
        <v>0</v>
      </c>
      <c r="D20" s="1289"/>
      <c r="E20" s="1299"/>
      <c r="F20" s="1298"/>
      <c r="G20" s="1299"/>
      <c r="H20" s="1298"/>
      <c r="I20" s="1299">
        <f t="shared" si="0"/>
        <v>0</v>
      </c>
      <c r="J20" s="1298">
        <f t="shared" si="1"/>
        <v>0</v>
      </c>
    </row>
    <row r="21" spans="1:13" ht="14.5">
      <c r="A21" s="1286"/>
      <c r="B21" s="1281" t="s">
        <v>362</v>
      </c>
      <c r="C21" s="1288">
        <v>15041.15</v>
      </c>
      <c r="D21" s="1289"/>
      <c r="E21" s="1299"/>
      <c r="F21" s="1298"/>
      <c r="G21" s="1299"/>
      <c r="H21" s="1298"/>
      <c r="I21" s="1299">
        <f t="shared" si="0"/>
        <v>15041.15</v>
      </c>
      <c r="J21" s="1298">
        <f t="shared" si="1"/>
        <v>0</v>
      </c>
    </row>
    <row r="22" spans="1:13" ht="14.5">
      <c r="A22" s="1282" t="s">
        <v>21</v>
      </c>
      <c r="B22" s="1282" t="s">
        <v>363</v>
      </c>
      <c r="C22" s="1291">
        <v>0</v>
      </c>
      <c r="D22" s="1289"/>
      <c r="E22" s="1297">
        <v>0</v>
      </c>
      <c r="F22" s="1298"/>
      <c r="G22" s="1299"/>
      <c r="H22" s="1298">
        <v>0</v>
      </c>
      <c r="I22" s="1297">
        <f t="shared" si="0"/>
        <v>0</v>
      </c>
      <c r="J22" s="1298">
        <f t="shared" si="1"/>
        <v>0</v>
      </c>
      <c r="L22" s="1282">
        <f>41180+23406+100432+39432</f>
        <v>204450</v>
      </c>
      <c r="M22" s="1301">
        <f>H22-L22</f>
        <v>-204450</v>
      </c>
    </row>
    <row r="23" spans="1:13" ht="14.5">
      <c r="A23" s="1282" t="s">
        <v>364</v>
      </c>
      <c r="B23" s="1282" t="s">
        <v>365</v>
      </c>
      <c r="C23" s="1291">
        <v>0</v>
      </c>
      <c r="D23" s="1289"/>
      <c r="E23" s="1297">
        <v>0</v>
      </c>
      <c r="F23" s="1298"/>
      <c r="G23" s="1299"/>
      <c r="H23" s="1298">
        <v>0</v>
      </c>
      <c r="I23" s="1297">
        <f t="shared" si="0"/>
        <v>0</v>
      </c>
      <c r="J23" s="1298">
        <f t="shared" si="1"/>
        <v>0</v>
      </c>
    </row>
    <row r="24" spans="1:13" ht="14.5">
      <c r="A24" s="1282" t="s">
        <v>366</v>
      </c>
      <c r="B24" s="1282" t="s">
        <v>367</v>
      </c>
      <c r="C24" s="1291">
        <v>0</v>
      </c>
      <c r="D24" s="1289"/>
      <c r="E24" s="1297">
        <v>0</v>
      </c>
      <c r="F24" s="1298"/>
      <c r="G24" s="1299"/>
      <c r="H24" s="1298">
        <v>0</v>
      </c>
      <c r="I24" s="1297">
        <f t="shared" si="0"/>
        <v>0</v>
      </c>
      <c r="J24" s="1298">
        <f t="shared" si="1"/>
        <v>0</v>
      </c>
      <c r="K24" s="1282">
        <f>356475-344646</f>
        <v>11829</v>
      </c>
    </row>
    <row r="25" spans="1:13" ht="14.5">
      <c r="A25" s="1282" t="s">
        <v>368</v>
      </c>
      <c r="B25" s="1282" t="s">
        <v>369</v>
      </c>
      <c r="C25" s="1291">
        <v>0</v>
      </c>
      <c r="D25" s="1289"/>
      <c r="E25" s="1297">
        <v>0</v>
      </c>
      <c r="F25" s="1298"/>
      <c r="G25" s="1299"/>
      <c r="H25" s="1298">
        <v>0</v>
      </c>
      <c r="I25" s="1297">
        <f t="shared" si="0"/>
        <v>0</v>
      </c>
      <c r="J25" s="1298">
        <f t="shared" si="1"/>
        <v>0</v>
      </c>
    </row>
    <row r="26" spans="1:13" ht="14.5">
      <c r="A26" s="1282" t="s">
        <v>370</v>
      </c>
      <c r="B26" s="1282" t="s">
        <v>371</v>
      </c>
      <c r="C26" s="1291">
        <v>0</v>
      </c>
      <c r="D26" s="1289"/>
      <c r="E26" s="1297">
        <v>0</v>
      </c>
      <c r="F26" s="1298"/>
      <c r="G26" s="1299"/>
      <c r="H26" s="1298">
        <v>0</v>
      </c>
      <c r="I26" s="1300">
        <f t="shared" si="0"/>
        <v>0</v>
      </c>
      <c r="J26" s="1298">
        <f t="shared" si="1"/>
        <v>0</v>
      </c>
    </row>
    <row r="27" spans="1:13" ht="14.5">
      <c r="A27" s="1282" t="s">
        <v>31</v>
      </c>
      <c r="B27" s="1282" t="s">
        <v>32</v>
      </c>
      <c r="C27" s="1291">
        <v>0</v>
      </c>
      <c r="D27" s="1289"/>
      <c r="E27" s="1297">
        <v>0</v>
      </c>
      <c r="F27" s="1298"/>
      <c r="G27" s="1299"/>
      <c r="H27" s="1298"/>
      <c r="I27" s="1297">
        <f t="shared" si="0"/>
        <v>0</v>
      </c>
      <c r="J27" s="1298">
        <f t="shared" si="1"/>
        <v>0</v>
      </c>
    </row>
    <row r="28" spans="1:13" ht="14.5">
      <c r="A28" s="1282" t="s">
        <v>372</v>
      </c>
      <c r="B28" s="1282" t="s">
        <v>373</v>
      </c>
      <c r="C28" s="1291">
        <v>0</v>
      </c>
      <c r="D28" s="1289"/>
      <c r="E28" s="1297">
        <v>0</v>
      </c>
      <c r="F28" s="1298"/>
      <c r="G28" s="1299"/>
      <c r="H28" s="1298"/>
      <c r="I28" s="1299">
        <f t="shared" si="0"/>
        <v>0</v>
      </c>
      <c r="J28" s="1298">
        <f t="shared" si="1"/>
        <v>0</v>
      </c>
    </row>
    <row r="29" spans="1:13" ht="14.5">
      <c r="A29" s="1282" t="s">
        <v>33</v>
      </c>
      <c r="B29" s="1282" t="s">
        <v>34</v>
      </c>
      <c r="C29" s="1291">
        <v>0</v>
      </c>
      <c r="D29" s="1289"/>
      <c r="E29" s="1297"/>
      <c r="F29" s="1298"/>
      <c r="G29" s="1299"/>
      <c r="H29" s="1298"/>
      <c r="I29" s="1299">
        <f t="shared" si="0"/>
        <v>0</v>
      </c>
      <c r="J29" s="1298">
        <f t="shared" si="1"/>
        <v>0</v>
      </c>
    </row>
    <row r="30" spans="1:13" ht="14.5">
      <c r="A30" s="1282" t="s">
        <v>35</v>
      </c>
      <c r="B30" s="1282" t="s">
        <v>36</v>
      </c>
      <c r="C30" s="1291">
        <v>0</v>
      </c>
      <c r="D30" s="1289"/>
      <c r="E30" s="1297"/>
      <c r="F30" s="1298"/>
      <c r="G30" s="1299"/>
      <c r="H30" s="1298"/>
      <c r="I30" s="1299">
        <f t="shared" si="0"/>
        <v>0</v>
      </c>
      <c r="J30" s="1298">
        <f t="shared" si="1"/>
        <v>0</v>
      </c>
      <c r="L30" s="1282">
        <f>655+32138</f>
        <v>32793</v>
      </c>
    </row>
    <row r="31" spans="1:13" ht="14.5">
      <c r="A31" s="1282" t="s">
        <v>37</v>
      </c>
      <c r="B31" s="1282" t="s">
        <v>38</v>
      </c>
      <c r="C31" s="1291">
        <v>0</v>
      </c>
      <c r="D31" s="1289"/>
      <c r="E31" s="1297"/>
      <c r="F31" s="1298"/>
      <c r="G31" s="1299"/>
      <c r="H31" s="1298"/>
      <c r="I31" s="1299">
        <f t="shared" si="0"/>
        <v>0</v>
      </c>
      <c r="J31" s="1298">
        <f t="shared" si="1"/>
        <v>0</v>
      </c>
      <c r="L31" s="1282">
        <f>2322+516+3874</f>
        <v>6712</v>
      </c>
    </row>
    <row r="32" spans="1:13" ht="14.5">
      <c r="B32" s="1282" t="s">
        <v>374</v>
      </c>
      <c r="C32" s="1291">
        <v>0</v>
      </c>
      <c r="D32" s="1289"/>
      <c r="E32" s="1297">
        <v>0</v>
      </c>
      <c r="F32" s="1298"/>
      <c r="G32" s="1299">
        <v>0</v>
      </c>
      <c r="H32" s="1298">
        <v>0</v>
      </c>
      <c r="I32" s="1297">
        <f t="shared" si="0"/>
        <v>0</v>
      </c>
      <c r="J32" s="1298">
        <f t="shared" si="1"/>
        <v>0</v>
      </c>
    </row>
    <row r="33" spans="1:14" ht="14.5">
      <c r="A33" s="1282" t="s">
        <v>375</v>
      </c>
      <c r="B33" s="1282" t="s">
        <v>39</v>
      </c>
      <c r="C33" s="1291">
        <v>0</v>
      </c>
      <c r="D33" s="1289"/>
      <c r="E33" s="1299">
        <v>0</v>
      </c>
      <c r="F33" s="1298"/>
      <c r="G33" s="1299">
        <v>0</v>
      </c>
      <c r="H33" s="1298"/>
      <c r="I33" s="1299">
        <f t="shared" si="0"/>
        <v>0</v>
      </c>
      <c r="J33" s="1298">
        <f t="shared" si="1"/>
        <v>0</v>
      </c>
    </row>
    <row r="34" spans="1:14" ht="14.5">
      <c r="A34" s="1282" t="s">
        <v>19</v>
      </c>
      <c r="B34" s="1282" t="s">
        <v>376</v>
      </c>
      <c r="C34" s="1291">
        <v>0</v>
      </c>
      <c r="D34" s="1289"/>
      <c r="E34" s="1299"/>
      <c r="F34" s="1298"/>
      <c r="G34" s="1299"/>
      <c r="H34" s="1298">
        <f>+'Adj entry 19'!D45</f>
        <v>0</v>
      </c>
      <c r="I34" s="1299">
        <f t="shared" si="0"/>
        <v>0</v>
      </c>
      <c r="J34" s="1298">
        <f t="shared" si="1"/>
        <v>0</v>
      </c>
      <c r="L34" s="1301"/>
    </row>
    <row r="35" spans="1:14" ht="14.5">
      <c r="B35" s="1282" t="s">
        <v>377</v>
      </c>
      <c r="C35" s="1291"/>
      <c r="D35" s="1289"/>
      <c r="E35" s="1299"/>
      <c r="F35" s="1298">
        <v>0</v>
      </c>
      <c r="G35" s="1299">
        <v>0</v>
      </c>
      <c r="H35" s="1298" t="e">
        <f>'Adj entry 19'!D7</f>
        <v>#REF!</v>
      </c>
      <c r="I35" s="1299">
        <f t="shared" si="0"/>
        <v>0</v>
      </c>
      <c r="J35" s="1302" t="e">
        <f t="shared" si="1"/>
        <v>#REF!</v>
      </c>
      <c r="L35" s="1301" t="e">
        <f>J213+H35</f>
        <v>#REF!</v>
      </c>
    </row>
    <row r="36" spans="1:14" ht="14.5" hidden="1">
      <c r="C36" s="1291"/>
      <c r="D36" s="1289"/>
      <c r="E36" s="1299"/>
      <c r="F36" s="1298"/>
      <c r="G36" s="1299"/>
      <c r="H36" s="1298"/>
      <c r="I36" s="1299">
        <f t="shared" si="0"/>
        <v>0</v>
      </c>
      <c r="J36" s="1298">
        <f t="shared" si="1"/>
        <v>0</v>
      </c>
    </row>
    <row r="37" spans="1:14" ht="14.5">
      <c r="A37" s="1286" t="s">
        <v>44</v>
      </c>
      <c r="C37" s="1292"/>
      <c r="D37" s="1293"/>
      <c r="E37" s="1299"/>
      <c r="F37" s="1298"/>
      <c r="G37" s="1299"/>
      <c r="H37" s="1298"/>
      <c r="I37" s="1299">
        <f t="shared" si="0"/>
        <v>0</v>
      </c>
      <c r="J37" s="1298">
        <f t="shared" si="1"/>
        <v>0</v>
      </c>
      <c r="L37" s="1301"/>
    </row>
    <row r="38" spans="1:14" ht="14.5">
      <c r="A38" s="1282" t="s">
        <v>45</v>
      </c>
      <c r="B38" s="1282" t="s">
        <v>46</v>
      </c>
      <c r="C38" s="1291">
        <v>0</v>
      </c>
      <c r="D38" s="1289"/>
      <c r="E38" s="1299"/>
      <c r="F38" s="1298"/>
      <c r="G38" s="1299"/>
      <c r="H38" s="1298"/>
      <c r="I38" s="1300">
        <f t="shared" si="0"/>
        <v>0</v>
      </c>
      <c r="J38" s="1298">
        <f t="shared" si="1"/>
        <v>0</v>
      </c>
      <c r="N38" s="1301" t="e">
        <f>I35-SOFP!#REF!</f>
        <v>#REF!</v>
      </c>
    </row>
    <row r="39" spans="1:14" ht="14.5">
      <c r="A39" s="1282" t="s">
        <v>49</v>
      </c>
      <c r="B39" s="1282" t="s">
        <v>50</v>
      </c>
      <c r="C39" s="1291">
        <v>0</v>
      </c>
      <c r="D39" s="1289"/>
      <c r="E39" s="1299"/>
      <c r="F39" s="1298"/>
      <c r="G39" s="1299"/>
      <c r="H39" s="1298"/>
      <c r="I39" s="1297">
        <f t="shared" si="0"/>
        <v>0</v>
      </c>
      <c r="J39" s="1298">
        <f t="shared" si="1"/>
        <v>0</v>
      </c>
    </row>
    <row r="40" spans="1:14" ht="14.5">
      <c r="A40" s="1282" t="s">
        <v>53</v>
      </c>
      <c r="B40" s="1282" t="s">
        <v>54</v>
      </c>
      <c r="C40" s="1291"/>
      <c r="D40" s="1289"/>
      <c r="E40" s="1299"/>
      <c r="F40" s="1298"/>
      <c r="G40" s="1299"/>
      <c r="H40" s="1298"/>
      <c r="I40" s="1299">
        <f t="shared" si="0"/>
        <v>0</v>
      </c>
      <c r="J40" s="1298">
        <f t="shared" si="1"/>
        <v>0</v>
      </c>
    </row>
    <row r="41" spans="1:14" ht="14.5">
      <c r="A41" s="1282" t="s">
        <v>378</v>
      </c>
      <c r="B41" s="1282" t="s">
        <v>379</v>
      </c>
      <c r="C41" s="1291"/>
      <c r="D41" s="1289"/>
      <c r="E41" s="1299"/>
      <c r="F41" s="1298"/>
      <c r="G41" s="1299"/>
      <c r="H41" s="1298"/>
      <c r="I41" s="1299">
        <f t="shared" si="0"/>
        <v>0</v>
      </c>
      <c r="J41" s="1298">
        <f t="shared" si="1"/>
        <v>0</v>
      </c>
    </row>
    <row r="42" spans="1:14" ht="14.5">
      <c r="A42" s="1282" t="s">
        <v>380</v>
      </c>
      <c r="B42" s="1282" t="s">
        <v>381</v>
      </c>
      <c r="C42" s="1291"/>
      <c r="D42" s="1289"/>
      <c r="E42" s="1299"/>
      <c r="F42" s="1298"/>
      <c r="G42" s="1299"/>
      <c r="H42" s="1298"/>
      <c r="I42" s="1299">
        <f t="shared" si="0"/>
        <v>0</v>
      </c>
      <c r="J42" s="1298">
        <f t="shared" si="1"/>
        <v>0</v>
      </c>
    </row>
    <row r="43" spans="1:14" ht="14.5">
      <c r="B43" s="1282" t="s">
        <v>382</v>
      </c>
      <c r="C43" s="1288">
        <v>1200000</v>
      </c>
      <c r="D43" s="1289"/>
      <c r="E43" s="1299"/>
      <c r="F43" s="1298"/>
      <c r="G43" s="1299"/>
      <c r="H43" s="1298"/>
      <c r="I43" s="1299">
        <f t="shared" si="0"/>
        <v>1200000</v>
      </c>
      <c r="J43" s="1298">
        <f t="shared" si="1"/>
        <v>0</v>
      </c>
    </row>
    <row r="44" spans="1:14" ht="14.5">
      <c r="A44" s="1282" t="s">
        <v>57</v>
      </c>
      <c r="B44" s="1282" t="s">
        <v>58</v>
      </c>
      <c r="C44" s="1291">
        <v>0</v>
      </c>
      <c r="D44" s="1289"/>
      <c r="E44" s="1299"/>
      <c r="F44" s="1298"/>
      <c r="G44" s="1299"/>
      <c r="H44" s="1298"/>
      <c r="I44" s="1297">
        <f t="shared" si="0"/>
        <v>0</v>
      </c>
      <c r="J44" s="1298">
        <f t="shared" si="1"/>
        <v>0</v>
      </c>
    </row>
    <row r="45" spans="1:14" ht="14.5">
      <c r="A45" s="1282" t="s">
        <v>59</v>
      </c>
      <c r="B45" s="1282" t="s">
        <v>383</v>
      </c>
      <c r="C45" s="1291">
        <v>0</v>
      </c>
      <c r="D45" s="1289"/>
      <c r="E45" s="1297">
        <v>0</v>
      </c>
      <c r="F45" s="1298"/>
      <c r="G45" s="1299"/>
      <c r="H45" s="1298">
        <f>'Adj entry 19'!D27</f>
        <v>0</v>
      </c>
      <c r="I45" s="1297">
        <f t="shared" si="0"/>
        <v>0</v>
      </c>
      <c r="J45" s="1298">
        <f t="shared" si="1"/>
        <v>0</v>
      </c>
    </row>
    <row r="46" spans="1:14" ht="14.5">
      <c r="A46" s="1282" t="s">
        <v>15</v>
      </c>
      <c r="B46" s="1282" t="s">
        <v>64</v>
      </c>
      <c r="C46" s="1291">
        <v>0</v>
      </c>
      <c r="D46" s="1289"/>
      <c r="E46" s="1297">
        <v>0</v>
      </c>
      <c r="F46" s="1298"/>
      <c r="G46" s="1299"/>
      <c r="H46" s="1298"/>
      <c r="I46" s="1297">
        <f t="shared" si="0"/>
        <v>0</v>
      </c>
      <c r="J46" s="1298">
        <f t="shared" si="1"/>
        <v>0</v>
      </c>
    </row>
    <row r="47" spans="1:14" ht="14.5">
      <c r="A47" s="1282" t="s">
        <v>61</v>
      </c>
      <c r="B47" s="1282" t="s">
        <v>62</v>
      </c>
      <c r="C47" s="1291"/>
      <c r="D47" s="1289"/>
      <c r="E47" s="1297">
        <v>0</v>
      </c>
      <c r="F47" s="1298"/>
      <c r="G47" s="1299"/>
      <c r="H47" s="1298"/>
      <c r="I47" s="1297">
        <f t="shared" si="0"/>
        <v>0</v>
      </c>
      <c r="J47" s="1298">
        <f t="shared" si="1"/>
        <v>0</v>
      </c>
    </row>
    <row r="48" spans="1:14" ht="14.5">
      <c r="A48" s="1290" t="s">
        <v>384</v>
      </c>
      <c r="B48" s="1281" t="s">
        <v>343</v>
      </c>
      <c r="C48" s="1291"/>
      <c r="D48" s="1289"/>
      <c r="E48" s="1299"/>
      <c r="F48" s="1298"/>
      <c r="G48" s="1299"/>
      <c r="H48" s="1298"/>
      <c r="I48" s="1300">
        <f t="shared" si="0"/>
        <v>0</v>
      </c>
      <c r="J48" s="1298">
        <f t="shared" si="1"/>
        <v>0</v>
      </c>
    </row>
    <row r="49" spans="1:13" ht="14.5" hidden="1">
      <c r="A49" s="1290" t="s">
        <v>23</v>
      </c>
      <c r="B49" s="1290" t="s">
        <v>63</v>
      </c>
      <c r="C49" s="1291"/>
      <c r="D49" s="1289"/>
      <c r="E49" s="1299"/>
      <c r="F49" s="1298"/>
      <c r="G49" s="1299"/>
      <c r="H49" s="1298"/>
      <c r="I49" s="1299">
        <f t="shared" si="0"/>
        <v>0</v>
      </c>
      <c r="J49" s="1298">
        <f t="shared" si="1"/>
        <v>0</v>
      </c>
    </row>
    <row r="50" spans="1:13" ht="14.5" hidden="1">
      <c r="C50" s="1291"/>
      <c r="D50" s="1289"/>
      <c r="E50" s="1299"/>
      <c r="F50" s="1298"/>
      <c r="G50" s="1299"/>
      <c r="H50" s="1298"/>
      <c r="I50" s="1299">
        <f t="shared" si="0"/>
        <v>0</v>
      </c>
      <c r="J50" s="1298">
        <f t="shared" si="1"/>
        <v>0</v>
      </c>
    </row>
    <row r="51" spans="1:13" ht="14.5">
      <c r="A51" s="1286" t="s">
        <v>385</v>
      </c>
      <c r="C51" s="1291"/>
      <c r="D51" s="1289"/>
      <c r="E51" s="1299"/>
      <c r="F51" s="1298"/>
      <c r="G51" s="1299"/>
      <c r="H51" s="1298"/>
      <c r="I51" s="1299">
        <f t="shared" si="0"/>
        <v>0</v>
      </c>
      <c r="J51" s="1298">
        <f t="shared" si="1"/>
        <v>0</v>
      </c>
    </row>
    <row r="52" spans="1:13" ht="14.5">
      <c r="A52" s="1282" t="s">
        <v>386</v>
      </c>
      <c r="C52" s="1288">
        <v>1586378.87</v>
      </c>
      <c r="D52" s="1289"/>
      <c r="E52" s="1299"/>
      <c r="F52" s="1298"/>
      <c r="G52" s="1299"/>
      <c r="H52" s="1298"/>
      <c r="I52" s="1299">
        <f t="shared" si="0"/>
        <v>1586378.87</v>
      </c>
      <c r="J52" s="1298">
        <f t="shared" si="1"/>
        <v>0</v>
      </c>
    </row>
    <row r="53" spans="1:13" ht="14.5">
      <c r="C53" s="1291"/>
      <c r="D53" s="1289"/>
      <c r="E53" s="1299"/>
      <c r="F53" s="1298"/>
      <c r="G53" s="1299"/>
      <c r="H53" s="1298"/>
      <c r="I53" s="1299">
        <f t="shared" si="0"/>
        <v>0</v>
      </c>
      <c r="J53" s="1298">
        <f t="shared" si="1"/>
        <v>0</v>
      </c>
    </row>
    <row r="54" spans="1:13" ht="14.5">
      <c r="A54" s="1286" t="s">
        <v>65</v>
      </c>
      <c r="C54" s="1294">
        <v>15147681</v>
      </c>
      <c r="D54" s="1293"/>
      <c r="E54" s="1299"/>
      <c r="F54" s="1298"/>
      <c r="G54" s="1299"/>
      <c r="H54" s="1298"/>
      <c r="I54" s="1299">
        <f t="shared" si="0"/>
        <v>15147681</v>
      </c>
      <c r="J54" s="1298">
        <f t="shared" si="1"/>
        <v>0</v>
      </c>
    </row>
    <row r="55" spans="1:13" ht="14.5">
      <c r="A55" s="1286" t="s">
        <v>66</v>
      </c>
      <c r="C55" s="1292"/>
      <c r="D55" s="1293"/>
      <c r="E55" s="1299"/>
      <c r="F55" s="1298"/>
      <c r="G55" s="1299"/>
      <c r="H55" s="1298"/>
      <c r="I55" s="1299">
        <f t="shared" si="0"/>
        <v>0</v>
      </c>
      <c r="J55" s="1298">
        <f t="shared" si="1"/>
        <v>0</v>
      </c>
    </row>
    <row r="56" spans="1:13" ht="14.5">
      <c r="A56" s="1286"/>
      <c r="B56" s="1281" t="s">
        <v>387</v>
      </c>
      <c r="C56" s="1294">
        <v>136126</v>
      </c>
      <c r="D56" s="1293"/>
      <c r="E56" s="1299"/>
      <c r="F56" s="1298"/>
      <c r="G56" s="1299"/>
      <c r="H56" s="1298"/>
      <c r="I56" s="1299">
        <f t="shared" si="0"/>
        <v>136126</v>
      </c>
      <c r="J56" s="1298">
        <f t="shared" si="1"/>
        <v>0</v>
      </c>
    </row>
    <row r="57" spans="1:13" ht="14.5">
      <c r="A57" s="1282" t="s">
        <v>67</v>
      </c>
      <c r="B57" s="1282" t="s">
        <v>68</v>
      </c>
      <c r="C57" s="1291">
        <v>0</v>
      </c>
      <c r="D57" s="1289"/>
      <c r="E57" s="1297">
        <v>0</v>
      </c>
      <c r="F57" s="1298"/>
      <c r="G57" s="1299"/>
      <c r="H57" s="1298"/>
      <c r="I57" s="1297">
        <f t="shared" si="0"/>
        <v>0</v>
      </c>
      <c r="J57" s="1298">
        <f t="shared" si="1"/>
        <v>0</v>
      </c>
      <c r="K57" s="1301">
        <f>SUM(I57:I64)</f>
        <v>0</v>
      </c>
      <c r="L57" s="1301">
        <f>SUM(J274:J281)</f>
        <v>0</v>
      </c>
      <c r="M57" s="1301">
        <f>K57-L57</f>
        <v>0</v>
      </c>
    </row>
    <row r="58" spans="1:13" ht="14.5">
      <c r="A58" s="1282" t="s">
        <v>69</v>
      </c>
      <c r="B58" s="1282" t="s">
        <v>70</v>
      </c>
      <c r="C58" s="1291">
        <v>0</v>
      </c>
      <c r="D58" s="1289"/>
      <c r="E58" s="1297">
        <v>0</v>
      </c>
      <c r="F58" s="1298"/>
      <c r="G58" s="1299"/>
      <c r="H58" s="1298"/>
      <c r="I58" s="1297">
        <f t="shared" si="0"/>
        <v>0</v>
      </c>
      <c r="J58" s="1298">
        <f t="shared" si="1"/>
        <v>0</v>
      </c>
    </row>
    <row r="59" spans="1:13" ht="14.5">
      <c r="A59" s="1282" t="s">
        <v>71</v>
      </c>
      <c r="B59" s="1282" t="s">
        <v>72</v>
      </c>
      <c r="C59" s="1291">
        <v>0</v>
      </c>
      <c r="D59" s="1289"/>
      <c r="E59" s="1297">
        <v>0</v>
      </c>
      <c r="F59" s="1298"/>
      <c r="G59" s="1299"/>
      <c r="H59" s="1298"/>
      <c r="I59" s="1297">
        <f t="shared" si="0"/>
        <v>0</v>
      </c>
      <c r="J59" s="1298">
        <f t="shared" si="1"/>
        <v>0</v>
      </c>
    </row>
    <row r="60" spans="1:13" ht="14.5">
      <c r="A60" s="1282" t="s">
        <v>388</v>
      </c>
      <c r="B60" s="1282" t="s">
        <v>389</v>
      </c>
      <c r="C60" s="1291">
        <v>0</v>
      </c>
      <c r="D60" s="1289"/>
      <c r="E60" s="1297"/>
      <c r="F60" s="1298"/>
      <c r="G60" s="1299"/>
      <c r="H60" s="1298"/>
      <c r="I60" s="1297">
        <f t="shared" si="0"/>
        <v>0</v>
      </c>
      <c r="J60" s="1298">
        <f t="shared" si="1"/>
        <v>0</v>
      </c>
    </row>
    <row r="61" spans="1:13" ht="14.5">
      <c r="A61" s="1282" t="s">
        <v>73</v>
      </c>
      <c r="B61" s="1282" t="s">
        <v>74</v>
      </c>
      <c r="C61" s="1291">
        <v>0</v>
      </c>
      <c r="D61" s="1289"/>
      <c r="E61" s="1297">
        <v>0</v>
      </c>
      <c r="F61" s="1298"/>
      <c r="G61" s="1299"/>
      <c r="H61" s="1298"/>
      <c r="I61" s="1297">
        <f t="shared" si="0"/>
        <v>0</v>
      </c>
      <c r="J61" s="1298">
        <f t="shared" si="1"/>
        <v>0</v>
      </c>
      <c r="L61" s="1301">
        <f>I60+I62+I64</f>
        <v>0</v>
      </c>
    </row>
    <row r="62" spans="1:13" ht="14.5">
      <c r="A62" s="1282" t="s">
        <v>75</v>
      </c>
      <c r="B62" s="1282" t="s">
        <v>76</v>
      </c>
      <c r="C62" s="1291">
        <v>0</v>
      </c>
      <c r="D62" s="1289"/>
      <c r="E62" s="1297"/>
      <c r="F62" s="1298"/>
      <c r="G62" s="1299"/>
      <c r="H62" s="1298"/>
      <c r="I62" s="1297">
        <f t="shared" si="0"/>
        <v>0</v>
      </c>
      <c r="J62" s="1298">
        <f t="shared" si="1"/>
        <v>0</v>
      </c>
    </row>
    <row r="63" spans="1:13" ht="14.5">
      <c r="A63" s="1282" t="s">
        <v>77</v>
      </c>
      <c r="B63" s="1282" t="s">
        <v>78</v>
      </c>
      <c r="C63" s="1291">
        <v>0</v>
      </c>
      <c r="D63" s="1289"/>
      <c r="E63" s="1297">
        <v>0</v>
      </c>
      <c r="F63" s="1298"/>
      <c r="G63" s="1299"/>
      <c r="H63" s="1298"/>
      <c r="I63" s="1297">
        <f t="shared" si="0"/>
        <v>0</v>
      </c>
      <c r="J63" s="1298">
        <f t="shared" si="1"/>
        <v>0</v>
      </c>
    </row>
    <row r="64" spans="1:13" ht="14.5">
      <c r="A64" s="1282" t="s">
        <v>79</v>
      </c>
      <c r="B64" s="1282" t="s">
        <v>80</v>
      </c>
      <c r="C64" s="1291">
        <v>0</v>
      </c>
      <c r="D64" s="1289"/>
      <c r="E64" s="1299"/>
      <c r="F64" s="1298"/>
      <c r="G64" s="1299"/>
      <c r="H64" s="1298"/>
      <c r="I64" s="1297">
        <f t="shared" si="0"/>
        <v>0</v>
      </c>
      <c r="J64" s="1298">
        <f t="shared" si="1"/>
        <v>0</v>
      </c>
    </row>
    <row r="65" spans="1:10" ht="14.5">
      <c r="A65" s="1290" t="s">
        <v>390</v>
      </c>
      <c r="B65" s="1290" t="s">
        <v>70</v>
      </c>
      <c r="C65" s="1291"/>
      <c r="D65" s="1289"/>
      <c r="E65" s="1299"/>
      <c r="F65" s="1298"/>
      <c r="G65" s="1299"/>
      <c r="H65" s="1298"/>
      <c r="I65" s="1299">
        <f t="shared" si="0"/>
        <v>0</v>
      </c>
      <c r="J65" s="1298">
        <f t="shared" si="1"/>
        <v>0</v>
      </c>
    </row>
    <row r="66" spans="1:10" ht="14.5">
      <c r="A66" s="1290" t="s">
        <v>391</v>
      </c>
      <c r="B66" s="1290" t="s">
        <v>74</v>
      </c>
      <c r="C66" s="1291"/>
      <c r="D66" s="1289"/>
      <c r="E66" s="1299"/>
      <c r="F66" s="1298"/>
      <c r="G66" s="1299"/>
      <c r="H66" s="1298"/>
      <c r="I66" s="1299">
        <f t="shared" si="0"/>
        <v>0</v>
      </c>
      <c r="J66" s="1298">
        <f t="shared" si="1"/>
        <v>0</v>
      </c>
    </row>
    <row r="67" spans="1:10" ht="14.5">
      <c r="A67" s="1290" t="s">
        <v>392</v>
      </c>
      <c r="B67" s="1290" t="s">
        <v>78</v>
      </c>
      <c r="C67" s="1291"/>
      <c r="D67" s="1289"/>
      <c r="E67" s="1299"/>
      <c r="F67" s="1298"/>
      <c r="G67" s="1299"/>
      <c r="H67" s="1298"/>
      <c r="I67" s="1299">
        <f t="shared" si="0"/>
        <v>0</v>
      </c>
      <c r="J67" s="1298">
        <f t="shared" si="1"/>
        <v>0</v>
      </c>
    </row>
    <row r="68" spans="1:10" ht="14.5" hidden="1">
      <c r="C68" s="1291"/>
      <c r="D68" s="1289"/>
      <c r="E68" s="1299"/>
      <c r="F68" s="1298"/>
      <c r="G68" s="1299"/>
      <c r="H68" s="1298"/>
      <c r="I68" s="1299">
        <f t="shared" si="0"/>
        <v>0</v>
      </c>
      <c r="J68" s="1298">
        <f t="shared" si="1"/>
        <v>0</v>
      </c>
    </row>
    <row r="69" spans="1:10" ht="14.5" hidden="1">
      <c r="C69" s="1291"/>
      <c r="D69" s="1289"/>
      <c r="E69" s="1299"/>
      <c r="F69" s="1298"/>
      <c r="G69" s="1299"/>
      <c r="H69" s="1298"/>
      <c r="I69" s="1299">
        <f t="shared" si="0"/>
        <v>0</v>
      </c>
      <c r="J69" s="1298">
        <f t="shared" si="1"/>
        <v>0</v>
      </c>
    </row>
    <row r="70" spans="1:10" ht="14.5" hidden="1">
      <c r="C70" s="1291"/>
      <c r="D70" s="1289"/>
      <c r="E70" s="1299"/>
      <c r="F70" s="1298"/>
      <c r="G70" s="1299"/>
      <c r="H70" s="1298"/>
      <c r="I70" s="1299">
        <f t="shared" si="0"/>
        <v>0</v>
      </c>
      <c r="J70" s="1298">
        <f t="shared" si="1"/>
        <v>0</v>
      </c>
    </row>
    <row r="71" spans="1:10" ht="14.5" hidden="1">
      <c r="C71" s="1291"/>
      <c r="D71" s="1289"/>
      <c r="E71" s="1299"/>
      <c r="F71" s="1298"/>
      <c r="G71" s="1299"/>
      <c r="H71" s="1298"/>
      <c r="I71" s="1299">
        <f t="shared" si="0"/>
        <v>0</v>
      </c>
      <c r="J71" s="1298">
        <f t="shared" si="1"/>
        <v>0</v>
      </c>
    </row>
    <row r="72" spans="1:10" ht="14.5" hidden="1">
      <c r="A72" s="1286" t="s">
        <v>81</v>
      </c>
      <c r="C72" s="1292"/>
      <c r="D72" s="1293"/>
      <c r="E72" s="1299"/>
      <c r="F72" s="1298"/>
      <c r="G72" s="1299"/>
      <c r="H72" s="1298"/>
      <c r="I72" s="1299">
        <f t="shared" si="0"/>
        <v>0</v>
      </c>
      <c r="J72" s="1298">
        <f t="shared" si="1"/>
        <v>0</v>
      </c>
    </row>
    <row r="73" spans="1:10" ht="14.5">
      <c r="A73" s="1286" t="s">
        <v>82</v>
      </c>
      <c r="C73" s="1292"/>
      <c r="D73" s="1293"/>
      <c r="E73" s="1299"/>
      <c r="F73" s="1298"/>
      <c r="G73" s="1299"/>
      <c r="H73" s="1298"/>
      <c r="I73" s="1299">
        <f t="shared" si="0"/>
        <v>0</v>
      </c>
      <c r="J73" s="1298">
        <f t="shared" si="1"/>
        <v>0</v>
      </c>
    </row>
    <row r="74" spans="1:10" s="1281" customFormat="1" ht="14.5">
      <c r="A74" s="1290"/>
      <c r="B74" s="1122" t="s">
        <v>393</v>
      </c>
      <c r="C74" s="1291">
        <v>0</v>
      </c>
      <c r="D74" s="1289"/>
      <c r="E74" s="1299"/>
      <c r="F74" s="1298"/>
      <c r="G74" s="1299"/>
      <c r="H74" s="1298"/>
      <c r="I74" s="1292">
        <f t="shared" ref="I74:I137" si="2">C74+G74</f>
        <v>0</v>
      </c>
      <c r="J74" s="1302">
        <f t="shared" ref="J74:J137" si="3">D74+H74</f>
        <v>0</v>
      </c>
    </row>
    <row r="75" spans="1:10" ht="14.5">
      <c r="A75" s="1290" t="s">
        <v>394</v>
      </c>
      <c r="B75" s="1122" t="s">
        <v>395</v>
      </c>
      <c r="C75" s="1291"/>
      <c r="D75" s="1289"/>
      <c r="E75" s="1299"/>
      <c r="F75" s="1298"/>
      <c r="G75" s="1299"/>
      <c r="H75" s="1298"/>
      <c r="I75" s="1292">
        <f t="shared" si="2"/>
        <v>0</v>
      </c>
      <c r="J75" s="1302">
        <f t="shared" si="3"/>
        <v>0</v>
      </c>
    </row>
    <row r="76" spans="1:10" ht="25">
      <c r="A76" s="1290"/>
      <c r="B76" s="1122" t="s">
        <v>396</v>
      </c>
      <c r="C76" s="1291"/>
      <c r="D76" s="1289"/>
      <c r="E76" s="1299"/>
      <c r="F76" s="1298"/>
      <c r="G76" s="1299"/>
      <c r="H76" s="1298"/>
      <c r="I76" s="1292">
        <f t="shared" si="2"/>
        <v>0</v>
      </c>
      <c r="J76" s="1302">
        <f t="shared" si="3"/>
        <v>0</v>
      </c>
    </row>
    <row r="77" spans="1:10" ht="14.5">
      <c r="A77" s="1290" t="s">
        <v>83</v>
      </c>
      <c r="B77" s="1122" t="s">
        <v>84</v>
      </c>
      <c r="C77" s="1291">
        <v>0</v>
      </c>
      <c r="D77" s="1289"/>
      <c r="E77" s="1299"/>
      <c r="F77" s="1298"/>
      <c r="G77" s="1299"/>
      <c r="H77" s="1298"/>
      <c r="I77" s="1292">
        <f t="shared" si="2"/>
        <v>0</v>
      </c>
      <c r="J77" s="1302">
        <f t="shared" si="3"/>
        <v>0</v>
      </c>
    </row>
    <row r="78" spans="1:10" ht="14.5">
      <c r="A78" s="1290"/>
      <c r="B78" s="1122" t="s">
        <v>397</v>
      </c>
      <c r="C78" s="1291">
        <v>0</v>
      </c>
      <c r="D78" s="1289"/>
      <c r="E78" s="1299"/>
      <c r="F78" s="1298"/>
      <c r="G78" s="1299"/>
      <c r="H78" s="1298"/>
      <c r="I78" s="1292">
        <f t="shared" si="2"/>
        <v>0</v>
      </c>
      <c r="J78" s="1302">
        <f t="shared" si="3"/>
        <v>0</v>
      </c>
    </row>
    <row r="79" spans="1:10" s="1281" customFormat="1" ht="14.5">
      <c r="A79" s="1290"/>
      <c r="B79" s="1122" t="s">
        <v>398</v>
      </c>
      <c r="C79" s="1291">
        <v>0</v>
      </c>
      <c r="D79" s="1289"/>
      <c r="E79" s="1299"/>
      <c r="F79" s="1298"/>
      <c r="G79" s="1299"/>
      <c r="H79" s="1298"/>
      <c r="I79" s="1292">
        <f t="shared" si="2"/>
        <v>0</v>
      </c>
      <c r="J79" s="1302">
        <f t="shared" si="3"/>
        <v>0</v>
      </c>
    </row>
    <row r="80" spans="1:10" s="1281" customFormat="1" ht="14.5">
      <c r="A80" s="1290"/>
      <c r="B80" s="1122" t="s">
        <v>399</v>
      </c>
      <c r="C80" s="1291">
        <v>0</v>
      </c>
      <c r="D80" s="1289"/>
      <c r="E80" s="1299"/>
      <c r="F80" s="1298"/>
      <c r="G80" s="1299"/>
      <c r="H80" s="1298"/>
      <c r="I80" s="1292">
        <f t="shared" si="2"/>
        <v>0</v>
      </c>
      <c r="J80" s="1302">
        <f t="shared" si="3"/>
        <v>0</v>
      </c>
    </row>
    <row r="81" spans="1:10" s="1281" customFormat="1" ht="14.5">
      <c r="A81" s="1290"/>
      <c r="B81" s="1122" t="s">
        <v>400</v>
      </c>
      <c r="C81" s="1291">
        <v>0</v>
      </c>
      <c r="D81" s="1289"/>
      <c r="E81" s="1299"/>
      <c r="F81" s="1298"/>
      <c r="G81" s="1299"/>
      <c r="H81" s="1298"/>
      <c r="I81" s="1292">
        <f t="shared" si="2"/>
        <v>0</v>
      </c>
      <c r="J81" s="1302">
        <f t="shared" si="3"/>
        <v>0</v>
      </c>
    </row>
    <row r="82" spans="1:10" s="1281" customFormat="1" ht="14.5">
      <c r="A82" s="1290"/>
      <c r="B82" s="1122" t="s">
        <v>401</v>
      </c>
      <c r="C82" s="1291">
        <v>0</v>
      </c>
      <c r="D82" s="1289">
        <v>0</v>
      </c>
      <c r="E82" s="1299"/>
      <c r="F82" s="1298"/>
      <c r="G82" s="1299"/>
      <c r="H82" s="1298"/>
      <c r="I82" s="1292">
        <f t="shared" si="2"/>
        <v>0</v>
      </c>
      <c r="J82" s="1303">
        <f t="shared" si="3"/>
        <v>0</v>
      </c>
    </row>
    <row r="83" spans="1:10" ht="14.5">
      <c r="A83" s="1290" t="s">
        <v>402</v>
      </c>
      <c r="B83" s="1122" t="s">
        <v>403</v>
      </c>
      <c r="C83" s="1291">
        <v>0</v>
      </c>
      <c r="D83" s="1289"/>
      <c r="E83" s="1299"/>
      <c r="F83" s="1298"/>
      <c r="G83" s="1299"/>
      <c r="H83" s="1298"/>
      <c r="I83" s="1292">
        <f t="shared" si="2"/>
        <v>0</v>
      </c>
      <c r="J83" s="1302">
        <f t="shared" si="3"/>
        <v>0</v>
      </c>
    </row>
    <row r="84" spans="1:10" ht="14.5">
      <c r="A84" s="1290" t="s">
        <v>404</v>
      </c>
      <c r="B84" s="1122" t="s">
        <v>405</v>
      </c>
      <c r="C84" s="1291">
        <v>0</v>
      </c>
      <c r="D84" s="1289"/>
      <c r="E84" s="1299"/>
      <c r="F84" s="1298"/>
      <c r="G84" s="1299"/>
      <c r="H84" s="1298"/>
      <c r="I84" s="1292">
        <f t="shared" si="2"/>
        <v>0</v>
      </c>
      <c r="J84" s="1302">
        <f t="shared" si="3"/>
        <v>0</v>
      </c>
    </row>
    <row r="85" spans="1:10" ht="14.5">
      <c r="A85" s="1290" t="s">
        <v>406</v>
      </c>
      <c r="B85" s="1122" t="s">
        <v>407</v>
      </c>
      <c r="C85" s="1291"/>
      <c r="D85" s="1289"/>
      <c r="E85" s="1299"/>
      <c r="F85" s="1298"/>
      <c r="G85" s="1299"/>
      <c r="H85" s="1298"/>
      <c r="I85" s="1292">
        <f t="shared" si="2"/>
        <v>0</v>
      </c>
      <c r="J85" s="1302">
        <f t="shared" si="3"/>
        <v>0</v>
      </c>
    </row>
    <row r="86" spans="1:10" ht="14.5">
      <c r="A86" s="1290" t="s">
        <v>408</v>
      </c>
      <c r="B86" s="1122" t="s">
        <v>409</v>
      </c>
      <c r="C86" s="1291"/>
      <c r="D86" s="1289"/>
      <c r="E86" s="1299"/>
      <c r="F86" s="1298"/>
      <c r="G86" s="1299"/>
      <c r="H86" s="1298"/>
      <c r="I86" s="1292">
        <f t="shared" si="2"/>
        <v>0</v>
      </c>
      <c r="J86" s="1302">
        <f t="shared" si="3"/>
        <v>0</v>
      </c>
    </row>
    <row r="87" spans="1:10" ht="14.5">
      <c r="A87" s="1290" t="s">
        <v>410</v>
      </c>
      <c r="B87" s="1122" t="s">
        <v>411</v>
      </c>
      <c r="C87" s="1291"/>
      <c r="D87" s="1289"/>
      <c r="E87" s="1299"/>
      <c r="F87" s="1298"/>
      <c r="G87" s="1299"/>
      <c r="H87" s="1298"/>
      <c r="I87" s="1292">
        <f t="shared" si="2"/>
        <v>0</v>
      </c>
      <c r="J87" s="1302">
        <f t="shared" si="3"/>
        <v>0</v>
      </c>
    </row>
    <row r="88" spans="1:10" ht="14.5">
      <c r="A88" s="1290" t="s">
        <v>412</v>
      </c>
      <c r="B88" s="1122" t="s">
        <v>413</v>
      </c>
      <c r="C88" s="1291"/>
      <c r="D88" s="1289"/>
      <c r="E88" s="1299"/>
      <c r="F88" s="1298"/>
      <c r="G88" s="1299"/>
      <c r="H88" s="1298"/>
      <c r="I88" s="1292">
        <f t="shared" si="2"/>
        <v>0</v>
      </c>
      <c r="J88" s="1302">
        <f t="shared" si="3"/>
        <v>0</v>
      </c>
    </row>
    <row r="89" spans="1:10" ht="14.5">
      <c r="A89" s="1290"/>
      <c r="B89" s="1122" t="s">
        <v>414</v>
      </c>
      <c r="C89" s="1291">
        <v>0</v>
      </c>
      <c r="D89" s="1289"/>
      <c r="E89" s="1299"/>
      <c r="F89" s="1298"/>
      <c r="G89" s="1299"/>
      <c r="H89" s="1298"/>
      <c r="I89" s="1292">
        <f t="shared" si="2"/>
        <v>0</v>
      </c>
      <c r="J89" s="1302">
        <f t="shared" si="3"/>
        <v>0</v>
      </c>
    </row>
    <row r="90" spans="1:10" s="1281" customFormat="1" ht="14.5">
      <c r="A90" s="1290"/>
      <c r="B90" s="1122" t="s">
        <v>415</v>
      </c>
      <c r="C90" s="1291">
        <v>0</v>
      </c>
      <c r="D90" s="1289"/>
      <c r="E90" s="1299"/>
      <c r="F90" s="1298"/>
      <c r="G90" s="1299"/>
      <c r="H90" s="1298"/>
      <c r="I90" s="1292">
        <f t="shared" si="2"/>
        <v>0</v>
      </c>
      <c r="J90" s="1302">
        <f t="shared" si="3"/>
        <v>0</v>
      </c>
    </row>
    <row r="91" spans="1:10" s="1281" customFormat="1" ht="14.5">
      <c r="A91" s="1290"/>
      <c r="B91" s="1122" t="s">
        <v>416</v>
      </c>
      <c r="C91" s="1291">
        <v>0</v>
      </c>
      <c r="D91" s="1289"/>
      <c r="E91" s="1299"/>
      <c r="F91" s="1298"/>
      <c r="G91" s="1299"/>
      <c r="H91" s="1298"/>
      <c r="I91" s="1292">
        <f t="shared" si="2"/>
        <v>0</v>
      </c>
      <c r="J91" s="1302">
        <f t="shared" si="3"/>
        <v>0</v>
      </c>
    </row>
    <row r="92" spans="1:10" s="1281" customFormat="1" ht="14.5">
      <c r="A92" s="1290"/>
      <c r="B92" s="1122" t="s">
        <v>417</v>
      </c>
      <c r="C92" s="1291">
        <v>0</v>
      </c>
      <c r="D92" s="1289"/>
      <c r="E92" s="1299"/>
      <c r="F92" s="1298"/>
      <c r="G92" s="1299"/>
      <c r="H92" s="1298"/>
      <c r="I92" s="1292">
        <f t="shared" si="2"/>
        <v>0</v>
      </c>
      <c r="J92" s="1302">
        <f t="shared" si="3"/>
        <v>0</v>
      </c>
    </row>
    <row r="93" spans="1:10" ht="14.5">
      <c r="A93" s="1290" t="s">
        <v>418</v>
      </c>
      <c r="B93" s="1122" t="s">
        <v>419</v>
      </c>
      <c r="C93" s="1291">
        <v>0</v>
      </c>
      <c r="D93" s="1289"/>
      <c r="E93" s="1299"/>
      <c r="F93" s="1298"/>
      <c r="G93" s="1299"/>
      <c r="H93" s="1298"/>
      <c r="I93" s="1292">
        <f t="shared" si="2"/>
        <v>0</v>
      </c>
      <c r="J93" s="1302">
        <f t="shared" si="3"/>
        <v>0</v>
      </c>
    </row>
    <row r="94" spans="1:10" ht="14.5">
      <c r="A94" s="1290"/>
      <c r="B94" s="1122" t="s">
        <v>420</v>
      </c>
      <c r="C94" s="1291"/>
      <c r="D94" s="1289"/>
      <c r="E94" s="1299"/>
      <c r="F94" s="1298"/>
      <c r="G94" s="1299"/>
      <c r="H94" s="1298"/>
      <c r="I94" s="1292">
        <f t="shared" si="2"/>
        <v>0</v>
      </c>
      <c r="J94" s="1302">
        <f t="shared" si="3"/>
        <v>0</v>
      </c>
    </row>
    <row r="95" spans="1:10" ht="14.5">
      <c r="A95" s="1290" t="s">
        <v>421</v>
      </c>
      <c r="B95" s="1122" t="s">
        <v>422</v>
      </c>
      <c r="C95" s="1291"/>
      <c r="D95" s="1289"/>
      <c r="E95" s="1299"/>
      <c r="F95" s="1298"/>
      <c r="G95" s="1299"/>
      <c r="H95" s="1298"/>
      <c r="I95" s="1292">
        <f t="shared" si="2"/>
        <v>0</v>
      </c>
      <c r="J95" s="1302">
        <f t="shared" si="3"/>
        <v>0</v>
      </c>
    </row>
    <row r="96" spans="1:10" ht="14.5">
      <c r="A96" s="1290" t="s">
        <v>423</v>
      </c>
      <c r="B96" s="1122" t="s">
        <v>424</v>
      </c>
      <c r="C96" s="1291"/>
      <c r="D96" s="1289"/>
      <c r="E96" s="1299"/>
      <c r="F96" s="1298"/>
      <c r="G96" s="1299"/>
      <c r="H96" s="1298"/>
      <c r="I96" s="1292">
        <f t="shared" si="2"/>
        <v>0</v>
      </c>
      <c r="J96" s="1302">
        <f t="shared" si="3"/>
        <v>0</v>
      </c>
    </row>
    <row r="97" spans="1:10" ht="14.5">
      <c r="A97" s="1290" t="s">
        <v>425</v>
      </c>
      <c r="B97" s="1122" t="s">
        <v>426</v>
      </c>
      <c r="C97" s="1291">
        <v>0</v>
      </c>
      <c r="D97" s="1289"/>
      <c r="E97" s="1299"/>
      <c r="F97" s="1298"/>
      <c r="G97" s="1299"/>
      <c r="H97" s="1298"/>
      <c r="I97" s="1292">
        <f t="shared" si="2"/>
        <v>0</v>
      </c>
      <c r="J97" s="1302">
        <f t="shared" si="3"/>
        <v>0</v>
      </c>
    </row>
    <row r="98" spans="1:10" s="1281" customFormat="1" ht="14.5">
      <c r="A98" s="1290"/>
      <c r="B98" s="1122" t="s">
        <v>427</v>
      </c>
      <c r="C98" s="1291">
        <v>0</v>
      </c>
      <c r="D98" s="1289"/>
      <c r="E98" s="1299"/>
      <c r="F98" s="1298"/>
      <c r="G98" s="1299"/>
      <c r="H98" s="1298"/>
      <c r="I98" s="1292">
        <f t="shared" si="2"/>
        <v>0</v>
      </c>
      <c r="J98" s="1302">
        <f t="shared" si="3"/>
        <v>0</v>
      </c>
    </row>
    <row r="99" spans="1:10" s="1281" customFormat="1" ht="14.5">
      <c r="A99" s="1290"/>
      <c r="B99" s="1122" t="s">
        <v>428</v>
      </c>
      <c r="C99" s="1291">
        <v>0</v>
      </c>
      <c r="D99" s="1289"/>
      <c r="E99" s="1299"/>
      <c r="F99" s="1298"/>
      <c r="G99" s="1299"/>
      <c r="H99" s="1298"/>
      <c r="I99" s="1292">
        <f t="shared" si="2"/>
        <v>0</v>
      </c>
      <c r="J99" s="1302">
        <f t="shared" si="3"/>
        <v>0</v>
      </c>
    </row>
    <row r="100" spans="1:10" s="1281" customFormat="1" ht="14.5">
      <c r="A100" s="1290"/>
      <c r="B100" s="1122" t="s">
        <v>429</v>
      </c>
      <c r="C100" s="1291">
        <v>0</v>
      </c>
      <c r="D100" s="1289"/>
      <c r="E100" s="1299"/>
      <c r="F100" s="1298"/>
      <c r="G100" s="1299"/>
      <c r="H100" s="1298"/>
      <c r="I100" s="1292">
        <f t="shared" si="2"/>
        <v>0</v>
      </c>
      <c r="J100" s="1302">
        <f t="shared" si="3"/>
        <v>0</v>
      </c>
    </row>
    <row r="101" spans="1:10" ht="14.5">
      <c r="A101" s="1290" t="s">
        <v>87</v>
      </c>
      <c r="B101" s="1122" t="s">
        <v>88</v>
      </c>
      <c r="C101" s="1291">
        <v>0</v>
      </c>
      <c r="D101" s="1289"/>
      <c r="E101" s="1299"/>
      <c r="F101" s="1298"/>
      <c r="G101" s="1299"/>
      <c r="H101" s="1298"/>
      <c r="I101" s="1292">
        <f t="shared" si="2"/>
        <v>0</v>
      </c>
      <c r="J101" s="1302">
        <f t="shared" si="3"/>
        <v>0</v>
      </c>
    </row>
    <row r="102" spans="1:10" ht="14.5">
      <c r="A102" s="1290"/>
      <c r="B102" s="1122" t="s">
        <v>430</v>
      </c>
      <c r="C102" s="1291">
        <v>0</v>
      </c>
      <c r="D102" s="1289"/>
      <c r="E102" s="1299"/>
      <c r="F102" s="1298"/>
      <c r="G102" s="1299"/>
      <c r="H102" s="1298"/>
      <c r="I102" s="1292">
        <f t="shared" si="2"/>
        <v>0</v>
      </c>
      <c r="J102" s="1302">
        <f t="shared" si="3"/>
        <v>0</v>
      </c>
    </row>
    <row r="103" spans="1:10" ht="14.5">
      <c r="A103" s="1290"/>
      <c r="B103" s="1122" t="s">
        <v>431</v>
      </c>
      <c r="C103" s="1291">
        <v>0</v>
      </c>
      <c r="D103" s="1289"/>
      <c r="E103" s="1299"/>
      <c r="F103" s="1298"/>
      <c r="G103" s="1299"/>
      <c r="H103" s="1298"/>
      <c r="I103" s="1292">
        <f t="shared" si="2"/>
        <v>0</v>
      </c>
      <c r="J103" s="1302">
        <f t="shared" si="3"/>
        <v>0</v>
      </c>
    </row>
    <row r="104" spans="1:10" ht="25">
      <c r="A104" s="1290"/>
      <c r="B104" s="1122" t="s">
        <v>432</v>
      </c>
      <c r="C104" s="1291">
        <v>0</v>
      </c>
      <c r="D104" s="1289"/>
      <c r="E104" s="1299"/>
      <c r="F104" s="1298"/>
      <c r="G104" s="1299"/>
      <c r="H104" s="1298"/>
      <c r="I104" s="1292">
        <f t="shared" si="2"/>
        <v>0</v>
      </c>
      <c r="J104" s="1302">
        <f t="shared" si="3"/>
        <v>0</v>
      </c>
    </row>
    <row r="105" spans="1:10" ht="14.5">
      <c r="A105" s="1290" t="s">
        <v>89</v>
      </c>
      <c r="B105" s="1122" t="s">
        <v>90</v>
      </c>
      <c r="C105" s="1291">
        <v>0</v>
      </c>
      <c r="D105" s="1289"/>
      <c r="E105" s="1299"/>
      <c r="F105" s="1298"/>
      <c r="G105" s="1299"/>
      <c r="H105" s="1298"/>
      <c r="I105" s="1292">
        <f t="shared" si="2"/>
        <v>0</v>
      </c>
      <c r="J105" s="1302">
        <f t="shared" si="3"/>
        <v>0</v>
      </c>
    </row>
    <row r="106" spans="1:10" ht="14.5">
      <c r="A106" s="1290"/>
      <c r="B106" s="1122" t="s">
        <v>433</v>
      </c>
      <c r="C106" s="1291">
        <v>0</v>
      </c>
      <c r="D106" s="1289"/>
      <c r="E106" s="1299"/>
      <c r="F106" s="1298"/>
      <c r="G106" s="1299"/>
      <c r="H106" s="1298"/>
      <c r="I106" s="1292">
        <f t="shared" si="2"/>
        <v>0</v>
      </c>
      <c r="J106" s="1302">
        <f t="shared" si="3"/>
        <v>0</v>
      </c>
    </row>
    <row r="107" spans="1:10" ht="14.5">
      <c r="A107" s="1290" t="s">
        <v>95</v>
      </c>
      <c r="B107" s="1122" t="s">
        <v>96</v>
      </c>
      <c r="C107" s="1291">
        <v>0</v>
      </c>
      <c r="D107" s="1289"/>
      <c r="E107" s="1299"/>
      <c r="F107" s="1298"/>
      <c r="G107" s="1299"/>
      <c r="H107" s="1298"/>
      <c r="I107" s="1292">
        <f t="shared" si="2"/>
        <v>0</v>
      </c>
      <c r="J107" s="1302">
        <f t="shared" si="3"/>
        <v>0</v>
      </c>
    </row>
    <row r="108" spans="1:10" ht="14.5">
      <c r="A108" s="1290"/>
      <c r="B108" s="1122" t="s">
        <v>434</v>
      </c>
      <c r="C108" s="1291"/>
      <c r="D108" s="1289"/>
      <c r="E108" s="1299"/>
      <c r="F108" s="1298"/>
      <c r="G108" s="1299"/>
      <c r="H108" s="1298"/>
      <c r="I108" s="1292">
        <f t="shared" si="2"/>
        <v>0</v>
      </c>
      <c r="J108" s="1302">
        <f t="shared" si="3"/>
        <v>0</v>
      </c>
    </row>
    <row r="109" spans="1:10" ht="14.5">
      <c r="A109" s="1290" t="s">
        <v>435</v>
      </c>
      <c r="B109" s="1122" t="s">
        <v>436</v>
      </c>
      <c r="C109" s="1291">
        <v>0</v>
      </c>
      <c r="D109" s="1289"/>
      <c r="E109" s="1299"/>
      <c r="F109" s="1298"/>
      <c r="G109" s="1299"/>
      <c r="H109" s="1298"/>
      <c r="I109" s="1292">
        <f t="shared" si="2"/>
        <v>0</v>
      </c>
      <c r="J109" s="1302">
        <f t="shared" si="3"/>
        <v>0</v>
      </c>
    </row>
    <row r="110" spans="1:10" s="1281" customFormat="1" ht="14.5">
      <c r="A110" s="1290"/>
      <c r="B110" s="1122" t="s">
        <v>437</v>
      </c>
      <c r="C110" s="1291">
        <v>0</v>
      </c>
      <c r="D110" s="1289"/>
      <c r="E110" s="1299"/>
      <c r="F110" s="1298"/>
      <c r="G110" s="1299"/>
      <c r="H110" s="1298"/>
      <c r="I110" s="1292">
        <f t="shared" si="2"/>
        <v>0</v>
      </c>
      <c r="J110" s="1302">
        <f t="shared" si="3"/>
        <v>0</v>
      </c>
    </row>
    <row r="111" spans="1:10" s="1281" customFormat="1" ht="14.5">
      <c r="A111" s="1290"/>
      <c r="B111" s="1122" t="s">
        <v>438</v>
      </c>
      <c r="C111" s="1291">
        <v>0</v>
      </c>
      <c r="D111" s="1289"/>
      <c r="E111" s="1299"/>
      <c r="F111" s="1298"/>
      <c r="G111" s="1299"/>
      <c r="H111" s="1298"/>
      <c r="I111" s="1292">
        <f t="shared" si="2"/>
        <v>0</v>
      </c>
      <c r="J111" s="1302">
        <f t="shared" si="3"/>
        <v>0</v>
      </c>
    </row>
    <row r="112" spans="1:10" s="1281" customFormat="1" ht="14.5">
      <c r="A112" s="1290"/>
      <c r="B112" s="1122" t="s">
        <v>439</v>
      </c>
      <c r="C112" s="1291">
        <v>0</v>
      </c>
      <c r="D112" s="1289"/>
      <c r="E112" s="1299"/>
      <c r="F112" s="1298"/>
      <c r="G112" s="1299"/>
      <c r="H112" s="1298"/>
      <c r="I112" s="1292">
        <f t="shared" si="2"/>
        <v>0</v>
      </c>
      <c r="J112" s="1302">
        <f t="shared" si="3"/>
        <v>0</v>
      </c>
    </row>
    <row r="113" spans="1:10" ht="14.5">
      <c r="A113" s="1290" t="s">
        <v>440</v>
      </c>
      <c r="B113" s="1122" t="s">
        <v>441</v>
      </c>
      <c r="C113" s="1291">
        <v>0</v>
      </c>
      <c r="D113" s="1289"/>
      <c r="E113" s="1299"/>
      <c r="F113" s="1298"/>
      <c r="G113" s="1299"/>
      <c r="H113" s="1298"/>
      <c r="I113" s="1292">
        <f t="shared" si="2"/>
        <v>0</v>
      </c>
      <c r="J113" s="1302">
        <f t="shared" si="3"/>
        <v>0</v>
      </c>
    </row>
    <row r="114" spans="1:10" ht="14.5">
      <c r="A114" s="1290" t="s">
        <v>442</v>
      </c>
      <c r="B114" s="1122" t="s">
        <v>443</v>
      </c>
      <c r="C114" s="1291">
        <v>0</v>
      </c>
      <c r="D114" s="1289"/>
      <c r="E114" s="1299"/>
      <c r="F114" s="1298"/>
      <c r="G114" s="1299"/>
      <c r="H114" s="1298"/>
      <c r="I114" s="1292">
        <f t="shared" si="2"/>
        <v>0</v>
      </c>
      <c r="J114" s="1302">
        <f t="shared" si="3"/>
        <v>0</v>
      </c>
    </row>
    <row r="115" spans="1:10" ht="14.5">
      <c r="A115" s="1290"/>
      <c r="B115" s="1122" t="s">
        <v>444</v>
      </c>
      <c r="C115" s="1291">
        <v>0</v>
      </c>
      <c r="D115" s="1289"/>
      <c r="E115" s="1299"/>
      <c r="F115" s="1298"/>
      <c r="G115" s="1299"/>
      <c r="H115" s="1298"/>
      <c r="I115" s="1292">
        <f t="shared" si="2"/>
        <v>0</v>
      </c>
      <c r="J115" s="1302">
        <f t="shared" si="3"/>
        <v>0</v>
      </c>
    </row>
    <row r="116" spans="1:10" s="1281" customFormat="1" ht="14.5">
      <c r="A116" s="1290"/>
      <c r="B116" s="1122" t="s">
        <v>445</v>
      </c>
      <c r="C116" s="1291">
        <v>0</v>
      </c>
      <c r="D116" s="1289"/>
      <c r="E116" s="1299"/>
      <c r="F116" s="1298"/>
      <c r="G116" s="1299"/>
      <c r="H116" s="1298"/>
      <c r="I116" s="1292">
        <f t="shared" si="2"/>
        <v>0</v>
      </c>
      <c r="J116" s="1302">
        <f t="shared" si="3"/>
        <v>0</v>
      </c>
    </row>
    <row r="117" spans="1:10" ht="14.5">
      <c r="A117" s="1290"/>
      <c r="B117" s="1122" t="s">
        <v>446</v>
      </c>
      <c r="C117" s="1291">
        <v>0</v>
      </c>
      <c r="D117" s="1289"/>
      <c r="E117" s="1299"/>
      <c r="F117" s="1298"/>
      <c r="G117" s="1299"/>
      <c r="H117" s="1298"/>
      <c r="I117" s="1292">
        <f t="shared" si="2"/>
        <v>0</v>
      </c>
      <c r="J117" s="1302">
        <f t="shared" si="3"/>
        <v>0</v>
      </c>
    </row>
    <row r="118" spans="1:10" ht="14.5">
      <c r="A118" s="1290" t="s">
        <v>447</v>
      </c>
      <c r="B118" s="1122" t="s">
        <v>448</v>
      </c>
      <c r="C118" s="1291">
        <v>0</v>
      </c>
      <c r="D118" s="1289"/>
      <c r="E118" s="1299"/>
      <c r="F118" s="1298"/>
      <c r="G118" s="1299"/>
      <c r="H118" s="1298"/>
      <c r="I118" s="1292">
        <f t="shared" si="2"/>
        <v>0</v>
      </c>
      <c r="J118" s="1302">
        <f t="shared" si="3"/>
        <v>0</v>
      </c>
    </row>
    <row r="119" spans="1:10" ht="14.5">
      <c r="A119" s="1290"/>
      <c r="B119" s="1122" t="s">
        <v>449</v>
      </c>
      <c r="C119" s="1291">
        <v>0</v>
      </c>
      <c r="D119" s="1289"/>
      <c r="E119" s="1299"/>
      <c r="F119" s="1298"/>
      <c r="G119" s="1299"/>
      <c r="H119" s="1298"/>
      <c r="I119" s="1292">
        <f t="shared" si="2"/>
        <v>0</v>
      </c>
      <c r="J119" s="1302">
        <f t="shared" si="3"/>
        <v>0</v>
      </c>
    </row>
    <row r="120" spans="1:10" ht="14.5">
      <c r="A120" s="1290"/>
      <c r="B120" s="1122" t="s">
        <v>450</v>
      </c>
      <c r="C120" s="1291">
        <v>0</v>
      </c>
      <c r="D120" s="1289"/>
      <c r="E120" s="1299"/>
      <c r="F120" s="1298"/>
      <c r="G120" s="1299"/>
      <c r="H120" s="1298"/>
      <c r="I120" s="1292">
        <f t="shared" si="2"/>
        <v>0</v>
      </c>
      <c r="J120" s="1302">
        <f t="shared" si="3"/>
        <v>0</v>
      </c>
    </row>
    <row r="121" spans="1:10" ht="14.5">
      <c r="A121" s="1290"/>
      <c r="B121" s="1122" t="s">
        <v>451</v>
      </c>
      <c r="C121" s="1291">
        <v>0</v>
      </c>
      <c r="D121" s="1289"/>
      <c r="E121" s="1299"/>
      <c r="F121" s="1298"/>
      <c r="G121" s="1299"/>
      <c r="H121" s="1298"/>
      <c r="I121" s="1292">
        <f t="shared" si="2"/>
        <v>0</v>
      </c>
      <c r="J121" s="1302">
        <f t="shared" si="3"/>
        <v>0</v>
      </c>
    </row>
    <row r="122" spans="1:10" s="1281" customFormat="1" ht="14.5">
      <c r="A122" s="1290"/>
      <c r="B122" s="1122" t="s">
        <v>452</v>
      </c>
      <c r="C122" s="1291">
        <v>0</v>
      </c>
      <c r="D122" s="1289"/>
      <c r="E122" s="1299"/>
      <c r="F122" s="1298"/>
      <c r="G122" s="1299"/>
      <c r="H122" s="1298"/>
      <c r="I122" s="1292">
        <f t="shared" si="2"/>
        <v>0</v>
      </c>
      <c r="J122" s="1302">
        <f t="shared" si="3"/>
        <v>0</v>
      </c>
    </row>
    <row r="123" spans="1:10" ht="14.5">
      <c r="A123" s="1290" t="s">
        <v>453</v>
      </c>
      <c r="B123" s="1122" t="s">
        <v>454</v>
      </c>
      <c r="C123" s="1291"/>
      <c r="D123" s="1289"/>
      <c r="E123" s="1299"/>
      <c r="F123" s="1298"/>
      <c r="G123" s="1299"/>
      <c r="H123" s="1298"/>
      <c r="I123" s="1292">
        <f t="shared" si="2"/>
        <v>0</v>
      </c>
      <c r="J123" s="1302">
        <f t="shared" si="3"/>
        <v>0</v>
      </c>
    </row>
    <row r="124" spans="1:10" ht="14.5">
      <c r="A124" s="1290"/>
      <c r="B124" s="1122" t="s">
        <v>455</v>
      </c>
      <c r="C124" s="1291">
        <v>0</v>
      </c>
      <c r="D124" s="1289"/>
      <c r="E124" s="1299"/>
      <c r="F124" s="1298"/>
      <c r="G124" s="1299"/>
      <c r="H124" s="1298"/>
      <c r="I124" s="1292">
        <f t="shared" si="2"/>
        <v>0</v>
      </c>
      <c r="J124" s="1302">
        <f t="shared" si="3"/>
        <v>0</v>
      </c>
    </row>
    <row r="125" spans="1:10" ht="14.5">
      <c r="A125" s="1290" t="s">
        <v>456</v>
      </c>
      <c r="B125" s="1122" t="s">
        <v>457</v>
      </c>
      <c r="C125" s="1291">
        <v>0</v>
      </c>
      <c r="D125" s="1289"/>
      <c r="E125" s="1299"/>
      <c r="F125" s="1298"/>
      <c r="G125" s="1299"/>
      <c r="H125" s="1298"/>
      <c r="I125" s="1292">
        <f t="shared" si="2"/>
        <v>0</v>
      </c>
      <c r="J125" s="1302">
        <f t="shared" si="3"/>
        <v>0</v>
      </c>
    </row>
    <row r="126" spans="1:10" ht="14.5">
      <c r="A126" s="1290" t="s">
        <v>458</v>
      </c>
      <c r="B126" s="1122" t="s">
        <v>459</v>
      </c>
      <c r="C126" s="1291">
        <v>0</v>
      </c>
      <c r="D126" s="1289"/>
      <c r="E126" s="1299"/>
      <c r="F126" s="1298"/>
      <c r="G126" s="1299"/>
      <c r="H126" s="1298"/>
      <c r="I126" s="1292">
        <f t="shared" si="2"/>
        <v>0</v>
      </c>
      <c r="J126" s="1302">
        <f t="shared" si="3"/>
        <v>0</v>
      </c>
    </row>
    <row r="127" spans="1:10" s="1281" customFormat="1" ht="14.5">
      <c r="A127" s="1290"/>
      <c r="B127" s="1122" t="s">
        <v>460</v>
      </c>
      <c r="C127" s="1291">
        <v>0</v>
      </c>
      <c r="D127" s="1289"/>
      <c r="E127" s="1299"/>
      <c r="F127" s="1298"/>
      <c r="G127" s="1299"/>
      <c r="H127" s="1298"/>
      <c r="I127" s="1292">
        <f t="shared" si="2"/>
        <v>0</v>
      </c>
      <c r="J127" s="1302">
        <f t="shared" si="3"/>
        <v>0</v>
      </c>
    </row>
    <row r="128" spans="1:10" ht="14.5">
      <c r="A128" s="1290" t="s">
        <v>461</v>
      </c>
      <c r="B128" s="1122" t="s">
        <v>462</v>
      </c>
      <c r="C128" s="1291">
        <v>0</v>
      </c>
      <c r="D128" s="1289"/>
      <c r="E128" s="1299"/>
      <c r="F128" s="1298"/>
      <c r="G128" s="1299"/>
      <c r="H128" s="1298"/>
      <c r="I128" s="1292">
        <f t="shared" si="2"/>
        <v>0</v>
      </c>
      <c r="J128" s="1302">
        <f t="shared" si="3"/>
        <v>0</v>
      </c>
    </row>
    <row r="129" spans="1:10" ht="14.5">
      <c r="A129" s="1290" t="s">
        <v>109</v>
      </c>
      <c r="B129" s="1122" t="s">
        <v>111</v>
      </c>
      <c r="C129" s="1291"/>
      <c r="D129" s="1289"/>
      <c r="E129" s="1299"/>
      <c r="F129" s="1298"/>
      <c r="G129" s="1299"/>
      <c r="H129" s="1298"/>
      <c r="I129" s="1292">
        <f t="shared" si="2"/>
        <v>0</v>
      </c>
      <c r="J129" s="1302">
        <f t="shared" si="3"/>
        <v>0</v>
      </c>
    </row>
    <row r="130" spans="1:10" ht="14.5">
      <c r="A130" s="1290" t="s">
        <v>463</v>
      </c>
      <c r="B130" s="1122" t="s">
        <v>464</v>
      </c>
      <c r="C130" s="1291"/>
      <c r="D130" s="1289"/>
      <c r="E130" s="1299"/>
      <c r="F130" s="1298"/>
      <c r="G130" s="1299"/>
      <c r="H130" s="1298"/>
      <c r="I130" s="1292">
        <f t="shared" si="2"/>
        <v>0</v>
      </c>
      <c r="J130" s="1302">
        <f t="shared" si="3"/>
        <v>0</v>
      </c>
    </row>
    <row r="131" spans="1:10" ht="14.5">
      <c r="A131" s="1290" t="s">
        <v>465</v>
      </c>
      <c r="B131" s="1122" t="s">
        <v>466</v>
      </c>
      <c r="C131" s="1291"/>
      <c r="D131" s="1289"/>
      <c r="E131" s="1299"/>
      <c r="F131" s="1298"/>
      <c r="G131" s="1299"/>
      <c r="H131" s="1298"/>
      <c r="I131" s="1292">
        <f t="shared" si="2"/>
        <v>0</v>
      </c>
      <c r="J131" s="1302">
        <f t="shared" si="3"/>
        <v>0</v>
      </c>
    </row>
    <row r="132" spans="1:10" ht="14.5">
      <c r="A132" s="1290" t="s">
        <v>467</v>
      </c>
      <c r="B132" s="1122" t="s">
        <v>468</v>
      </c>
      <c r="C132" s="1291">
        <v>0</v>
      </c>
      <c r="D132" s="1289"/>
      <c r="E132" s="1299"/>
      <c r="F132" s="1298"/>
      <c r="G132" s="1299"/>
      <c r="H132" s="1298"/>
      <c r="I132" s="1292">
        <f t="shared" si="2"/>
        <v>0</v>
      </c>
      <c r="J132" s="1302">
        <f t="shared" si="3"/>
        <v>0</v>
      </c>
    </row>
    <row r="133" spans="1:10" ht="14.5">
      <c r="A133" s="1290"/>
      <c r="B133" s="1122" t="s">
        <v>469</v>
      </c>
      <c r="C133" s="1291">
        <v>0</v>
      </c>
      <c r="D133" s="1289"/>
      <c r="E133" s="1299"/>
      <c r="F133" s="1298"/>
      <c r="G133" s="1299"/>
      <c r="H133" s="1298"/>
      <c r="I133" s="1292">
        <f t="shared" si="2"/>
        <v>0</v>
      </c>
      <c r="J133" s="1302">
        <f t="shared" si="3"/>
        <v>0</v>
      </c>
    </row>
    <row r="134" spans="1:10" ht="14.5">
      <c r="A134" s="1290" t="s">
        <v>470</v>
      </c>
      <c r="B134" s="1122" t="s">
        <v>471</v>
      </c>
      <c r="C134" s="1291">
        <v>0</v>
      </c>
      <c r="D134" s="1289"/>
      <c r="E134" s="1299"/>
      <c r="F134" s="1298"/>
      <c r="G134" s="1299"/>
      <c r="H134" s="1298"/>
      <c r="I134" s="1292">
        <f t="shared" si="2"/>
        <v>0</v>
      </c>
      <c r="J134" s="1302">
        <f t="shared" si="3"/>
        <v>0</v>
      </c>
    </row>
    <row r="135" spans="1:10" ht="14.5">
      <c r="A135" s="1290"/>
      <c r="B135" s="1122" t="s">
        <v>472</v>
      </c>
      <c r="C135" s="1291">
        <v>0</v>
      </c>
      <c r="D135" s="1289"/>
      <c r="E135" s="1299"/>
      <c r="F135" s="1298"/>
      <c r="G135" s="1299"/>
      <c r="H135" s="1298"/>
      <c r="I135" s="1292">
        <f t="shared" si="2"/>
        <v>0</v>
      </c>
      <c r="J135" s="1302">
        <f t="shared" si="3"/>
        <v>0</v>
      </c>
    </row>
    <row r="136" spans="1:10" ht="14.5">
      <c r="A136" s="1290"/>
      <c r="B136" s="1122" t="s">
        <v>473</v>
      </c>
      <c r="C136" s="1291">
        <v>0</v>
      </c>
      <c r="D136" s="1289"/>
      <c r="E136" s="1299"/>
      <c r="F136" s="1298"/>
      <c r="G136" s="1299"/>
      <c r="H136" s="1298"/>
      <c r="I136" s="1292">
        <f t="shared" si="2"/>
        <v>0</v>
      </c>
      <c r="J136" s="1302">
        <f t="shared" si="3"/>
        <v>0</v>
      </c>
    </row>
    <row r="137" spans="1:10" ht="14.5">
      <c r="A137" s="1290" t="s">
        <v>474</v>
      </c>
      <c r="B137" s="1122" t="s">
        <v>475</v>
      </c>
      <c r="C137" s="1291">
        <v>0</v>
      </c>
      <c r="D137" s="1289"/>
      <c r="E137" s="1299"/>
      <c r="F137" s="1298"/>
      <c r="G137" s="1299"/>
      <c r="H137" s="1298"/>
      <c r="I137" s="1292">
        <f t="shared" si="2"/>
        <v>0</v>
      </c>
      <c r="J137" s="1302">
        <f t="shared" si="3"/>
        <v>0</v>
      </c>
    </row>
    <row r="138" spans="1:10" ht="14.5">
      <c r="A138" s="1290"/>
      <c r="B138" s="1122" t="s">
        <v>476</v>
      </c>
      <c r="C138" s="1291">
        <v>0</v>
      </c>
      <c r="D138" s="1289"/>
      <c r="E138" s="1299"/>
      <c r="F138" s="1298"/>
      <c r="G138" s="1299"/>
      <c r="H138" s="1298"/>
      <c r="I138" s="1292">
        <f t="shared" ref="I138:I201" si="4">C138+G138</f>
        <v>0</v>
      </c>
      <c r="J138" s="1302">
        <f t="shared" ref="J138:J201" si="5">D138+H138</f>
        <v>0</v>
      </c>
    </row>
    <row r="139" spans="1:10" ht="14.5">
      <c r="A139" s="1290" t="s">
        <v>120</v>
      </c>
      <c r="B139" s="1122" t="s">
        <v>121</v>
      </c>
      <c r="C139" s="1291">
        <v>0</v>
      </c>
      <c r="D139" s="1289"/>
      <c r="E139" s="1299"/>
      <c r="F139" s="1298"/>
      <c r="G139" s="1299"/>
      <c r="H139" s="1298"/>
      <c r="I139" s="1292">
        <f t="shared" si="4"/>
        <v>0</v>
      </c>
      <c r="J139" s="1302">
        <f t="shared" si="5"/>
        <v>0</v>
      </c>
    </row>
    <row r="140" spans="1:10" ht="14.5">
      <c r="A140" s="1290"/>
      <c r="B140" s="1122" t="s">
        <v>477</v>
      </c>
      <c r="C140" s="1291">
        <v>0</v>
      </c>
      <c r="D140" s="1289"/>
      <c r="E140" s="1299"/>
      <c r="F140" s="1298"/>
      <c r="G140" s="1299"/>
      <c r="H140" s="1298"/>
      <c r="I140" s="1292">
        <f t="shared" si="4"/>
        <v>0</v>
      </c>
      <c r="J140" s="1302">
        <f t="shared" si="5"/>
        <v>0</v>
      </c>
    </row>
    <row r="141" spans="1:10" ht="14.5">
      <c r="A141" s="1290" t="s">
        <v>126</v>
      </c>
      <c r="B141" s="1122" t="s">
        <v>127</v>
      </c>
      <c r="C141" s="1291">
        <v>0</v>
      </c>
      <c r="D141" s="1289"/>
      <c r="E141" s="1299"/>
      <c r="F141" s="1298"/>
      <c r="G141" s="1299"/>
      <c r="H141" s="1298"/>
      <c r="I141" s="1292">
        <f t="shared" si="4"/>
        <v>0</v>
      </c>
      <c r="J141" s="1302">
        <f t="shared" si="5"/>
        <v>0</v>
      </c>
    </row>
    <row r="142" spans="1:10" ht="14.5">
      <c r="A142" s="1290" t="s">
        <v>478</v>
      </c>
      <c r="B142" s="1122" t="s">
        <v>479</v>
      </c>
      <c r="C142" s="1291"/>
      <c r="D142" s="1289"/>
      <c r="E142" s="1299"/>
      <c r="F142" s="1298"/>
      <c r="G142" s="1299"/>
      <c r="H142" s="1298"/>
      <c r="I142" s="1292">
        <f t="shared" si="4"/>
        <v>0</v>
      </c>
      <c r="J142" s="1302">
        <f t="shared" si="5"/>
        <v>0</v>
      </c>
    </row>
    <row r="143" spans="1:10" ht="14.5">
      <c r="A143" s="1290" t="s">
        <v>128</v>
      </c>
      <c r="B143" s="1122" t="s">
        <v>129</v>
      </c>
      <c r="C143" s="1291">
        <v>0</v>
      </c>
      <c r="D143" s="1289"/>
      <c r="E143" s="1299"/>
      <c r="F143" s="1298"/>
      <c r="G143" s="1299"/>
      <c r="H143" s="1298"/>
      <c r="I143" s="1292">
        <f t="shared" si="4"/>
        <v>0</v>
      </c>
      <c r="J143" s="1302">
        <f t="shared" si="5"/>
        <v>0</v>
      </c>
    </row>
    <row r="144" spans="1:10" ht="14.5">
      <c r="A144" s="1290"/>
      <c r="B144" s="1122" t="s">
        <v>480</v>
      </c>
      <c r="C144" s="1291">
        <v>0</v>
      </c>
      <c r="D144" s="1289"/>
      <c r="E144" s="1299"/>
      <c r="F144" s="1298"/>
      <c r="G144" s="1299"/>
      <c r="H144" s="1298"/>
      <c r="I144" s="1292">
        <f t="shared" si="4"/>
        <v>0</v>
      </c>
      <c r="J144" s="1302">
        <f t="shared" si="5"/>
        <v>0</v>
      </c>
    </row>
    <row r="145" spans="1:10" ht="14.5">
      <c r="A145" s="1290"/>
      <c r="B145" s="1122" t="s">
        <v>481</v>
      </c>
      <c r="C145" s="1291">
        <v>0</v>
      </c>
      <c r="D145" s="1289"/>
      <c r="E145" s="1299"/>
      <c r="F145" s="1298"/>
      <c r="G145" s="1299"/>
      <c r="H145" s="1298"/>
      <c r="I145" s="1292">
        <f t="shared" si="4"/>
        <v>0</v>
      </c>
      <c r="J145" s="1302">
        <f t="shared" si="5"/>
        <v>0</v>
      </c>
    </row>
    <row r="146" spans="1:10" ht="14.5">
      <c r="A146" s="1290"/>
      <c r="B146" s="1122" t="s">
        <v>482</v>
      </c>
      <c r="C146" s="1291">
        <v>0</v>
      </c>
      <c r="D146" s="1289"/>
      <c r="E146" s="1299"/>
      <c r="F146" s="1298"/>
      <c r="G146" s="1299"/>
      <c r="H146" s="1298"/>
      <c r="I146" s="1292">
        <f t="shared" si="4"/>
        <v>0</v>
      </c>
      <c r="J146" s="1302">
        <f t="shared" si="5"/>
        <v>0</v>
      </c>
    </row>
    <row r="147" spans="1:10" ht="14.5">
      <c r="A147" s="1290"/>
      <c r="B147" s="1122" t="s">
        <v>483</v>
      </c>
      <c r="C147" s="1291">
        <v>0</v>
      </c>
      <c r="D147" s="1289"/>
      <c r="E147" s="1299"/>
      <c r="F147" s="1298"/>
      <c r="G147" s="1299"/>
      <c r="H147" s="1298"/>
      <c r="I147" s="1292">
        <f t="shared" si="4"/>
        <v>0</v>
      </c>
      <c r="J147" s="1302">
        <f t="shared" si="5"/>
        <v>0</v>
      </c>
    </row>
    <row r="148" spans="1:10" ht="14.5">
      <c r="A148" s="1290"/>
      <c r="B148" s="1122" t="s">
        <v>484</v>
      </c>
      <c r="C148" s="1291">
        <v>0</v>
      </c>
      <c r="D148" s="1289"/>
      <c r="E148" s="1299"/>
      <c r="F148" s="1298"/>
      <c r="G148" s="1299"/>
      <c r="H148" s="1298"/>
      <c r="I148" s="1292">
        <f t="shared" si="4"/>
        <v>0</v>
      </c>
      <c r="J148" s="1302">
        <f t="shared" si="5"/>
        <v>0</v>
      </c>
    </row>
    <row r="149" spans="1:10" ht="14.5">
      <c r="A149" s="1290"/>
      <c r="B149" s="1122" t="s">
        <v>485</v>
      </c>
      <c r="C149" s="1291">
        <v>0</v>
      </c>
      <c r="D149" s="1289"/>
      <c r="E149" s="1299"/>
      <c r="F149" s="1298"/>
      <c r="G149" s="1299"/>
      <c r="H149" s="1298"/>
      <c r="I149" s="1292">
        <f t="shared" si="4"/>
        <v>0</v>
      </c>
      <c r="J149" s="1302">
        <f t="shared" si="5"/>
        <v>0</v>
      </c>
    </row>
    <row r="150" spans="1:10" ht="14.5">
      <c r="A150" s="1290"/>
      <c r="B150" s="1122" t="s">
        <v>486</v>
      </c>
      <c r="C150" s="1291">
        <v>0</v>
      </c>
      <c r="D150" s="1289">
        <v>0</v>
      </c>
      <c r="E150" s="1299"/>
      <c r="F150" s="1298"/>
      <c r="G150" s="1299"/>
      <c r="H150" s="1298"/>
      <c r="I150" s="1292">
        <f t="shared" si="4"/>
        <v>0</v>
      </c>
      <c r="J150" s="1303">
        <f t="shared" si="5"/>
        <v>0</v>
      </c>
    </row>
    <row r="151" spans="1:10" ht="14.5">
      <c r="A151" s="1290"/>
      <c r="B151" s="1122" t="s">
        <v>487</v>
      </c>
      <c r="C151" s="1291">
        <v>0</v>
      </c>
      <c r="D151" s="1289"/>
      <c r="E151" s="1299"/>
      <c r="F151" s="1298"/>
      <c r="G151" s="1299"/>
      <c r="H151" s="1298"/>
      <c r="I151" s="1292">
        <f t="shared" si="4"/>
        <v>0</v>
      </c>
      <c r="J151" s="1302">
        <f t="shared" si="5"/>
        <v>0</v>
      </c>
    </row>
    <row r="152" spans="1:10" ht="14.5">
      <c r="A152" s="1290"/>
      <c r="B152" s="1122" t="s">
        <v>488</v>
      </c>
      <c r="C152" s="1291">
        <v>0</v>
      </c>
      <c r="D152" s="1289"/>
      <c r="E152" s="1299"/>
      <c r="F152" s="1298"/>
      <c r="G152" s="1299"/>
      <c r="H152" s="1298"/>
      <c r="I152" s="1292">
        <f t="shared" si="4"/>
        <v>0</v>
      </c>
      <c r="J152" s="1302">
        <f t="shared" si="5"/>
        <v>0</v>
      </c>
    </row>
    <row r="153" spans="1:10" ht="14.5">
      <c r="A153" s="1290" t="s">
        <v>489</v>
      </c>
      <c r="B153" s="1122" t="s">
        <v>490</v>
      </c>
      <c r="C153" s="1291">
        <v>0</v>
      </c>
      <c r="D153" s="1289"/>
      <c r="E153" s="1299"/>
      <c r="F153" s="1298"/>
      <c r="G153" s="1299"/>
      <c r="H153" s="1298"/>
      <c r="I153" s="1292">
        <f t="shared" si="4"/>
        <v>0</v>
      </c>
      <c r="J153" s="1302">
        <f t="shared" si="5"/>
        <v>0</v>
      </c>
    </row>
    <row r="154" spans="1:10" ht="14.5">
      <c r="A154" s="1290" t="s">
        <v>491</v>
      </c>
      <c r="B154" s="1122" t="s">
        <v>483</v>
      </c>
      <c r="C154" s="1291">
        <v>0</v>
      </c>
      <c r="D154" s="1289"/>
      <c r="E154" s="1299"/>
      <c r="F154" s="1298"/>
      <c r="G154" s="1299"/>
      <c r="H154" s="1298"/>
      <c r="I154" s="1292">
        <f t="shared" si="4"/>
        <v>0</v>
      </c>
      <c r="J154" s="1302">
        <f t="shared" si="5"/>
        <v>0</v>
      </c>
    </row>
    <row r="155" spans="1:10" ht="14.5">
      <c r="A155" s="1290" t="s">
        <v>492</v>
      </c>
      <c r="B155" s="1122" t="s">
        <v>493</v>
      </c>
      <c r="C155" s="1291"/>
      <c r="D155" s="1289"/>
      <c r="E155" s="1299"/>
      <c r="F155" s="1298"/>
      <c r="G155" s="1299"/>
      <c r="H155" s="1298"/>
      <c r="I155" s="1292">
        <f t="shared" si="4"/>
        <v>0</v>
      </c>
      <c r="J155" s="1302">
        <f t="shared" si="5"/>
        <v>0</v>
      </c>
    </row>
    <row r="156" spans="1:10" ht="14.5">
      <c r="A156" s="1290"/>
      <c r="B156" s="1122" t="s">
        <v>494</v>
      </c>
      <c r="C156" s="1291">
        <v>0</v>
      </c>
      <c r="D156" s="1289"/>
      <c r="E156" s="1299"/>
      <c r="F156" s="1298"/>
      <c r="G156" s="1299"/>
      <c r="H156" s="1298"/>
      <c r="I156" s="1292">
        <f t="shared" si="4"/>
        <v>0</v>
      </c>
      <c r="J156" s="1302">
        <f t="shared" si="5"/>
        <v>0</v>
      </c>
    </row>
    <row r="157" spans="1:10" ht="14.5">
      <c r="A157" s="1290" t="s">
        <v>495</v>
      </c>
      <c r="B157" s="1122" t="s">
        <v>496</v>
      </c>
      <c r="C157" s="1291">
        <v>0</v>
      </c>
      <c r="D157" s="1289"/>
      <c r="E157" s="1299"/>
      <c r="F157" s="1298"/>
      <c r="G157" s="1299"/>
      <c r="H157" s="1298"/>
      <c r="I157" s="1292">
        <f t="shared" si="4"/>
        <v>0</v>
      </c>
      <c r="J157" s="1302">
        <f t="shared" si="5"/>
        <v>0</v>
      </c>
    </row>
    <row r="158" spans="1:10" ht="14.5">
      <c r="A158" s="1290"/>
      <c r="B158" s="1122" t="s">
        <v>497</v>
      </c>
      <c r="C158" s="1291">
        <v>0</v>
      </c>
      <c r="D158" s="1289"/>
      <c r="E158" s="1299"/>
      <c r="F158" s="1298"/>
      <c r="G158" s="1299"/>
      <c r="H158" s="1298"/>
      <c r="I158" s="1292">
        <f t="shared" si="4"/>
        <v>0</v>
      </c>
      <c r="J158" s="1302">
        <f t="shared" si="5"/>
        <v>0</v>
      </c>
    </row>
    <row r="159" spans="1:10" ht="14.5">
      <c r="A159" s="1290"/>
      <c r="B159" s="1122" t="s">
        <v>498</v>
      </c>
      <c r="C159" s="1291">
        <v>0</v>
      </c>
      <c r="D159" s="1289"/>
      <c r="E159" s="1299"/>
      <c r="F159" s="1298"/>
      <c r="G159" s="1299"/>
      <c r="H159" s="1298"/>
      <c r="I159" s="1292">
        <f t="shared" si="4"/>
        <v>0</v>
      </c>
      <c r="J159" s="1302">
        <f t="shared" si="5"/>
        <v>0</v>
      </c>
    </row>
    <row r="160" spans="1:10" ht="14.5">
      <c r="A160" s="1290"/>
      <c r="B160" s="1122" t="s">
        <v>499</v>
      </c>
      <c r="C160" s="1291">
        <v>0</v>
      </c>
      <c r="D160" s="1289"/>
      <c r="E160" s="1299"/>
      <c r="F160" s="1298"/>
      <c r="G160" s="1299"/>
      <c r="H160" s="1298"/>
      <c r="I160" s="1292">
        <f t="shared" si="4"/>
        <v>0</v>
      </c>
      <c r="J160" s="1302">
        <f t="shared" si="5"/>
        <v>0</v>
      </c>
    </row>
    <row r="161" spans="1:10" ht="14.5">
      <c r="A161" s="1290"/>
      <c r="B161" s="1122" t="s">
        <v>500</v>
      </c>
      <c r="C161" s="1291">
        <v>0</v>
      </c>
      <c r="D161" s="1289">
        <v>0</v>
      </c>
      <c r="E161" s="1299"/>
      <c r="F161" s="1298"/>
      <c r="G161" s="1299"/>
      <c r="H161" s="1298"/>
      <c r="I161" s="1292">
        <f t="shared" si="4"/>
        <v>0</v>
      </c>
      <c r="J161" s="1303">
        <f t="shared" si="5"/>
        <v>0</v>
      </c>
    </row>
    <row r="162" spans="1:10" ht="14.5">
      <c r="A162" s="1290"/>
      <c r="B162" s="1122" t="s">
        <v>501</v>
      </c>
      <c r="C162" s="1291">
        <v>0</v>
      </c>
      <c r="D162" s="1289"/>
      <c r="E162" s="1299"/>
      <c r="F162" s="1298"/>
      <c r="G162" s="1299"/>
      <c r="H162" s="1298"/>
      <c r="I162" s="1292">
        <f t="shared" si="4"/>
        <v>0</v>
      </c>
      <c r="J162" s="1302">
        <f t="shared" si="5"/>
        <v>0</v>
      </c>
    </row>
    <row r="163" spans="1:10" ht="14.5">
      <c r="A163" s="1290"/>
      <c r="B163" s="1122" t="s">
        <v>131</v>
      </c>
      <c r="C163" s="1291">
        <v>0</v>
      </c>
      <c r="D163" s="1289"/>
      <c r="E163" s="1299"/>
      <c r="F163" s="1298"/>
      <c r="G163" s="1299"/>
      <c r="H163" s="1298"/>
      <c r="I163" s="1292">
        <f t="shared" si="4"/>
        <v>0</v>
      </c>
      <c r="J163" s="1302">
        <f t="shared" si="5"/>
        <v>0</v>
      </c>
    </row>
    <row r="164" spans="1:10" ht="14.5">
      <c r="A164" s="1290" t="s">
        <v>502</v>
      </c>
      <c r="B164" s="1122" t="s">
        <v>503</v>
      </c>
      <c r="C164" s="1291">
        <v>0</v>
      </c>
      <c r="D164" s="1289"/>
      <c r="E164" s="1299"/>
      <c r="F164" s="1298"/>
      <c r="G164" s="1299"/>
      <c r="H164" s="1298"/>
      <c r="I164" s="1292">
        <f t="shared" si="4"/>
        <v>0</v>
      </c>
      <c r="J164" s="1302">
        <f t="shared" si="5"/>
        <v>0</v>
      </c>
    </row>
    <row r="165" spans="1:10" ht="14.5">
      <c r="A165" s="1290" t="s">
        <v>130</v>
      </c>
      <c r="B165" s="1122" t="s">
        <v>131</v>
      </c>
      <c r="C165" s="1291">
        <v>0</v>
      </c>
      <c r="D165" s="1289"/>
      <c r="E165" s="1299"/>
      <c r="F165" s="1298"/>
      <c r="G165" s="1299"/>
      <c r="H165" s="1298"/>
      <c r="I165" s="1292">
        <f t="shared" si="4"/>
        <v>0</v>
      </c>
      <c r="J165" s="1302">
        <f t="shared" si="5"/>
        <v>0</v>
      </c>
    </row>
    <row r="166" spans="1:10" ht="14.5">
      <c r="A166" s="1290" t="s">
        <v>134</v>
      </c>
      <c r="B166" s="1122" t="s">
        <v>135</v>
      </c>
      <c r="C166" s="1291">
        <v>0</v>
      </c>
      <c r="D166" s="1289"/>
      <c r="E166" s="1299"/>
      <c r="F166" s="1298"/>
      <c r="G166" s="1299"/>
      <c r="H166" s="1298"/>
      <c r="I166" s="1292">
        <f t="shared" si="4"/>
        <v>0</v>
      </c>
      <c r="J166" s="1302">
        <f t="shared" si="5"/>
        <v>0</v>
      </c>
    </row>
    <row r="167" spans="1:10" ht="14.5">
      <c r="A167" s="1290"/>
      <c r="B167" s="1122" t="s">
        <v>504</v>
      </c>
      <c r="C167" s="1291">
        <v>0</v>
      </c>
      <c r="D167" s="1289"/>
      <c r="E167" s="1299"/>
      <c r="F167" s="1298"/>
      <c r="G167" s="1299"/>
      <c r="H167" s="1298"/>
      <c r="I167" s="1292">
        <f t="shared" si="4"/>
        <v>0</v>
      </c>
      <c r="J167" s="1302">
        <f t="shared" si="5"/>
        <v>0</v>
      </c>
    </row>
    <row r="168" spans="1:10" ht="14.5">
      <c r="A168" s="1290" t="s">
        <v>505</v>
      </c>
      <c r="B168" s="1122" t="s">
        <v>506</v>
      </c>
      <c r="C168" s="1291">
        <v>0</v>
      </c>
      <c r="D168" s="1289"/>
      <c r="E168" s="1299"/>
      <c r="F168" s="1298"/>
      <c r="G168" s="1299"/>
      <c r="H168" s="1298"/>
      <c r="I168" s="1292">
        <f t="shared" si="4"/>
        <v>0</v>
      </c>
      <c r="J168" s="1302">
        <f t="shared" si="5"/>
        <v>0</v>
      </c>
    </row>
    <row r="169" spans="1:10" ht="14.5">
      <c r="A169" s="1290"/>
      <c r="B169" s="1122" t="s">
        <v>507</v>
      </c>
      <c r="C169" s="1291">
        <v>0</v>
      </c>
      <c r="D169" s="1289"/>
      <c r="E169" s="1299"/>
      <c r="F169" s="1298"/>
      <c r="G169" s="1299"/>
      <c r="H169" s="1298"/>
      <c r="I169" s="1292">
        <f t="shared" si="4"/>
        <v>0</v>
      </c>
      <c r="J169" s="1302">
        <f t="shared" si="5"/>
        <v>0</v>
      </c>
    </row>
    <row r="170" spans="1:10" ht="14.5">
      <c r="A170" s="1290"/>
      <c r="B170" s="1122" t="s">
        <v>508</v>
      </c>
      <c r="C170" s="1291">
        <v>0</v>
      </c>
      <c r="D170" s="1289"/>
      <c r="E170" s="1299"/>
      <c r="F170" s="1298"/>
      <c r="G170" s="1299"/>
      <c r="H170" s="1298"/>
      <c r="I170" s="1292">
        <f t="shared" si="4"/>
        <v>0</v>
      </c>
      <c r="J170" s="1302">
        <f t="shared" si="5"/>
        <v>0</v>
      </c>
    </row>
    <row r="171" spans="1:10" ht="14.5">
      <c r="A171" s="1290" t="s">
        <v>144</v>
      </c>
      <c r="B171" s="1122" t="s">
        <v>145</v>
      </c>
      <c r="C171" s="1291">
        <v>0</v>
      </c>
      <c r="D171" s="1289"/>
      <c r="E171" s="1299"/>
      <c r="F171" s="1298"/>
      <c r="G171" s="1299"/>
      <c r="H171" s="1298"/>
      <c r="I171" s="1292">
        <f t="shared" si="4"/>
        <v>0</v>
      </c>
      <c r="J171" s="1302">
        <f t="shared" si="5"/>
        <v>0</v>
      </c>
    </row>
    <row r="172" spans="1:10" ht="14.5">
      <c r="A172" s="1290"/>
      <c r="B172" s="1122" t="s">
        <v>509</v>
      </c>
      <c r="C172" s="1291">
        <v>0</v>
      </c>
      <c r="D172" s="1289"/>
      <c r="E172" s="1299"/>
      <c r="F172" s="1298"/>
      <c r="G172" s="1299"/>
      <c r="H172" s="1298"/>
      <c r="I172" s="1292">
        <f t="shared" si="4"/>
        <v>0</v>
      </c>
      <c r="J172" s="1302">
        <f t="shared" si="5"/>
        <v>0</v>
      </c>
    </row>
    <row r="173" spans="1:10" ht="14.5">
      <c r="A173" s="1290"/>
      <c r="B173" s="1122" t="s">
        <v>510</v>
      </c>
      <c r="C173" s="1291">
        <v>0</v>
      </c>
      <c r="D173" s="1289"/>
      <c r="E173" s="1299"/>
      <c r="F173" s="1298"/>
      <c r="G173" s="1299"/>
      <c r="H173" s="1298"/>
      <c r="I173" s="1292">
        <f t="shared" si="4"/>
        <v>0</v>
      </c>
      <c r="J173" s="1302">
        <f t="shared" si="5"/>
        <v>0</v>
      </c>
    </row>
    <row r="174" spans="1:10" ht="14.5">
      <c r="A174" s="1290"/>
      <c r="B174" s="1122" t="s">
        <v>511</v>
      </c>
      <c r="C174" s="1291">
        <v>0</v>
      </c>
      <c r="D174" s="1289"/>
      <c r="E174" s="1299"/>
      <c r="F174" s="1298"/>
      <c r="G174" s="1299"/>
      <c r="H174" s="1298"/>
      <c r="I174" s="1292">
        <f t="shared" si="4"/>
        <v>0</v>
      </c>
      <c r="J174" s="1302">
        <f t="shared" si="5"/>
        <v>0</v>
      </c>
    </row>
    <row r="175" spans="1:10" ht="14.5">
      <c r="A175" s="1290"/>
      <c r="B175" s="1122" t="s">
        <v>512</v>
      </c>
      <c r="C175" s="1291">
        <v>0</v>
      </c>
      <c r="D175" s="1289"/>
      <c r="E175" s="1299"/>
      <c r="F175" s="1298"/>
      <c r="G175" s="1299"/>
      <c r="H175" s="1298"/>
      <c r="I175" s="1292">
        <f t="shared" si="4"/>
        <v>0</v>
      </c>
      <c r="J175" s="1302">
        <f t="shared" si="5"/>
        <v>0</v>
      </c>
    </row>
    <row r="176" spans="1:10" ht="14.5">
      <c r="A176" s="1290"/>
      <c r="B176" s="1122" t="s">
        <v>513</v>
      </c>
      <c r="C176" s="1291">
        <v>0</v>
      </c>
      <c r="D176" s="1289"/>
      <c r="E176" s="1299"/>
      <c r="F176" s="1298"/>
      <c r="G176" s="1299"/>
      <c r="H176" s="1298"/>
      <c r="I176" s="1292">
        <f t="shared" si="4"/>
        <v>0</v>
      </c>
      <c r="J176" s="1302">
        <f t="shared" si="5"/>
        <v>0</v>
      </c>
    </row>
    <row r="177" spans="1:14" ht="14.5">
      <c r="A177" s="1290" t="s">
        <v>514</v>
      </c>
      <c r="B177" s="1122" t="s">
        <v>515</v>
      </c>
      <c r="C177" s="1291">
        <v>0</v>
      </c>
      <c r="D177" s="1289"/>
      <c r="E177" s="1299"/>
      <c r="F177" s="1298"/>
      <c r="G177" s="1299"/>
      <c r="H177" s="1298"/>
      <c r="I177" s="1292">
        <f t="shared" si="4"/>
        <v>0</v>
      </c>
      <c r="J177" s="1302">
        <f t="shared" si="5"/>
        <v>0</v>
      </c>
    </row>
    <row r="178" spans="1:14" ht="14.5">
      <c r="A178" s="1290"/>
      <c r="B178" s="1122" t="s">
        <v>516</v>
      </c>
      <c r="C178" s="1291">
        <v>0</v>
      </c>
      <c r="D178" s="1289"/>
      <c r="E178" s="1299"/>
      <c r="F178" s="1298"/>
      <c r="G178" s="1299"/>
      <c r="H178" s="1298"/>
      <c r="I178" s="1292">
        <f t="shared" si="4"/>
        <v>0</v>
      </c>
      <c r="J178" s="1302">
        <f t="shared" si="5"/>
        <v>0</v>
      </c>
    </row>
    <row r="179" spans="1:14" ht="14.5">
      <c r="A179" s="1290"/>
      <c r="B179" s="1122" t="s">
        <v>517</v>
      </c>
      <c r="C179" s="1291">
        <v>0</v>
      </c>
      <c r="D179" s="1289"/>
      <c r="E179" s="1299"/>
      <c r="F179" s="1298"/>
      <c r="G179" s="1299"/>
      <c r="H179" s="1298"/>
      <c r="I179" s="1292">
        <f t="shared" si="4"/>
        <v>0</v>
      </c>
      <c r="J179" s="1302">
        <f t="shared" si="5"/>
        <v>0</v>
      </c>
    </row>
    <row r="180" spans="1:14" ht="14.5">
      <c r="A180" s="1290" t="s">
        <v>518</v>
      </c>
      <c r="B180" s="1122" t="s">
        <v>519</v>
      </c>
      <c r="C180" s="1291"/>
      <c r="D180" s="1289"/>
      <c r="E180" s="1299"/>
      <c r="F180" s="1298"/>
      <c r="G180" s="1299"/>
      <c r="H180" s="1298"/>
      <c r="I180" s="1292">
        <f t="shared" si="4"/>
        <v>0</v>
      </c>
      <c r="J180" s="1302">
        <f t="shared" si="5"/>
        <v>0</v>
      </c>
    </row>
    <row r="181" spans="1:14" ht="14.5">
      <c r="A181" s="1290" t="s">
        <v>520</v>
      </c>
      <c r="B181" s="1122" t="s">
        <v>521</v>
      </c>
      <c r="C181" s="1291"/>
      <c r="D181" s="1289"/>
      <c r="E181" s="1299"/>
      <c r="F181" s="1298"/>
      <c r="G181" s="1299"/>
      <c r="H181" s="1298"/>
      <c r="I181" s="1292">
        <f t="shared" si="4"/>
        <v>0</v>
      </c>
      <c r="J181" s="1302">
        <f t="shared" si="5"/>
        <v>0</v>
      </c>
    </row>
    <row r="182" spans="1:14" ht="14.5">
      <c r="A182" s="1290" t="s">
        <v>522</v>
      </c>
      <c r="B182" s="1122" t="s">
        <v>517</v>
      </c>
      <c r="C182" s="1291"/>
      <c r="D182" s="1289"/>
      <c r="E182" s="1299"/>
      <c r="F182" s="1298"/>
      <c r="G182" s="1299"/>
      <c r="H182" s="1298"/>
      <c r="I182" s="1292">
        <f t="shared" si="4"/>
        <v>0</v>
      </c>
      <c r="J182" s="1302">
        <f t="shared" si="5"/>
        <v>0</v>
      </c>
    </row>
    <row r="183" spans="1:14" ht="14.5">
      <c r="A183" s="1290" t="s">
        <v>523</v>
      </c>
      <c r="B183" s="1122" t="s">
        <v>524</v>
      </c>
      <c r="C183" s="1291"/>
      <c r="D183" s="1289"/>
      <c r="E183" s="1299"/>
      <c r="F183" s="1298"/>
      <c r="G183" s="1299"/>
      <c r="H183" s="1298"/>
      <c r="I183" s="1292">
        <f t="shared" si="4"/>
        <v>0</v>
      </c>
      <c r="J183" s="1302">
        <f t="shared" si="5"/>
        <v>0</v>
      </c>
    </row>
    <row r="184" spans="1:14" ht="14.5">
      <c r="A184" s="1290"/>
      <c r="B184" s="1122" t="s">
        <v>525</v>
      </c>
      <c r="C184" s="1291"/>
      <c r="D184" s="1289"/>
      <c r="E184" s="1299"/>
      <c r="F184" s="1298"/>
      <c r="G184" s="1299"/>
      <c r="H184" s="1298"/>
      <c r="I184" s="1292">
        <f t="shared" si="4"/>
        <v>0</v>
      </c>
      <c r="J184" s="1302">
        <f t="shared" si="5"/>
        <v>0</v>
      </c>
    </row>
    <row r="185" spans="1:14" ht="14.5">
      <c r="A185" s="1290" t="s">
        <v>526</v>
      </c>
      <c r="B185" s="1122" t="s">
        <v>527</v>
      </c>
      <c r="C185" s="1291">
        <v>0</v>
      </c>
      <c r="D185" s="1289">
        <v>0</v>
      </c>
      <c r="E185" s="1299"/>
      <c r="F185" s="1298"/>
      <c r="G185" s="1299"/>
      <c r="H185" s="1298"/>
      <c r="I185" s="1292">
        <f t="shared" si="4"/>
        <v>0</v>
      </c>
      <c r="J185" s="1302">
        <f t="shared" si="5"/>
        <v>0</v>
      </c>
    </row>
    <row r="186" spans="1:14" ht="14.5">
      <c r="A186" s="1290" t="s">
        <v>154</v>
      </c>
      <c r="B186" s="1122" t="s">
        <v>155</v>
      </c>
      <c r="C186" s="1291">
        <v>0</v>
      </c>
      <c r="D186" s="1289"/>
      <c r="E186" s="1299"/>
      <c r="F186" s="1298"/>
      <c r="G186" s="1299"/>
      <c r="H186" s="1298"/>
      <c r="I186" s="1292">
        <f t="shared" si="4"/>
        <v>0</v>
      </c>
      <c r="J186" s="1302">
        <f t="shared" si="5"/>
        <v>0</v>
      </c>
    </row>
    <row r="187" spans="1:14" ht="14.5">
      <c r="A187" s="1290" t="s">
        <v>156</v>
      </c>
      <c r="B187" s="1122" t="s">
        <v>157</v>
      </c>
      <c r="C187" s="1291"/>
      <c r="D187" s="1289"/>
      <c r="E187" s="1299"/>
      <c r="F187" s="1298"/>
      <c r="G187" s="1299"/>
      <c r="H187" s="1298"/>
      <c r="I187" s="1292">
        <f t="shared" si="4"/>
        <v>0</v>
      </c>
      <c r="J187" s="1302">
        <f t="shared" si="5"/>
        <v>0</v>
      </c>
      <c r="L187" s="1301">
        <f>I118+I134+I182+I107+I116+I141</f>
        <v>0</v>
      </c>
    </row>
    <row r="188" spans="1:14" ht="14.5">
      <c r="A188" s="1290"/>
      <c r="B188" s="1122" t="s">
        <v>528</v>
      </c>
      <c r="C188" s="1291">
        <v>0</v>
      </c>
      <c r="D188" s="1289"/>
      <c r="E188" s="1299"/>
      <c r="F188" s="1298"/>
      <c r="G188" s="1299"/>
      <c r="H188" s="1298"/>
      <c r="I188" s="1292">
        <f t="shared" si="4"/>
        <v>0</v>
      </c>
      <c r="J188" s="1302">
        <f t="shared" si="5"/>
        <v>0</v>
      </c>
      <c r="L188" s="1301"/>
    </row>
    <row r="189" spans="1:14" ht="14.5">
      <c r="A189" s="1290"/>
      <c r="B189" s="1122" t="s">
        <v>529</v>
      </c>
      <c r="C189" s="1291"/>
      <c r="D189" s="1289"/>
      <c r="E189" s="1299"/>
      <c r="F189" s="1298"/>
      <c r="G189" s="1299"/>
      <c r="H189" s="1298"/>
      <c r="I189" s="1292">
        <f t="shared" si="4"/>
        <v>0</v>
      </c>
      <c r="J189" s="1302">
        <f t="shared" si="5"/>
        <v>0</v>
      </c>
    </row>
    <row r="190" spans="1:14" ht="14.5">
      <c r="A190" s="1290"/>
      <c r="B190" s="1122" t="s">
        <v>530</v>
      </c>
      <c r="C190" s="1291">
        <v>0</v>
      </c>
      <c r="D190" s="1289"/>
      <c r="E190" s="1299"/>
      <c r="F190" s="1298"/>
      <c r="G190" s="1299"/>
      <c r="H190" s="1298"/>
      <c r="I190" s="1292">
        <f t="shared" si="4"/>
        <v>0</v>
      </c>
      <c r="J190" s="1302">
        <f t="shared" si="5"/>
        <v>0</v>
      </c>
    </row>
    <row r="191" spans="1:14" ht="14.5">
      <c r="A191" s="1290" t="s">
        <v>531</v>
      </c>
      <c r="B191" s="1122" t="s">
        <v>532</v>
      </c>
      <c r="C191" s="1291">
        <v>0</v>
      </c>
      <c r="D191" s="1289"/>
      <c r="E191" s="1299"/>
      <c r="F191" s="1298"/>
      <c r="G191" s="1299"/>
      <c r="H191" s="1298"/>
      <c r="I191" s="1292">
        <f t="shared" si="4"/>
        <v>0</v>
      </c>
      <c r="J191" s="1302">
        <f t="shared" si="5"/>
        <v>0</v>
      </c>
    </row>
    <row r="192" spans="1:14" ht="14.5">
      <c r="A192" s="1290" t="s">
        <v>533</v>
      </c>
      <c r="B192" s="1122" t="s">
        <v>534</v>
      </c>
      <c r="C192" s="1291">
        <v>0</v>
      </c>
      <c r="D192" s="1289"/>
      <c r="E192" s="1299"/>
      <c r="F192" s="1298"/>
      <c r="G192" s="1299"/>
      <c r="H192" s="1298"/>
      <c r="I192" s="1292">
        <f t="shared" si="4"/>
        <v>0</v>
      </c>
      <c r="J192" s="1302">
        <f t="shared" si="5"/>
        <v>0</v>
      </c>
      <c r="L192" s="1282">
        <v>5554807.5</v>
      </c>
      <c r="N192" s="1304">
        <f>L186/L192</f>
        <v>0</v>
      </c>
    </row>
    <row r="193" spans="1:14" s="1281" customFormat="1" ht="14.5">
      <c r="A193" s="1290"/>
      <c r="B193" s="1122" t="s">
        <v>535</v>
      </c>
      <c r="C193" s="1291">
        <v>0</v>
      </c>
      <c r="D193" s="1289"/>
      <c r="E193" s="1299"/>
      <c r="F193" s="1298"/>
      <c r="G193" s="1299"/>
      <c r="H193" s="1298"/>
      <c r="I193" s="1292">
        <f t="shared" si="4"/>
        <v>0</v>
      </c>
      <c r="J193" s="1302">
        <f t="shared" si="5"/>
        <v>0</v>
      </c>
      <c r="L193" s="1281">
        <v>5554807.5</v>
      </c>
      <c r="N193" s="1310">
        <f>L187/L193</f>
        <v>0</v>
      </c>
    </row>
    <row r="194" spans="1:14" ht="14.5" hidden="1">
      <c r="A194" s="1305"/>
      <c r="B194" s="1305"/>
      <c r="C194" s="1291"/>
      <c r="D194" s="1289"/>
      <c r="E194" s="1299"/>
      <c r="F194" s="1298"/>
      <c r="G194" s="1299"/>
      <c r="H194" s="1298"/>
      <c r="I194" s="1299">
        <f t="shared" si="4"/>
        <v>0</v>
      </c>
      <c r="J194" s="1298">
        <f t="shared" si="5"/>
        <v>0</v>
      </c>
    </row>
    <row r="195" spans="1:14" ht="14.5" hidden="1">
      <c r="A195" s="1305"/>
      <c r="B195" s="1305"/>
      <c r="C195" s="1291"/>
      <c r="D195" s="1289"/>
      <c r="E195" s="1299"/>
      <c r="F195" s="1298"/>
      <c r="G195" s="1299"/>
      <c r="H195" s="1298"/>
      <c r="I195" s="1299">
        <f t="shared" si="4"/>
        <v>0</v>
      </c>
      <c r="J195" s="1298">
        <f t="shared" si="5"/>
        <v>0</v>
      </c>
    </row>
    <row r="196" spans="1:14" ht="14.5" hidden="1">
      <c r="A196" s="1305"/>
      <c r="B196" s="1305"/>
      <c r="C196" s="1291"/>
      <c r="D196" s="1289"/>
      <c r="E196" s="1299"/>
      <c r="F196" s="1298"/>
      <c r="G196" s="1299"/>
      <c r="H196" s="1298"/>
      <c r="I196" s="1299">
        <f t="shared" si="4"/>
        <v>0</v>
      </c>
      <c r="J196" s="1298">
        <f t="shared" si="5"/>
        <v>0</v>
      </c>
    </row>
    <row r="197" spans="1:14" ht="14.5" hidden="1">
      <c r="A197" s="1305"/>
      <c r="B197" s="1305"/>
      <c r="C197" s="1291"/>
      <c r="D197" s="1289"/>
      <c r="E197" s="1299"/>
      <c r="F197" s="1298"/>
      <c r="G197" s="1299"/>
      <c r="H197" s="1298"/>
      <c r="I197" s="1299">
        <f t="shared" si="4"/>
        <v>0</v>
      </c>
      <c r="J197" s="1298">
        <f t="shared" si="5"/>
        <v>0</v>
      </c>
    </row>
    <row r="198" spans="1:14" ht="14.5" hidden="1">
      <c r="A198" s="1305"/>
      <c r="B198" s="1305"/>
      <c r="C198" s="1291"/>
      <c r="D198" s="1289"/>
      <c r="E198" s="1299"/>
      <c r="F198" s="1298"/>
      <c r="G198" s="1299"/>
      <c r="H198" s="1298"/>
      <c r="I198" s="1299">
        <f t="shared" si="4"/>
        <v>0</v>
      </c>
      <c r="J198" s="1298">
        <f t="shared" si="5"/>
        <v>0</v>
      </c>
    </row>
    <row r="199" spans="1:14" ht="14.5" hidden="1">
      <c r="A199" s="1306"/>
      <c r="C199" s="1291"/>
      <c r="D199" s="1289"/>
      <c r="E199" s="1299"/>
      <c r="F199" s="1298"/>
      <c r="G199" s="1299"/>
      <c r="H199" s="1298"/>
      <c r="I199" s="1299">
        <f t="shared" si="4"/>
        <v>0</v>
      </c>
      <c r="J199" s="1298">
        <f t="shared" si="5"/>
        <v>0</v>
      </c>
    </row>
    <row r="200" spans="1:14" ht="14.5" hidden="1">
      <c r="C200" s="1291"/>
      <c r="D200" s="1289"/>
      <c r="E200" s="1299"/>
      <c r="F200" s="1298"/>
      <c r="G200" s="1299"/>
      <c r="H200" s="1298"/>
      <c r="I200" s="1299">
        <f t="shared" si="4"/>
        <v>0</v>
      </c>
      <c r="J200" s="1298">
        <f t="shared" si="5"/>
        <v>0</v>
      </c>
    </row>
    <row r="201" spans="1:14" ht="14.5">
      <c r="A201" s="1286" t="s">
        <v>160</v>
      </c>
      <c r="C201" s="1292">
        <v>0</v>
      </c>
      <c r="D201" s="1293"/>
      <c r="E201" s="1299"/>
      <c r="F201" s="1298"/>
      <c r="G201" s="1299"/>
      <c r="H201" s="1298"/>
      <c r="I201" s="1299">
        <f t="shared" si="4"/>
        <v>0</v>
      </c>
      <c r="J201" s="1298">
        <f t="shared" si="5"/>
        <v>0</v>
      </c>
    </row>
    <row r="202" spans="1:14" ht="14.5">
      <c r="A202" s="1282" t="s">
        <v>161</v>
      </c>
      <c r="B202" s="1282" t="s">
        <v>162</v>
      </c>
      <c r="C202" s="1291">
        <v>0</v>
      </c>
      <c r="D202" s="1289"/>
      <c r="E202" s="1299"/>
      <c r="F202" s="1298"/>
      <c r="G202" s="1299"/>
      <c r="H202" s="1298"/>
      <c r="I202" s="1297">
        <f t="shared" ref="I202:I267" si="6">C202+G202</f>
        <v>0</v>
      </c>
      <c r="J202" s="1298">
        <f t="shared" ref="J202:J267" si="7">D202+H202</f>
        <v>0</v>
      </c>
      <c r="K202" s="1301"/>
      <c r="L202" s="1301"/>
    </row>
    <row r="203" spans="1:14" ht="14.5">
      <c r="B203" s="1282" t="s">
        <v>536</v>
      </c>
      <c r="C203" s="1291">
        <v>0</v>
      </c>
      <c r="D203" s="1289"/>
      <c r="E203" s="1299"/>
      <c r="F203" s="1298"/>
      <c r="G203" s="1299"/>
      <c r="H203" s="1298"/>
      <c r="I203" s="1297">
        <f t="shared" si="6"/>
        <v>0</v>
      </c>
      <c r="J203" s="1298">
        <f t="shared" si="7"/>
        <v>0</v>
      </c>
      <c r="L203" s="1301"/>
    </row>
    <row r="204" spans="1:14" ht="14.5">
      <c r="B204" s="1282" t="s">
        <v>164</v>
      </c>
      <c r="C204" s="1291">
        <v>0</v>
      </c>
      <c r="D204" s="1289"/>
      <c r="E204" s="1299"/>
      <c r="F204" s="1298"/>
      <c r="G204" s="1299"/>
      <c r="H204" s="1298"/>
      <c r="I204" s="1300">
        <f t="shared" si="6"/>
        <v>0</v>
      </c>
      <c r="J204" s="1298">
        <f t="shared" si="7"/>
        <v>0</v>
      </c>
    </row>
    <row r="205" spans="1:14" ht="14.5">
      <c r="A205" s="1282" t="s">
        <v>165</v>
      </c>
      <c r="B205" s="1282" t="s">
        <v>356</v>
      </c>
      <c r="C205" s="1291">
        <v>0</v>
      </c>
      <c r="D205" s="1289"/>
      <c r="E205" s="1299"/>
      <c r="F205" s="1298">
        <v>0</v>
      </c>
      <c r="G205" s="1299">
        <v>0</v>
      </c>
      <c r="H205" s="1298">
        <v>0</v>
      </c>
      <c r="I205" s="1300">
        <f t="shared" si="6"/>
        <v>0</v>
      </c>
      <c r="J205" s="1302">
        <f t="shared" si="7"/>
        <v>0</v>
      </c>
    </row>
    <row r="206" spans="1:14" ht="14.5">
      <c r="A206" s="1282" t="s">
        <v>169</v>
      </c>
      <c r="B206" s="1282" t="s">
        <v>170</v>
      </c>
      <c r="C206" s="1291">
        <v>0</v>
      </c>
      <c r="D206" s="1289"/>
      <c r="E206" s="1299"/>
      <c r="F206" s="1298"/>
      <c r="G206" s="1299"/>
      <c r="H206" s="1298"/>
      <c r="I206" s="1297">
        <f t="shared" si="6"/>
        <v>0</v>
      </c>
      <c r="J206" s="1298">
        <f t="shared" si="7"/>
        <v>0</v>
      </c>
    </row>
    <row r="207" spans="1:14" ht="14.5">
      <c r="A207" s="1282" t="s">
        <v>537</v>
      </c>
      <c r="B207" s="1282" t="s">
        <v>538</v>
      </c>
      <c r="C207" s="1291">
        <v>0</v>
      </c>
      <c r="D207" s="1289">
        <v>0</v>
      </c>
      <c r="E207" s="1299"/>
      <c r="F207" s="1298"/>
      <c r="G207" s="1299"/>
      <c r="H207" s="1298"/>
      <c r="I207" s="1299">
        <f t="shared" si="6"/>
        <v>0</v>
      </c>
      <c r="J207" s="1303">
        <f t="shared" si="7"/>
        <v>0</v>
      </c>
    </row>
    <row r="208" spans="1:14" ht="14.5" hidden="1">
      <c r="C208" s="1291"/>
      <c r="D208" s="1289"/>
      <c r="E208" s="1299"/>
      <c r="F208" s="1298"/>
      <c r="G208" s="1299"/>
      <c r="H208" s="1298"/>
      <c r="I208" s="1299">
        <f t="shared" si="6"/>
        <v>0</v>
      </c>
      <c r="J208" s="1298">
        <f t="shared" si="7"/>
        <v>0</v>
      </c>
    </row>
    <row r="209" spans="1:11" ht="14.5" hidden="1">
      <c r="A209" s="1286" t="s">
        <v>171</v>
      </c>
      <c r="C209" s="1292"/>
      <c r="D209" s="1293"/>
      <c r="E209" s="1299"/>
      <c r="F209" s="1298"/>
      <c r="G209" s="1299"/>
      <c r="H209" s="1298"/>
      <c r="I209" s="1299">
        <f t="shared" si="6"/>
        <v>0</v>
      </c>
      <c r="J209" s="1298">
        <f t="shared" si="7"/>
        <v>0</v>
      </c>
    </row>
    <row r="210" spans="1:11" ht="14.5">
      <c r="A210" s="1286" t="s">
        <v>172</v>
      </c>
      <c r="C210" s="1292">
        <v>0</v>
      </c>
      <c r="D210" s="1293"/>
      <c r="E210" s="1299"/>
      <c r="F210" s="1298"/>
      <c r="G210" s="1299"/>
      <c r="H210" s="1298"/>
      <c r="I210" s="1299">
        <f t="shared" si="6"/>
        <v>0</v>
      </c>
      <c r="J210" s="1298">
        <f t="shared" si="7"/>
        <v>0</v>
      </c>
    </row>
    <row r="211" spans="1:11" ht="14.5">
      <c r="A211" s="1286"/>
      <c r="B211" s="1281" t="s">
        <v>539</v>
      </c>
      <c r="C211" s="1292"/>
      <c r="D211" s="1307">
        <v>354629</v>
      </c>
      <c r="E211" s="1299"/>
      <c r="F211" s="1298"/>
      <c r="G211" s="1299"/>
      <c r="H211" s="1298"/>
      <c r="I211" s="1299">
        <f t="shared" si="6"/>
        <v>0</v>
      </c>
      <c r="J211" s="1298">
        <f t="shared" si="7"/>
        <v>354629</v>
      </c>
    </row>
    <row r="212" spans="1:11" ht="14.5">
      <c r="B212" s="1281" t="s">
        <v>540</v>
      </c>
      <c r="C212" s="1292">
        <v>0</v>
      </c>
      <c r="D212" s="1307">
        <v>123727</v>
      </c>
      <c r="E212" s="1299"/>
      <c r="F212" s="1298"/>
      <c r="G212" s="1299"/>
      <c r="H212" s="1298"/>
      <c r="I212" s="1299">
        <f t="shared" si="6"/>
        <v>0</v>
      </c>
      <c r="J212" s="1298">
        <f t="shared" si="7"/>
        <v>123727</v>
      </c>
    </row>
    <row r="213" spans="1:11" ht="14.5">
      <c r="A213" s="1282" t="s">
        <v>541</v>
      </c>
      <c r="B213" s="1282" t="s">
        <v>542</v>
      </c>
      <c r="C213" s="1291">
        <v>0</v>
      </c>
      <c r="D213" s="1289"/>
      <c r="E213" s="1299"/>
      <c r="F213" s="1298"/>
      <c r="G213" s="1299"/>
      <c r="H213" s="1298"/>
      <c r="I213" s="1299">
        <f t="shared" si="6"/>
        <v>0</v>
      </c>
      <c r="J213" s="1298">
        <f t="shared" si="7"/>
        <v>0</v>
      </c>
      <c r="K213" s="1282">
        <v>0</v>
      </c>
    </row>
    <row r="214" spans="1:11" ht="14.5">
      <c r="B214" s="1282" t="s">
        <v>543</v>
      </c>
      <c r="C214" s="1291"/>
      <c r="D214" s="1289"/>
      <c r="E214" s="1299"/>
      <c r="F214" s="1298"/>
      <c r="G214" s="1299"/>
      <c r="H214" s="1298" t="e">
        <f>'Adj entry 19'!D10</f>
        <v>#REF!</v>
      </c>
      <c r="I214" s="1299"/>
      <c r="J214" s="1298" t="e">
        <f t="shared" si="7"/>
        <v>#REF!</v>
      </c>
    </row>
    <row r="215" spans="1:11" ht="14.5">
      <c r="A215" s="1282" t="s">
        <v>544</v>
      </c>
      <c r="B215" s="1282" t="s">
        <v>545</v>
      </c>
      <c r="C215" s="1291">
        <v>0</v>
      </c>
      <c r="D215" s="1289"/>
      <c r="E215" s="1299"/>
      <c r="F215" s="1298">
        <v>0</v>
      </c>
      <c r="G215" s="1299"/>
      <c r="H215" s="1298"/>
      <c r="I215" s="1299">
        <f t="shared" si="6"/>
        <v>0</v>
      </c>
      <c r="J215" s="1298">
        <f t="shared" si="7"/>
        <v>0</v>
      </c>
    </row>
    <row r="216" spans="1:11" ht="14.5" hidden="1">
      <c r="C216" s="1292"/>
      <c r="D216" s="1293"/>
      <c r="E216" s="1299"/>
      <c r="F216" s="1298"/>
      <c r="G216" s="1299"/>
      <c r="H216" s="1298"/>
      <c r="I216" s="1299">
        <f t="shared" si="6"/>
        <v>0</v>
      </c>
      <c r="J216" s="1298">
        <f t="shared" si="7"/>
        <v>0</v>
      </c>
    </row>
    <row r="217" spans="1:11" ht="14.5" hidden="1">
      <c r="C217" s="1292"/>
      <c r="D217" s="1293"/>
      <c r="E217" s="1299"/>
      <c r="F217" s="1298"/>
      <c r="G217" s="1299"/>
      <c r="H217" s="1298"/>
      <c r="I217" s="1299">
        <f t="shared" si="6"/>
        <v>0</v>
      </c>
      <c r="J217" s="1298">
        <f t="shared" si="7"/>
        <v>0</v>
      </c>
    </row>
    <row r="218" spans="1:11" ht="14.5">
      <c r="A218" s="1286" t="s">
        <v>173</v>
      </c>
      <c r="C218" s="1292">
        <v>0</v>
      </c>
      <c r="D218" s="1293"/>
      <c r="E218" s="1299"/>
      <c r="F218" s="1298"/>
      <c r="G218" s="1299"/>
      <c r="H218" s="1298"/>
      <c r="I218" s="1299">
        <f t="shared" si="6"/>
        <v>0</v>
      </c>
      <c r="J218" s="1298">
        <f t="shared" si="7"/>
        <v>0</v>
      </c>
    </row>
    <row r="219" spans="1:11" ht="14.5">
      <c r="A219" s="1282" t="s">
        <v>174</v>
      </c>
      <c r="B219" s="1282" t="s">
        <v>175</v>
      </c>
      <c r="C219" s="1291">
        <v>0</v>
      </c>
      <c r="D219" s="1289">
        <v>0</v>
      </c>
      <c r="E219" s="1299"/>
      <c r="F219" s="1298"/>
      <c r="G219" s="1299"/>
      <c r="H219" s="1298">
        <f>+'Adj entry 19'!D20</f>
        <v>0</v>
      </c>
      <c r="I219" s="1299">
        <f t="shared" si="6"/>
        <v>0</v>
      </c>
      <c r="J219" s="1303">
        <f t="shared" si="7"/>
        <v>0</v>
      </c>
    </row>
    <row r="220" spans="1:11" ht="14.5">
      <c r="B220" s="1282" t="s">
        <v>546</v>
      </c>
      <c r="C220" s="1291"/>
      <c r="D220" s="1289">
        <f>'Adj entry 19'!D13</f>
        <v>50000</v>
      </c>
      <c r="E220" s="1299"/>
      <c r="F220" s="1298"/>
      <c r="G220" s="1299"/>
      <c r="H220" s="1298"/>
      <c r="I220" s="1299"/>
      <c r="J220" s="1303">
        <f t="shared" si="7"/>
        <v>50000</v>
      </c>
    </row>
    <row r="221" spans="1:11" ht="14.5">
      <c r="A221" s="1282" t="s">
        <v>176</v>
      </c>
      <c r="B221" s="1282" t="s">
        <v>177</v>
      </c>
      <c r="C221" s="1291">
        <v>0</v>
      </c>
      <c r="D221" s="1289">
        <v>0</v>
      </c>
      <c r="E221" s="1299"/>
      <c r="F221" s="1298"/>
      <c r="G221" s="1299">
        <f>'Adj entry 19'!C28</f>
        <v>0</v>
      </c>
      <c r="H221" s="1298"/>
      <c r="I221" s="1299">
        <f t="shared" si="6"/>
        <v>0</v>
      </c>
      <c r="J221" s="1303">
        <f t="shared" si="7"/>
        <v>0</v>
      </c>
    </row>
    <row r="222" spans="1:11" ht="14.5">
      <c r="A222" s="1282" t="s">
        <v>547</v>
      </c>
      <c r="B222" s="1281" t="s">
        <v>548</v>
      </c>
      <c r="C222" s="1291">
        <v>0</v>
      </c>
      <c r="D222" s="1308">
        <v>1140805.07</v>
      </c>
      <c r="E222" s="1299"/>
      <c r="F222" s="1303">
        <v>0</v>
      </c>
      <c r="G222" s="1299"/>
      <c r="H222" s="1298"/>
      <c r="I222" s="1299">
        <f t="shared" si="6"/>
        <v>0</v>
      </c>
      <c r="J222" s="1303">
        <f t="shared" si="7"/>
        <v>1140805.07</v>
      </c>
    </row>
    <row r="223" spans="1:11" ht="14.5" hidden="1">
      <c r="C223" s="1291"/>
      <c r="D223" s="1289"/>
      <c r="E223" s="1299"/>
      <c r="F223" s="1298"/>
      <c r="G223" s="1299"/>
      <c r="H223" s="1298"/>
      <c r="I223" s="1299">
        <f t="shared" si="6"/>
        <v>0</v>
      </c>
      <c r="J223" s="1298">
        <f t="shared" si="7"/>
        <v>0</v>
      </c>
    </row>
    <row r="224" spans="1:11" ht="14.5">
      <c r="A224" s="1286" t="s">
        <v>179</v>
      </c>
      <c r="C224" s="1292">
        <v>0</v>
      </c>
      <c r="D224" s="1293"/>
      <c r="E224" s="1299"/>
      <c r="F224" s="1298"/>
      <c r="G224" s="1299"/>
      <c r="H224" s="1298"/>
      <c r="I224" s="1299">
        <f t="shared" si="6"/>
        <v>0</v>
      </c>
      <c r="J224" s="1298">
        <f t="shared" si="7"/>
        <v>0</v>
      </c>
    </row>
    <row r="225" spans="1:10" ht="14.5">
      <c r="A225" s="1286" t="s">
        <v>180</v>
      </c>
      <c r="C225" s="1292">
        <v>0</v>
      </c>
      <c r="D225" s="1293"/>
      <c r="E225" s="1299"/>
      <c r="F225" s="1298"/>
      <c r="G225" s="1299"/>
      <c r="H225" s="1298"/>
      <c r="I225" s="1299">
        <f t="shared" si="6"/>
        <v>0</v>
      </c>
      <c r="J225" s="1298">
        <f t="shared" si="7"/>
        <v>0</v>
      </c>
    </row>
    <row r="226" spans="1:10" ht="14.5">
      <c r="A226" s="1290" t="s">
        <v>183</v>
      </c>
      <c r="B226" s="1122" t="s">
        <v>184</v>
      </c>
      <c r="C226" s="1291">
        <v>0</v>
      </c>
      <c r="D226" s="1289"/>
      <c r="E226" s="1299"/>
      <c r="F226" s="1298"/>
      <c r="G226" s="1299"/>
      <c r="H226" s="1298"/>
      <c r="I226" s="1297">
        <f t="shared" si="6"/>
        <v>0</v>
      </c>
      <c r="J226" s="1303">
        <f t="shared" si="7"/>
        <v>0</v>
      </c>
    </row>
    <row r="227" spans="1:10" ht="14.5">
      <c r="A227" s="1290"/>
      <c r="B227" s="1122" t="s">
        <v>549</v>
      </c>
      <c r="C227" s="1291">
        <v>0</v>
      </c>
      <c r="D227" s="1289"/>
      <c r="E227" s="1299"/>
      <c r="F227" s="1298"/>
      <c r="G227" s="1299"/>
      <c r="H227" s="1298"/>
      <c r="I227" s="1297">
        <f t="shared" si="6"/>
        <v>0</v>
      </c>
      <c r="J227" s="1303">
        <f t="shared" si="7"/>
        <v>0</v>
      </c>
    </row>
    <row r="228" spans="1:10" ht="14.5">
      <c r="A228" s="1290"/>
      <c r="B228" s="1122" t="s">
        <v>550</v>
      </c>
      <c r="C228" s="1291">
        <v>0</v>
      </c>
      <c r="D228" s="1289"/>
      <c r="E228" s="1299"/>
      <c r="F228" s="1298"/>
      <c r="G228" s="1299"/>
      <c r="H228" s="1298"/>
      <c r="I228" s="1297">
        <f t="shared" si="6"/>
        <v>0</v>
      </c>
      <c r="J228" s="1303">
        <f t="shared" si="7"/>
        <v>0</v>
      </c>
    </row>
    <row r="229" spans="1:10" ht="14.5">
      <c r="A229" s="1290"/>
      <c r="B229" s="1122" t="s">
        <v>551</v>
      </c>
      <c r="C229" s="1291">
        <v>0</v>
      </c>
      <c r="D229" s="1289">
        <v>0</v>
      </c>
      <c r="E229" s="1299"/>
      <c r="F229" s="1298"/>
      <c r="G229" s="1299"/>
      <c r="H229" s="1298"/>
      <c r="I229" s="1297">
        <f t="shared" si="6"/>
        <v>0</v>
      </c>
      <c r="J229" s="1303">
        <f t="shared" si="7"/>
        <v>0</v>
      </c>
    </row>
    <row r="230" spans="1:10" ht="14.5">
      <c r="A230" s="1290"/>
      <c r="B230" s="1122" t="s">
        <v>552</v>
      </c>
      <c r="C230" s="1291">
        <v>0</v>
      </c>
      <c r="D230" s="1289">
        <v>0</v>
      </c>
      <c r="E230" s="1299"/>
      <c r="F230" s="1298"/>
      <c r="G230" s="1299"/>
      <c r="H230" s="1298"/>
      <c r="I230" s="1297">
        <f t="shared" si="6"/>
        <v>0</v>
      </c>
      <c r="J230" s="1303">
        <f t="shared" si="7"/>
        <v>0</v>
      </c>
    </row>
    <row r="231" spans="1:10" ht="14.5">
      <c r="A231" s="1290"/>
      <c r="B231" s="1122" t="s">
        <v>553</v>
      </c>
      <c r="C231" s="1291">
        <v>0</v>
      </c>
      <c r="D231" s="1289">
        <v>0</v>
      </c>
      <c r="E231" s="1299"/>
      <c r="F231" s="1298"/>
      <c r="G231" s="1299"/>
      <c r="H231" s="1298"/>
      <c r="I231" s="1297">
        <f t="shared" si="6"/>
        <v>0</v>
      </c>
      <c r="J231" s="1303">
        <f t="shared" si="7"/>
        <v>0</v>
      </c>
    </row>
    <row r="232" spans="1:10" ht="14.5">
      <c r="A232" s="1290"/>
      <c r="B232" s="1122" t="s">
        <v>554</v>
      </c>
      <c r="C232" s="1291">
        <v>0</v>
      </c>
      <c r="D232" s="1289">
        <v>0</v>
      </c>
      <c r="E232" s="1299"/>
      <c r="F232" s="1298"/>
      <c r="G232" s="1299"/>
      <c r="H232" s="1298"/>
      <c r="I232" s="1297">
        <f t="shared" si="6"/>
        <v>0</v>
      </c>
      <c r="J232" s="1303">
        <f t="shared" si="7"/>
        <v>0</v>
      </c>
    </row>
    <row r="233" spans="1:10" ht="14.5">
      <c r="A233" s="1290"/>
      <c r="B233" s="1122" t="s">
        <v>555</v>
      </c>
      <c r="C233" s="1291">
        <v>0</v>
      </c>
      <c r="D233" s="1289">
        <v>0</v>
      </c>
      <c r="E233" s="1299"/>
      <c r="F233" s="1298"/>
      <c r="G233" s="1299"/>
      <c r="H233" s="1298"/>
      <c r="I233" s="1297">
        <f t="shared" si="6"/>
        <v>0</v>
      </c>
      <c r="J233" s="1303">
        <f t="shared" si="7"/>
        <v>0</v>
      </c>
    </row>
    <row r="234" spans="1:10" ht="14.5">
      <c r="A234" s="1290"/>
      <c r="B234" s="1122" t="s">
        <v>556</v>
      </c>
      <c r="C234" s="1291">
        <v>0</v>
      </c>
      <c r="D234" s="1289">
        <v>0</v>
      </c>
      <c r="E234" s="1299"/>
      <c r="F234" s="1298"/>
      <c r="G234" s="1299"/>
      <c r="H234" s="1298"/>
      <c r="I234" s="1297">
        <f t="shared" si="6"/>
        <v>0</v>
      </c>
      <c r="J234" s="1303">
        <f t="shared" si="7"/>
        <v>0</v>
      </c>
    </row>
    <row r="235" spans="1:10" ht="14.5">
      <c r="A235" s="1290"/>
      <c r="B235" s="1122" t="s">
        <v>557</v>
      </c>
      <c r="C235" s="1291">
        <v>0</v>
      </c>
      <c r="D235" s="1289">
        <v>0</v>
      </c>
      <c r="E235" s="1299"/>
      <c r="F235" s="1298"/>
      <c r="G235" s="1299"/>
      <c r="H235" s="1298"/>
      <c r="I235" s="1297">
        <f t="shared" si="6"/>
        <v>0</v>
      </c>
      <c r="J235" s="1303">
        <f t="shared" si="7"/>
        <v>0</v>
      </c>
    </row>
    <row r="236" spans="1:10" ht="14.5">
      <c r="A236" s="1290"/>
      <c r="B236" s="1122" t="s">
        <v>558</v>
      </c>
      <c r="C236" s="1291">
        <v>0</v>
      </c>
      <c r="D236" s="1289">
        <v>0</v>
      </c>
      <c r="E236" s="1299"/>
      <c r="F236" s="1298"/>
      <c r="G236" s="1299"/>
      <c r="H236" s="1298"/>
      <c r="I236" s="1297">
        <f t="shared" si="6"/>
        <v>0</v>
      </c>
      <c r="J236" s="1303">
        <f t="shared" si="7"/>
        <v>0</v>
      </c>
    </row>
    <row r="237" spans="1:10" ht="14.5">
      <c r="A237" s="1290"/>
      <c r="B237" s="1122" t="s">
        <v>559</v>
      </c>
      <c r="C237" s="1291">
        <v>0</v>
      </c>
      <c r="D237" s="1289">
        <v>0</v>
      </c>
      <c r="E237" s="1299"/>
      <c r="F237" s="1298"/>
      <c r="G237" s="1299"/>
      <c r="H237" s="1298"/>
      <c r="I237" s="1297">
        <f t="shared" si="6"/>
        <v>0</v>
      </c>
      <c r="J237" s="1303">
        <f t="shared" si="7"/>
        <v>0</v>
      </c>
    </row>
    <row r="238" spans="1:10" ht="14.5">
      <c r="A238" s="1290"/>
      <c r="B238" s="1122" t="s">
        <v>560</v>
      </c>
      <c r="C238" s="1291">
        <v>0</v>
      </c>
      <c r="D238" s="1289">
        <v>0</v>
      </c>
      <c r="E238" s="1299"/>
      <c r="F238" s="1298"/>
      <c r="G238" s="1299"/>
      <c r="H238" s="1298"/>
      <c r="I238" s="1297">
        <f t="shared" si="6"/>
        <v>0</v>
      </c>
      <c r="J238" s="1303">
        <f t="shared" si="7"/>
        <v>0</v>
      </c>
    </row>
    <row r="239" spans="1:10" ht="14.5">
      <c r="A239" s="1290"/>
      <c r="B239" s="1122" t="s">
        <v>561</v>
      </c>
      <c r="C239" s="1291">
        <v>0</v>
      </c>
      <c r="D239" s="1289"/>
      <c r="E239" s="1299"/>
      <c r="F239" s="1298"/>
      <c r="G239" s="1299"/>
      <c r="H239" s="1298"/>
      <c r="I239" s="1297">
        <f t="shared" si="6"/>
        <v>0</v>
      </c>
      <c r="J239" s="1303">
        <f t="shared" si="7"/>
        <v>0</v>
      </c>
    </row>
    <row r="240" spans="1:10" ht="14.5">
      <c r="A240" s="1290"/>
      <c r="B240" s="1122" t="s">
        <v>194</v>
      </c>
      <c r="C240" s="1291">
        <v>0</v>
      </c>
      <c r="D240" s="1289"/>
      <c r="E240" s="1299"/>
      <c r="F240" s="1298"/>
      <c r="G240" s="1299"/>
      <c r="H240" s="1298"/>
      <c r="I240" s="1297">
        <f t="shared" si="6"/>
        <v>0</v>
      </c>
      <c r="J240" s="1303">
        <f t="shared" si="7"/>
        <v>0</v>
      </c>
    </row>
    <row r="241" spans="1:10" ht="14.5">
      <c r="A241" s="1290"/>
      <c r="B241" s="1122" t="s">
        <v>562</v>
      </c>
      <c r="C241" s="1291">
        <v>0</v>
      </c>
      <c r="D241" s="1289">
        <v>0</v>
      </c>
      <c r="E241" s="1299"/>
      <c r="F241" s="1298"/>
      <c r="G241" s="1299"/>
      <c r="H241" s="1298"/>
      <c r="I241" s="1297">
        <f t="shared" si="6"/>
        <v>0</v>
      </c>
      <c r="J241" s="1303">
        <f t="shared" si="7"/>
        <v>0</v>
      </c>
    </row>
    <row r="242" spans="1:10" ht="14.5">
      <c r="A242" s="1290"/>
      <c r="B242" s="1309" t="s">
        <v>563</v>
      </c>
      <c r="C242" s="1291"/>
      <c r="D242" s="1308">
        <v>25401670</v>
      </c>
      <c r="E242" s="1299"/>
      <c r="F242" s="1298"/>
      <c r="G242" s="1299"/>
      <c r="H242" s="1298"/>
      <c r="I242" s="1297">
        <f t="shared" si="6"/>
        <v>0</v>
      </c>
      <c r="J242" s="1303">
        <f t="shared" si="7"/>
        <v>25401670</v>
      </c>
    </row>
    <row r="243" spans="1:10" ht="14.5">
      <c r="A243" s="1290"/>
      <c r="B243" s="1122" t="s">
        <v>564</v>
      </c>
      <c r="C243" s="1291">
        <v>0</v>
      </c>
      <c r="D243" s="1289"/>
      <c r="E243" s="1299"/>
      <c r="F243" s="1298"/>
      <c r="G243" s="1299"/>
      <c r="H243" s="1298"/>
      <c r="I243" s="1297">
        <f t="shared" si="6"/>
        <v>0</v>
      </c>
      <c r="J243" s="1303">
        <f t="shared" si="7"/>
        <v>0</v>
      </c>
    </row>
    <row r="244" spans="1:10" ht="14.5">
      <c r="A244" s="1290"/>
      <c r="B244" s="1122" t="s">
        <v>565</v>
      </c>
      <c r="C244" s="1291">
        <v>0</v>
      </c>
      <c r="D244" s="1289"/>
      <c r="E244" s="1299"/>
      <c r="F244" s="1298"/>
      <c r="G244" s="1299"/>
      <c r="H244" s="1298"/>
      <c r="I244" s="1297">
        <f t="shared" si="6"/>
        <v>0</v>
      </c>
      <c r="J244" s="1303">
        <f t="shared" si="7"/>
        <v>0</v>
      </c>
    </row>
    <row r="245" spans="1:10" ht="14.5">
      <c r="A245" s="1290"/>
      <c r="B245" s="1122" t="s">
        <v>566</v>
      </c>
      <c r="C245" s="1291">
        <v>0</v>
      </c>
      <c r="D245" s="1289">
        <v>0</v>
      </c>
      <c r="E245" s="1299"/>
      <c r="F245" s="1298"/>
      <c r="G245" s="1299"/>
      <c r="H245" s="1298"/>
      <c r="I245" s="1297">
        <f t="shared" si="6"/>
        <v>0</v>
      </c>
      <c r="J245" s="1303">
        <f t="shared" si="7"/>
        <v>0</v>
      </c>
    </row>
    <row r="246" spans="1:10" ht="14.5">
      <c r="A246" s="1290"/>
      <c r="B246" s="1122" t="s">
        <v>90</v>
      </c>
      <c r="C246" s="1291">
        <v>0</v>
      </c>
      <c r="D246" s="1289">
        <v>0</v>
      </c>
      <c r="E246" s="1299"/>
      <c r="F246" s="1298"/>
      <c r="G246" s="1299"/>
      <c r="H246" s="1298"/>
      <c r="I246" s="1297">
        <f t="shared" si="6"/>
        <v>0</v>
      </c>
      <c r="J246" s="1303">
        <f t="shared" si="7"/>
        <v>0</v>
      </c>
    </row>
    <row r="247" spans="1:10" ht="14.5">
      <c r="A247" s="1290"/>
      <c r="B247" s="1122" t="s">
        <v>567</v>
      </c>
      <c r="C247" s="1291">
        <v>0</v>
      </c>
      <c r="D247" s="1289">
        <v>0</v>
      </c>
      <c r="E247" s="1299"/>
      <c r="F247" s="1298"/>
      <c r="G247" s="1299"/>
      <c r="H247" s="1298"/>
      <c r="I247" s="1297">
        <f t="shared" si="6"/>
        <v>0</v>
      </c>
      <c r="J247" s="1303">
        <f t="shared" si="7"/>
        <v>0</v>
      </c>
    </row>
    <row r="248" spans="1:10" ht="25">
      <c r="A248" s="1290"/>
      <c r="B248" s="1122" t="s">
        <v>568</v>
      </c>
      <c r="C248" s="1291">
        <v>0</v>
      </c>
      <c r="D248" s="1289">
        <v>0</v>
      </c>
      <c r="E248" s="1299"/>
      <c r="F248" s="1298"/>
      <c r="G248" s="1299"/>
      <c r="H248" s="1298"/>
      <c r="I248" s="1297">
        <f t="shared" si="6"/>
        <v>0</v>
      </c>
      <c r="J248" s="1303">
        <f t="shared" si="7"/>
        <v>0</v>
      </c>
    </row>
    <row r="249" spans="1:10" ht="14.5">
      <c r="A249" s="1290" t="s">
        <v>569</v>
      </c>
      <c r="B249" s="1122" t="s">
        <v>570</v>
      </c>
      <c r="C249" s="1291">
        <v>0</v>
      </c>
      <c r="D249" s="1289">
        <v>0</v>
      </c>
      <c r="E249" s="1299"/>
      <c r="F249" s="1298"/>
      <c r="G249" s="1299"/>
      <c r="H249" s="1298"/>
      <c r="I249" s="1297">
        <f t="shared" si="6"/>
        <v>0</v>
      </c>
      <c r="J249" s="1303">
        <f t="shared" si="7"/>
        <v>0</v>
      </c>
    </row>
    <row r="250" spans="1:10" ht="14.5">
      <c r="A250" s="1290"/>
      <c r="B250" s="1122" t="s">
        <v>571</v>
      </c>
      <c r="C250" s="1291">
        <v>0</v>
      </c>
      <c r="D250" s="1289">
        <v>0</v>
      </c>
      <c r="E250" s="1299"/>
      <c r="F250" s="1298"/>
      <c r="G250" s="1299"/>
      <c r="H250" s="1298"/>
      <c r="I250" s="1297">
        <f t="shared" si="6"/>
        <v>0</v>
      </c>
      <c r="J250" s="1303">
        <f t="shared" si="7"/>
        <v>0</v>
      </c>
    </row>
    <row r="251" spans="1:10" ht="14.5">
      <c r="A251" s="1290"/>
      <c r="B251" s="1122" t="s">
        <v>572</v>
      </c>
      <c r="C251" s="1291">
        <v>0</v>
      </c>
      <c r="D251" s="1289">
        <v>0</v>
      </c>
      <c r="E251" s="1299"/>
      <c r="F251" s="1298"/>
      <c r="G251" s="1299"/>
      <c r="H251" s="1298"/>
      <c r="I251" s="1297">
        <f t="shared" si="6"/>
        <v>0</v>
      </c>
      <c r="J251" s="1303">
        <f t="shared" si="7"/>
        <v>0</v>
      </c>
    </row>
    <row r="252" spans="1:10" ht="14.5">
      <c r="A252" s="1290"/>
      <c r="B252" s="1122" t="s">
        <v>573</v>
      </c>
      <c r="C252" s="1291"/>
      <c r="D252" s="1289">
        <v>0</v>
      </c>
      <c r="E252" s="1299"/>
      <c r="F252" s="1298"/>
      <c r="G252" s="1299"/>
      <c r="H252" s="1298"/>
      <c r="I252" s="1297">
        <f t="shared" si="6"/>
        <v>0</v>
      </c>
      <c r="J252" s="1303">
        <f t="shared" si="7"/>
        <v>0</v>
      </c>
    </row>
    <row r="253" spans="1:10" ht="14.5">
      <c r="A253" s="1290"/>
      <c r="B253" s="1122" t="s">
        <v>574</v>
      </c>
      <c r="C253" s="1291"/>
      <c r="D253" s="1289">
        <v>0</v>
      </c>
      <c r="E253" s="1299"/>
      <c r="F253" s="1298"/>
      <c r="G253" s="1299"/>
      <c r="H253" s="1298"/>
      <c r="I253" s="1297">
        <f t="shared" si="6"/>
        <v>0</v>
      </c>
      <c r="J253" s="1303">
        <f t="shared" si="7"/>
        <v>0</v>
      </c>
    </row>
    <row r="254" spans="1:10" ht="14.5">
      <c r="A254" s="1290" t="s">
        <v>575</v>
      </c>
      <c r="B254" s="1122" t="s">
        <v>576</v>
      </c>
      <c r="C254" s="1291"/>
      <c r="D254" s="1289">
        <v>0</v>
      </c>
      <c r="E254" s="1299"/>
      <c r="F254" s="1298"/>
      <c r="G254" s="1299"/>
      <c r="H254" s="1298"/>
      <c r="I254" s="1297">
        <f t="shared" si="6"/>
        <v>0</v>
      </c>
      <c r="J254" s="1303">
        <f t="shared" si="7"/>
        <v>0</v>
      </c>
    </row>
    <row r="255" spans="1:10" ht="14.5">
      <c r="A255" s="1290" t="s">
        <v>577</v>
      </c>
      <c r="B255" s="1122" t="s">
        <v>578</v>
      </c>
      <c r="C255" s="1291"/>
      <c r="D255" s="1289">
        <v>0</v>
      </c>
      <c r="E255" s="1299"/>
      <c r="F255" s="1298"/>
      <c r="G255" s="1299"/>
      <c r="H255" s="1298"/>
      <c r="I255" s="1297">
        <f t="shared" si="6"/>
        <v>0</v>
      </c>
      <c r="J255" s="1303">
        <f t="shared" si="7"/>
        <v>0</v>
      </c>
    </row>
    <row r="256" spans="1:10" ht="14.5">
      <c r="A256" s="1290" t="s">
        <v>579</v>
      </c>
      <c r="B256" s="1122" t="s">
        <v>556</v>
      </c>
      <c r="C256" s="1291">
        <v>0</v>
      </c>
      <c r="D256" s="1289"/>
      <c r="E256" s="1299"/>
      <c r="F256" s="1298"/>
      <c r="G256" s="1299"/>
      <c r="H256" s="1298"/>
      <c r="I256" s="1297">
        <f t="shared" si="6"/>
        <v>0</v>
      </c>
      <c r="J256" s="1303">
        <f t="shared" si="7"/>
        <v>0</v>
      </c>
    </row>
    <row r="257" spans="1:10" ht="14.5">
      <c r="A257" s="1290" t="s">
        <v>580</v>
      </c>
      <c r="B257" s="1122" t="s">
        <v>581</v>
      </c>
      <c r="C257" s="1291"/>
      <c r="D257" s="1289"/>
      <c r="E257" s="1299"/>
      <c r="F257" s="1298"/>
      <c r="G257" s="1299"/>
      <c r="H257" s="1298"/>
      <c r="I257" s="1297">
        <f t="shared" si="6"/>
        <v>0</v>
      </c>
      <c r="J257" s="1303">
        <f t="shared" si="7"/>
        <v>0</v>
      </c>
    </row>
    <row r="258" spans="1:10" ht="14.5">
      <c r="A258" s="1290"/>
      <c r="B258" s="1122" t="s">
        <v>582</v>
      </c>
      <c r="C258" s="1291"/>
      <c r="D258" s="1289">
        <v>0</v>
      </c>
      <c r="E258" s="1299"/>
      <c r="F258" s="1298"/>
      <c r="G258" s="1299"/>
      <c r="H258" s="1298"/>
      <c r="I258" s="1297">
        <f t="shared" si="6"/>
        <v>0</v>
      </c>
      <c r="J258" s="1303">
        <f t="shared" si="7"/>
        <v>0</v>
      </c>
    </row>
    <row r="259" spans="1:10" ht="14.5">
      <c r="A259" s="1290"/>
      <c r="B259" s="1122" t="s">
        <v>583</v>
      </c>
      <c r="C259" s="1291"/>
      <c r="D259" s="1289">
        <v>0</v>
      </c>
      <c r="E259" s="1299"/>
      <c r="F259" s="1298"/>
      <c r="G259" s="1299"/>
      <c r="H259" s="1298"/>
      <c r="I259" s="1297">
        <f t="shared" si="6"/>
        <v>0</v>
      </c>
      <c r="J259" s="1303">
        <f t="shared" si="7"/>
        <v>0</v>
      </c>
    </row>
    <row r="260" spans="1:10" ht="14.5">
      <c r="A260" s="1290"/>
      <c r="B260" s="1122" t="s">
        <v>584</v>
      </c>
      <c r="C260" s="1291"/>
      <c r="D260" s="1289">
        <v>0</v>
      </c>
      <c r="E260" s="1299"/>
      <c r="F260" s="1298"/>
      <c r="G260" s="1299"/>
      <c r="H260" s="1298"/>
      <c r="I260" s="1297">
        <f t="shared" si="6"/>
        <v>0</v>
      </c>
      <c r="J260" s="1303">
        <f t="shared" si="7"/>
        <v>0</v>
      </c>
    </row>
    <row r="261" spans="1:10" ht="14.5">
      <c r="A261" s="1290"/>
      <c r="B261" s="1122" t="s">
        <v>585</v>
      </c>
      <c r="C261" s="1291"/>
      <c r="D261" s="1289">
        <v>0</v>
      </c>
      <c r="E261" s="1299"/>
      <c r="F261" s="1298"/>
      <c r="G261" s="1299"/>
      <c r="H261" s="1298"/>
      <c r="I261" s="1297">
        <f t="shared" si="6"/>
        <v>0</v>
      </c>
      <c r="J261" s="1303">
        <f t="shared" si="7"/>
        <v>0</v>
      </c>
    </row>
    <row r="262" spans="1:10" ht="14.5">
      <c r="A262" s="1290"/>
      <c r="B262" s="1122" t="s">
        <v>560</v>
      </c>
      <c r="C262" s="1291"/>
      <c r="D262" s="1289">
        <v>0</v>
      </c>
      <c r="E262" s="1299"/>
      <c r="F262" s="1298"/>
      <c r="G262" s="1299"/>
      <c r="H262" s="1298"/>
      <c r="I262" s="1297">
        <f t="shared" si="6"/>
        <v>0</v>
      </c>
      <c r="J262" s="1303">
        <f t="shared" si="7"/>
        <v>0</v>
      </c>
    </row>
    <row r="263" spans="1:10" ht="14.5">
      <c r="A263" s="1290"/>
      <c r="B263" s="1122" t="s">
        <v>586</v>
      </c>
      <c r="C263" s="1291"/>
      <c r="D263" s="1289">
        <v>0</v>
      </c>
      <c r="E263" s="1299"/>
      <c r="F263" s="1298"/>
      <c r="G263" s="1299"/>
      <c r="H263" s="1298"/>
      <c r="I263" s="1297">
        <f t="shared" si="6"/>
        <v>0</v>
      </c>
      <c r="J263" s="1303">
        <f t="shared" si="7"/>
        <v>0</v>
      </c>
    </row>
    <row r="264" spans="1:10" ht="14.5">
      <c r="A264" s="1290"/>
      <c r="B264" s="1122" t="s">
        <v>587</v>
      </c>
      <c r="C264" s="1291"/>
      <c r="D264" s="1289">
        <v>0</v>
      </c>
      <c r="E264" s="1299"/>
      <c r="F264" s="1298"/>
      <c r="G264" s="1299"/>
      <c r="H264" s="1298"/>
      <c r="I264" s="1297">
        <f t="shared" si="6"/>
        <v>0</v>
      </c>
      <c r="J264" s="1303">
        <f t="shared" si="7"/>
        <v>0</v>
      </c>
    </row>
    <row r="265" spans="1:10" ht="14.5">
      <c r="A265" s="1290" t="s">
        <v>588</v>
      </c>
      <c r="B265" s="1122" t="s">
        <v>589</v>
      </c>
      <c r="C265" s="1291"/>
      <c r="D265" s="1289">
        <v>0</v>
      </c>
      <c r="E265" s="1299"/>
      <c r="F265" s="1298"/>
      <c r="G265" s="1299"/>
      <c r="H265" s="1298"/>
      <c r="I265" s="1297">
        <f t="shared" si="6"/>
        <v>0</v>
      </c>
      <c r="J265" s="1303">
        <f t="shared" si="7"/>
        <v>0</v>
      </c>
    </row>
    <row r="266" spans="1:10" ht="14.5">
      <c r="A266" s="1290" t="s">
        <v>590</v>
      </c>
      <c r="B266" s="1122" t="s">
        <v>591</v>
      </c>
      <c r="C266" s="1291"/>
      <c r="D266" s="1289">
        <v>0</v>
      </c>
      <c r="E266" s="1299"/>
      <c r="F266" s="1298"/>
      <c r="G266" s="1299"/>
      <c r="H266" s="1298"/>
      <c r="I266" s="1297">
        <f t="shared" si="6"/>
        <v>0</v>
      </c>
      <c r="J266" s="1303">
        <f t="shared" si="7"/>
        <v>0</v>
      </c>
    </row>
    <row r="267" spans="1:10" ht="14.5">
      <c r="A267" s="1290" t="s">
        <v>193</v>
      </c>
      <c r="B267" s="1122" t="s">
        <v>194</v>
      </c>
      <c r="C267" s="1291"/>
      <c r="D267" s="1289"/>
      <c r="E267" s="1299"/>
      <c r="F267" s="1298"/>
      <c r="G267" s="1299"/>
      <c r="H267" s="1298"/>
      <c r="I267" s="1297">
        <f t="shared" si="6"/>
        <v>0</v>
      </c>
      <c r="J267" s="1303">
        <f t="shared" si="7"/>
        <v>0</v>
      </c>
    </row>
    <row r="268" spans="1:10" ht="14.5">
      <c r="A268" s="1290" t="s">
        <v>592</v>
      </c>
      <c r="B268" s="1122" t="s">
        <v>593</v>
      </c>
      <c r="C268" s="1291"/>
      <c r="D268" s="1289"/>
      <c r="E268" s="1299"/>
      <c r="F268" s="1298"/>
      <c r="G268" s="1299"/>
      <c r="H268" s="1298"/>
      <c r="I268" s="1297">
        <f t="shared" ref="I268:I332" si="8">C268+G268</f>
        <v>0</v>
      </c>
      <c r="J268" s="1303">
        <f t="shared" ref="J268:J332" si="9">D268+H268</f>
        <v>0</v>
      </c>
    </row>
    <row r="269" spans="1:10" ht="14.5">
      <c r="A269" s="1290"/>
      <c r="B269" s="1122" t="s">
        <v>594</v>
      </c>
      <c r="C269" s="1291"/>
      <c r="D269" s="1289">
        <v>0</v>
      </c>
      <c r="E269" s="1299"/>
      <c r="F269" s="1298"/>
      <c r="G269" s="1299"/>
      <c r="H269" s="1298"/>
      <c r="I269" s="1297">
        <f t="shared" si="8"/>
        <v>0</v>
      </c>
      <c r="J269" s="1303">
        <f t="shared" si="9"/>
        <v>0</v>
      </c>
    </row>
    <row r="270" spans="1:10" ht="14.5">
      <c r="A270" s="1290" t="s">
        <v>199</v>
      </c>
      <c r="B270" s="1122" t="s">
        <v>200</v>
      </c>
      <c r="C270" s="1291"/>
      <c r="D270" s="1289"/>
      <c r="E270" s="1299"/>
      <c r="F270" s="1298"/>
      <c r="G270" s="1299"/>
      <c r="H270" s="1298"/>
      <c r="I270" s="1297">
        <f t="shared" si="8"/>
        <v>0</v>
      </c>
      <c r="J270" s="1303">
        <f t="shared" si="9"/>
        <v>0</v>
      </c>
    </row>
    <row r="271" spans="1:10" ht="14.5">
      <c r="A271" s="1290" t="s">
        <v>595</v>
      </c>
      <c r="B271" s="1122" t="s">
        <v>596</v>
      </c>
      <c r="C271" s="1291"/>
      <c r="D271" s="1289"/>
      <c r="E271" s="1299"/>
      <c r="F271" s="1298"/>
      <c r="G271" s="1299"/>
      <c r="H271" s="1298"/>
      <c r="I271" s="1297">
        <f t="shared" si="8"/>
        <v>0</v>
      </c>
      <c r="J271" s="1303">
        <f t="shared" si="9"/>
        <v>0</v>
      </c>
    </row>
    <row r="272" spans="1:10" ht="14.5">
      <c r="A272" s="1290" t="s">
        <v>597</v>
      </c>
      <c r="B272" s="1122" t="s">
        <v>598</v>
      </c>
      <c r="C272" s="1291"/>
      <c r="D272" s="1289"/>
      <c r="E272" s="1299"/>
      <c r="F272" s="1298"/>
      <c r="G272" s="1299"/>
      <c r="H272" s="1298"/>
      <c r="I272" s="1297">
        <f t="shared" si="8"/>
        <v>0</v>
      </c>
      <c r="J272" s="1302">
        <f t="shared" si="9"/>
        <v>0</v>
      </c>
    </row>
    <row r="273" spans="1:12" ht="14.5">
      <c r="A273" s="1286" t="s">
        <v>202</v>
      </c>
      <c r="C273" s="1292"/>
      <c r="D273" s="1293">
        <v>0</v>
      </c>
      <c r="E273" s="1299"/>
      <c r="F273" s="1298"/>
      <c r="G273" s="1299"/>
      <c r="H273" s="1298"/>
      <c r="I273" s="1300">
        <f t="shared" si="8"/>
        <v>0</v>
      </c>
      <c r="J273" s="1302">
        <f t="shared" si="9"/>
        <v>0</v>
      </c>
    </row>
    <row r="274" spans="1:12" ht="14.5">
      <c r="A274" s="1290" t="s">
        <v>203</v>
      </c>
      <c r="B274" s="1122" t="s">
        <v>204</v>
      </c>
      <c r="C274" s="1291"/>
      <c r="D274" s="1289">
        <v>0</v>
      </c>
      <c r="E274" s="1299"/>
      <c r="F274" s="1303">
        <v>0</v>
      </c>
      <c r="G274" s="1311"/>
      <c r="H274" s="1298"/>
      <c r="I274" s="1299">
        <f t="shared" si="8"/>
        <v>0</v>
      </c>
      <c r="J274" s="1303">
        <f t="shared" si="9"/>
        <v>0</v>
      </c>
    </row>
    <row r="275" spans="1:12" ht="14.5">
      <c r="A275" s="1290" t="s">
        <v>205</v>
      </c>
      <c r="B275" s="1122" t="s">
        <v>206</v>
      </c>
      <c r="C275" s="1291"/>
      <c r="D275" s="1289">
        <v>0</v>
      </c>
      <c r="E275" s="1299"/>
      <c r="F275" s="1303">
        <v>0</v>
      </c>
      <c r="G275" s="1311"/>
      <c r="H275" s="1298"/>
      <c r="I275" s="1299">
        <f t="shared" si="8"/>
        <v>0</v>
      </c>
      <c r="J275" s="1303">
        <f t="shared" si="9"/>
        <v>0</v>
      </c>
    </row>
    <row r="276" spans="1:12" ht="14.5">
      <c r="A276" s="1290" t="s">
        <v>207</v>
      </c>
      <c r="B276" s="1122" t="s">
        <v>208</v>
      </c>
      <c r="C276" s="1291"/>
      <c r="D276" s="1289">
        <v>0</v>
      </c>
      <c r="E276" s="1299"/>
      <c r="F276" s="1303"/>
      <c r="G276" s="1311"/>
      <c r="H276" s="1298"/>
      <c r="I276" s="1299">
        <f t="shared" si="8"/>
        <v>0</v>
      </c>
      <c r="J276" s="1303">
        <f t="shared" si="9"/>
        <v>0</v>
      </c>
    </row>
    <row r="277" spans="1:12" ht="14.5">
      <c r="A277" s="1290" t="s">
        <v>599</v>
      </c>
      <c r="B277" s="1122" t="s">
        <v>600</v>
      </c>
      <c r="C277" s="1291"/>
      <c r="D277" s="1289">
        <v>0</v>
      </c>
      <c r="E277" s="1299"/>
      <c r="F277" s="1303"/>
      <c r="G277" s="1311"/>
      <c r="H277" s="1298"/>
      <c r="I277" s="1299">
        <f t="shared" si="8"/>
        <v>0</v>
      </c>
      <c r="J277" s="1303">
        <f t="shared" si="9"/>
        <v>0</v>
      </c>
      <c r="L277" s="1301">
        <f>J277+J279+J281</f>
        <v>0</v>
      </c>
    </row>
    <row r="278" spans="1:12" ht="14.5">
      <c r="A278" s="1290" t="s">
        <v>209</v>
      </c>
      <c r="B278" s="1122" t="s">
        <v>210</v>
      </c>
      <c r="C278" s="1291"/>
      <c r="D278" s="1289">
        <v>0</v>
      </c>
      <c r="E278" s="1299"/>
      <c r="F278" s="1303">
        <v>0</v>
      </c>
      <c r="G278" s="1311"/>
      <c r="H278" s="1298"/>
      <c r="I278" s="1299">
        <f t="shared" si="8"/>
        <v>0</v>
      </c>
      <c r="J278" s="1303">
        <f t="shared" si="9"/>
        <v>0</v>
      </c>
    </row>
    <row r="279" spans="1:12" ht="14.5">
      <c r="A279" s="1290" t="s">
        <v>211</v>
      </c>
      <c r="B279" s="1122" t="s">
        <v>212</v>
      </c>
      <c r="C279" s="1291"/>
      <c r="D279" s="1289">
        <v>0</v>
      </c>
      <c r="E279" s="1299"/>
      <c r="F279" s="1303"/>
      <c r="G279" s="1311"/>
      <c r="H279" s="1298"/>
      <c r="I279" s="1299">
        <f t="shared" si="8"/>
        <v>0</v>
      </c>
      <c r="J279" s="1303">
        <f t="shared" si="9"/>
        <v>0</v>
      </c>
      <c r="K279" s="1301">
        <f>J277+J279+J281</f>
        <v>0</v>
      </c>
    </row>
    <row r="280" spans="1:12" ht="14.5">
      <c r="A280" s="1290" t="s">
        <v>213</v>
      </c>
      <c r="B280" s="1122" t="s">
        <v>214</v>
      </c>
      <c r="C280" s="1291"/>
      <c r="D280" s="1289">
        <v>0</v>
      </c>
      <c r="E280" s="1299"/>
      <c r="F280" s="1303">
        <v>0</v>
      </c>
      <c r="G280" s="1311"/>
      <c r="H280" s="1298"/>
      <c r="I280" s="1299">
        <f t="shared" si="8"/>
        <v>0</v>
      </c>
      <c r="J280" s="1303">
        <f t="shared" si="9"/>
        <v>0</v>
      </c>
    </row>
    <row r="281" spans="1:12" ht="14.5">
      <c r="A281" s="1290" t="s">
        <v>215</v>
      </c>
      <c r="B281" s="1122" t="s">
        <v>216</v>
      </c>
      <c r="C281" s="1291"/>
      <c r="D281" s="1289">
        <v>0</v>
      </c>
      <c r="E281" s="1299"/>
      <c r="F281" s="1298"/>
      <c r="G281" s="1299"/>
      <c r="H281" s="1298"/>
      <c r="I281" s="1299">
        <f t="shared" si="8"/>
        <v>0</v>
      </c>
      <c r="J281" s="1303">
        <f t="shared" si="9"/>
        <v>0</v>
      </c>
      <c r="L281" s="1301">
        <f>SUM(F274:F280)+H277-G274</f>
        <v>0</v>
      </c>
    </row>
    <row r="282" spans="1:12" ht="14.5">
      <c r="C282" s="1291"/>
      <c r="D282" s="1289"/>
      <c r="E282" s="1299"/>
      <c r="F282" s="1298"/>
      <c r="G282" s="1299"/>
      <c r="H282" s="1298"/>
      <c r="I282" s="1299">
        <f t="shared" si="8"/>
        <v>0</v>
      </c>
      <c r="J282" s="1298">
        <f t="shared" si="9"/>
        <v>0</v>
      </c>
    </row>
    <row r="283" spans="1:12" ht="14.5">
      <c r="A283" s="1286" t="s">
        <v>218</v>
      </c>
      <c r="C283" s="1291"/>
      <c r="D283" s="1289"/>
      <c r="E283" s="1299"/>
      <c r="F283" s="1298"/>
      <c r="G283" s="1299"/>
      <c r="H283" s="1298"/>
      <c r="I283" s="1299">
        <f t="shared" si="8"/>
        <v>0</v>
      </c>
      <c r="J283" s="1298">
        <f t="shared" si="9"/>
        <v>0</v>
      </c>
    </row>
    <row r="284" spans="1:12" ht="14.5">
      <c r="A284" s="1282" t="s">
        <v>601</v>
      </c>
      <c r="B284" s="1282" t="s">
        <v>602</v>
      </c>
      <c r="C284" s="1288">
        <v>9411389.4800000004</v>
      </c>
      <c r="D284" s="1289">
        <v>0</v>
      </c>
      <c r="E284" s="1299"/>
      <c r="F284" s="1303">
        <v>0</v>
      </c>
      <c r="G284" s="1299"/>
      <c r="H284" s="1298"/>
      <c r="I284" s="1299">
        <f t="shared" si="8"/>
        <v>9411389.4800000004</v>
      </c>
      <c r="J284" s="1303">
        <f t="shared" si="9"/>
        <v>0</v>
      </c>
      <c r="K284" s="1282">
        <v>4147629.1799999899</v>
      </c>
      <c r="L284" s="1301"/>
    </row>
    <row r="285" spans="1:12" ht="14.5">
      <c r="A285" s="1282" t="s">
        <v>603</v>
      </c>
      <c r="B285" s="1282" t="s">
        <v>220</v>
      </c>
      <c r="C285" s="1291"/>
      <c r="D285" s="1308">
        <v>1000000</v>
      </c>
      <c r="E285" s="1299"/>
      <c r="F285" s="1303">
        <v>0</v>
      </c>
      <c r="G285" s="1299"/>
      <c r="H285" s="1298"/>
      <c r="I285" s="1299">
        <f t="shared" si="8"/>
        <v>0</v>
      </c>
      <c r="J285" s="1303">
        <f t="shared" si="9"/>
        <v>1000000</v>
      </c>
    </row>
    <row r="286" spans="1:12" ht="14.5">
      <c r="A286" s="1282" t="s">
        <v>604</v>
      </c>
      <c r="B286" s="1282" t="s">
        <v>221</v>
      </c>
      <c r="C286" s="1291"/>
      <c r="D286" s="1289">
        <v>0</v>
      </c>
      <c r="E286" s="1299"/>
      <c r="F286" s="1303">
        <v>0</v>
      </c>
      <c r="G286" s="1299"/>
      <c r="H286" s="1298"/>
      <c r="I286" s="1299">
        <f t="shared" si="8"/>
        <v>0</v>
      </c>
      <c r="J286" s="1303">
        <f t="shared" si="9"/>
        <v>0</v>
      </c>
    </row>
    <row r="287" spans="1:12" ht="14.5" hidden="1">
      <c r="C287" s="1291"/>
      <c r="D287" s="1289"/>
      <c r="E287" s="1299"/>
      <c r="F287" s="1298"/>
      <c r="G287" s="1299"/>
      <c r="H287" s="1298"/>
      <c r="I287" s="1299">
        <f t="shared" si="8"/>
        <v>0</v>
      </c>
      <c r="J287" s="1298">
        <f t="shared" si="9"/>
        <v>0</v>
      </c>
    </row>
    <row r="288" spans="1:12" ht="14.5" hidden="1">
      <c r="C288" s="1291"/>
      <c r="D288" s="1289"/>
      <c r="E288" s="1299"/>
      <c r="F288" s="1298"/>
      <c r="G288" s="1299"/>
      <c r="H288" s="1298"/>
      <c r="I288" s="1299">
        <f t="shared" si="8"/>
        <v>0</v>
      </c>
      <c r="J288" s="1298">
        <f t="shared" si="9"/>
        <v>0</v>
      </c>
    </row>
    <row r="289" spans="1:13" ht="14.5" hidden="1">
      <c r="C289" s="1291"/>
      <c r="D289" s="1289"/>
      <c r="E289" s="1299"/>
      <c r="F289" s="1298"/>
      <c r="G289" s="1299"/>
      <c r="H289" s="1298"/>
      <c r="I289" s="1299">
        <f t="shared" si="8"/>
        <v>0</v>
      </c>
      <c r="J289" s="1298">
        <f t="shared" si="9"/>
        <v>0</v>
      </c>
    </row>
    <row r="290" spans="1:13" ht="14.5">
      <c r="B290" s="1282" t="s">
        <v>605</v>
      </c>
      <c r="C290" s="1291"/>
      <c r="D290" s="1289">
        <v>9411389</v>
      </c>
      <c r="E290" s="1299"/>
      <c r="F290" s="1298"/>
      <c r="G290" s="1299"/>
      <c r="H290" s="1298"/>
      <c r="I290" s="1299"/>
      <c r="J290" s="1298">
        <f t="shared" si="9"/>
        <v>9411389</v>
      </c>
    </row>
    <row r="291" spans="1:13" ht="14.5">
      <c r="A291" s="1286" t="s">
        <v>222</v>
      </c>
      <c r="C291" s="1292"/>
      <c r="D291" s="1293"/>
      <c r="E291" s="1299"/>
      <c r="F291" s="1298"/>
      <c r="G291" s="1299"/>
      <c r="H291" s="1298"/>
      <c r="I291" s="1299">
        <f t="shared" si="8"/>
        <v>0</v>
      </c>
      <c r="J291" s="1298">
        <f t="shared" si="9"/>
        <v>0</v>
      </c>
    </row>
    <row r="292" spans="1:13" ht="14.5">
      <c r="A292" s="1282" t="s">
        <v>223</v>
      </c>
      <c r="C292" s="1292"/>
      <c r="D292" s="1293"/>
      <c r="E292" s="1299"/>
      <c r="F292" s="1298"/>
      <c r="G292" s="1299"/>
      <c r="H292" s="1298"/>
      <c r="I292" s="1299">
        <f t="shared" si="8"/>
        <v>0</v>
      </c>
      <c r="J292" s="1298">
        <f t="shared" si="9"/>
        <v>0</v>
      </c>
    </row>
    <row r="293" spans="1:13" ht="14.5">
      <c r="A293" s="1282" t="s">
        <v>224</v>
      </c>
      <c r="C293" s="1292"/>
      <c r="D293" s="1293"/>
      <c r="E293" s="1299"/>
      <c r="F293" s="1298"/>
      <c r="G293" s="1299"/>
      <c r="H293" s="1298"/>
      <c r="I293" s="1299">
        <f t="shared" si="8"/>
        <v>0</v>
      </c>
      <c r="J293" s="1298">
        <f t="shared" si="9"/>
        <v>0</v>
      </c>
    </row>
    <row r="294" spans="1:13" ht="14.5">
      <c r="A294" s="1282" t="s">
        <v>225</v>
      </c>
      <c r="B294" s="1282" t="s">
        <v>606</v>
      </c>
      <c r="C294" s="1291"/>
      <c r="D294" s="1308">
        <v>1513642.18</v>
      </c>
      <c r="E294" s="1299"/>
      <c r="F294" s="1298"/>
      <c r="G294" s="1299"/>
      <c r="H294" s="1298"/>
      <c r="I294" s="1299">
        <f t="shared" si="8"/>
        <v>0</v>
      </c>
      <c r="J294" s="1298">
        <f t="shared" si="9"/>
        <v>1513642.18</v>
      </c>
    </row>
    <row r="295" spans="1:13" ht="14.5">
      <c r="A295" s="1282" t="s">
        <v>227</v>
      </c>
      <c r="C295" s="1291"/>
      <c r="D295" s="1289"/>
      <c r="E295" s="1299"/>
      <c r="F295" s="1298"/>
      <c r="G295" s="1299"/>
      <c r="H295" s="1298"/>
      <c r="I295" s="1299">
        <f t="shared" si="8"/>
        <v>0</v>
      </c>
      <c r="J295" s="1298">
        <f t="shared" si="9"/>
        <v>0</v>
      </c>
    </row>
    <row r="296" spans="1:13" ht="14.5">
      <c r="A296" s="1282" t="s">
        <v>607</v>
      </c>
      <c r="B296" s="1281" t="s">
        <v>608</v>
      </c>
      <c r="C296" s="1291"/>
      <c r="D296" s="1308">
        <v>144306.22</v>
      </c>
      <c r="E296" s="1299"/>
      <c r="F296" s="1298"/>
      <c r="G296" s="1299"/>
      <c r="H296" s="1298"/>
      <c r="I296" s="1299">
        <f t="shared" si="8"/>
        <v>0</v>
      </c>
      <c r="J296" s="1298">
        <f t="shared" si="9"/>
        <v>144306.22</v>
      </c>
    </row>
    <row r="297" spans="1:13" ht="14.5">
      <c r="B297" s="1281" t="s">
        <v>609</v>
      </c>
      <c r="C297" s="1291"/>
      <c r="D297" s="1289"/>
      <c r="E297" s="1299"/>
      <c r="F297" s="1298"/>
      <c r="G297" s="1299"/>
      <c r="H297" s="1298"/>
      <c r="I297" s="1299">
        <f t="shared" si="8"/>
        <v>0</v>
      </c>
      <c r="J297" s="1298">
        <f t="shared" si="9"/>
        <v>0</v>
      </c>
    </row>
    <row r="298" spans="1:13" ht="14.5">
      <c r="C298" s="1291"/>
      <c r="D298" s="1289"/>
      <c r="E298" s="1299"/>
      <c r="F298" s="1298"/>
      <c r="G298" s="1299"/>
      <c r="H298" s="1298"/>
      <c r="I298" s="1299">
        <f t="shared" si="8"/>
        <v>0</v>
      </c>
      <c r="J298" s="1298">
        <f t="shared" si="9"/>
        <v>0</v>
      </c>
    </row>
    <row r="299" spans="1:13" ht="14.5">
      <c r="A299" s="1286" t="s">
        <v>230</v>
      </c>
      <c r="C299" s="1292"/>
      <c r="D299" s="1293"/>
      <c r="E299" s="1299"/>
      <c r="F299" s="1298"/>
      <c r="G299" s="1299"/>
      <c r="H299" s="1298"/>
      <c r="I299" s="1299">
        <f t="shared" si="8"/>
        <v>0</v>
      </c>
      <c r="J299" s="1298">
        <f t="shared" si="9"/>
        <v>0</v>
      </c>
    </row>
    <row r="300" spans="1:13" ht="14.5">
      <c r="A300" s="1282" t="s">
        <v>231</v>
      </c>
      <c r="B300" s="1282" t="s">
        <v>232</v>
      </c>
      <c r="C300" s="1291">
        <v>0</v>
      </c>
      <c r="D300" s="1289"/>
      <c r="E300" s="1299"/>
      <c r="F300" s="1298"/>
      <c r="G300" s="1299"/>
      <c r="H300" s="1298">
        <f>+'Adj entry 19'!D23</f>
        <v>0</v>
      </c>
      <c r="I300" s="1297">
        <f t="shared" si="8"/>
        <v>0</v>
      </c>
      <c r="J300" s="1298">
        <f t="shared" si="9"/>
        <v>0</v>
      </c>
      <c r="K300" s="1301">
        <f>SUM(J308:J408)</f>
        <v>0</v>
      </c>
      <c r="L300" s="1301" t="e">
        <f>SUM(I300:I407)</f>
        <v>#REF!</v>
      </c>
    </row>
    <row r="301" spans="1:13" ht="14.5">
      <c r="B301" s="1282" t="s">
        <v>610</v>
      </c>
      <c r="C301" s="1291"/>
      <c r="D301" s="1308">
        <v>15000</v>
      </c>
      <c r="E301" s="1299"/>
      <c r="F301" s="1298"/>
      <c r="G301" s="1299"/>
      <c r="H301" s="1298"/>
      <c r="I301" s="1299">
        <f t="shared" si="8"/>
        <v>0</v>
      </c>
      <c r="J301" s="1298">
        <f t="shared" si="9"/>
        <v>15000</v>
      </c>
      <c r="L301" s="1301" t="e">
        <f>K300-L300</f>
        <v>#REF!</v>
      </c>
      <c r="M301" s="1282">
        <v>1524925.8252000001</v>
      </c>
    </row>
    <row r="302" spans="1:13" ht="14.5">
      <c r="C302" s="1291"/>
      <c r="D302" s="1289"/>
      <c r="E302" s="1299"/>
      <c r="F302" s="1298"/>
      <c r="G302" s="1299"/>
      <c r="H302" s="1298"/>
      <c r="I302" s="1299">
        <f t="shared" si="8"/>
        <v>0</v>
      </c>
      <c r="J302" s="1298">
        <f t="shared" si="9"/>
        <v>0</v>
      </c>
      <c r="M302" s="1301" t="e">
        <f>M301+L301</f>
        <v>#REF!</v>
      </c>
    </row>
    <row r="303" spans="1:13" ht="14.5">
      <c r="A303" s="1286" t="s">
        <v>233</v>
      </c>
      <c r="C303" s="1292"/>
      <c r="D303" s="1293"/>
      <c r="E303" s="1299"/>
      <c r="F303" s="1298"/>
      <c r="G303" s="1299"/>
      <c r="H303" s="1298"/>
      <c r="I303" s="1299">
        <f t="shared" si="8"/>
        <v>0</v>
      </c>
      <c r="J303" s="1298">
        <f t="shared" si="9"/>
        <v>0</v>
      </c>
    </row>
    <row r="304" spans="1:13" ht="14.5">
      <c r="A304" s="1286" t="s">
        <v>234</v>
      </c>
      <c r="C304" s="1292"/>
      <c r="D304" s="1293"/>
      <c r="E304" s="1299"/>
      <c r="F304" s="1298"/>
      <c r="G304" s="1299"/>
      <c r="H304" s="1298"/>
      <c r="I304" s="1299">
        <f t="shared" si="8"/>
        <v>0</v>
      </c>
      <c r="J304" s="1298">
        <f t="shared" si="9"/>
        <v>0</v>
      </c>
    </row>
    <row r="305" spans="1:14" ht="14.5">
      <c r="A305" s="1282" t="s">
        <v>235</v>
      </c>
      <c r="B305" s="1282" t="s">
        <v>236</v>
      </c>
      <c r="C305" s="1291"/>
      <c r="D305" s="1289"/>
      <c r="E305" s="1299"/>
      <c r="F305" s="1298"/>
      <c r="G305" s="1299"/>
      <c r="H305" s="1298"/>
      <c r="I305" s="1299">
        <f t="shared" si="8"/>
        <v>0</v>
      </c>
      <c r="J305" s="1298">
        <f t="shared" si="9"/>
        <v>0</v>
      </c>
    </row>
    <row r="306" spans="1:14" ht="14.5">
      <c r="C306" s="1291"/>
      <c r="D306" s="1289"/>
      <c r="E306" s="1299"/>
      <c r="F306" s="1298"/>
      <c r="G306" s="1299"/>
      <c r="H306" s="1298"/>
      <c r="I306" s="1299">
        <f t="shared" si="8"/>
        <v>0</v>
      </c>
      <c r="J306" s="1298">
        <f t="shared" si="9"/>
        <v>0</v>
      </c>
    </row>
    <row r="307" spans="1:14" ht="14.5">
      <c r="A307" s="1286" t="s">
        <v>237</v>
      </c>
      <c r="C307" s="1292"/>
      <c r="D307" s="1293"/>
      <c r="E307" s="1299"/>
      <c r="F307" s="1298"/>
      <c r="G307" s="1299"/>
      <c r="H307" s="1298"/>
      <c r="I307" s="1299">
        <f t="shared" si="8"/>
        <v>0</v>
      </c>
      <c r="J307" s="1298">
        <f t="shared" si="9"/>
        <v>0</v>
      </c>
      <c r="L307" s="1301" t="e">
        <f>K300-L300</f>
        <v>#REF!</v>
      </c>
      <c r="M307" s="1312"/>
      <c r="N307" s="1301"/>
    </row>
    <row r="308" spans="1:14" ht="14.5">
      <c r="A308" s="1282" t="s">
        <v>238</v>
      </c>
      <c r="B308" s="1282" t="s">
        <v>239</v>
      </c>
      <c r="C308" s="1291"/>
      <c r="D308" s="1289">
        <v>0</v>
      </c>
      <c r="E308" s="1299"/>
      <c r="F308" s="1298"/>
      <c r="G308" s="1299"/>
      <c r="H308" s="1298"/>
      <c r="I308" s="1299">
        <f t="shared" si="8"/>
        <v>0</v>
      </c>
      <c r="J308" s="1303">
        <f t="shared" si="9"/>
        <v>0</v>
      </c>
    </row>
    <row r="309" spans="1:14" ht="14.5">
      <c r="C309" s="1291"/>
      <c r="D309" s="1289"/>
      <c r="E309" s="1299"/>
      <c r="F309" s="1298"/>
      <c r="G309" s="1299"/>
      <c r="H309" s="1298"/>
      <c r="I309" s="1299">
        <f t="shared" si="8"/>
        <v>0</v>
      </c>
      <c r="J309" s="1302">
        <f t="shared" si="9"/>
        <v>0</v>
      </c>
      <c r="N309" s="1301"/>
    </row>
    <row r="310" spans="1:14" ht="14.5">
      <c r="A310" s="1286" t="s">
        <v>240</v>
      </c>
      <c r="C310" s="1292"/>
      <c r="D310" s="1293"/>
      <c r="E310" s="1299"/>
      <c r="F310" s="1298"/>
      <c r="G310" s="1299"/>
      <c r="H310" s="1298"/>
      <c r="I310" s="1299">
        <f t="shared" si="8"/>
        <v>0</v>
      </c>
      <c r="J310" s="1302">
        <f t="shared" si="9"/>
        <v>0</v>
      </c>
    </row>
    <row r="311" spans="1:14" ht="14.5">
      <c r="A311" s="1282" t="s">
        <v>241</v>
      </c>
      <c r="B311" s="1282" t="s">
        <v>242</v>
      </c>
      <c r="C311" s="1291"/>
      <c r="D311" s="1289">
        <v>0</v>
      </c>
      <c r="E311" s="1299"/>
      <c r="F311" s="1298"/>
      <c r="G311" s="1299"/>
      <c r="H311" s="1298"/>
      <c r="I311" s="1299">
        <f t="shared" si="8"/>
        <v>0</v>
      </c>
      <c r="J311" s="1303">
        <f t="shared" si="9"/>
        <v>0</v>
      </c>
    </row>
    <row r="312" spans="1:14" ht="14.5">
      <c r="C312" s="1291"/>
      <c r="D312" s="1289"/>
      <c r="E312" s="1299"/>
      <c r="F312" s="1298"/>
      <c r="G312" s="1299"/>
      <c r="H312" s="1298"/>
      <c r="I312" s="1299">
        <f t="shared" si="8"/>
        <v>0</v>
      </c>
      <c r="J312" s="1302">
        <f t="shared" si="9"/>
        <v>0</v>
      </c>
    </row>
    <row r="313" spans="1:14" ht="14.5">
      <c r="A313" s="1286" t="s">
        <v>611</v>
      </c>
      <c r="C313" s="1291"/>
      <c r="D313" s="1289"/>
      <c r="E313" s="1299"/>
      <c r="F313" s="1298"/>
      <c r="G313" s="1299"/>
      <c r="H313" s="1298"/>
      <c r="I313" s="1299">
        <f t="shared" si="8"/>
        <v>0</v>
      </c>
      <c r="J313" s="1302">
        <f t="shared" si="9"/>
        <v>0</v>
      </c>
    </row>
    <row r="314" spans="1:14" ht="14.5">
      <c r="B314" s="1282" t="s">
        <v>612</v>
      </c>
      <c r="C314" s="1291"/>
      <c r="D314" s="1289">
        <v>0</v>
      </c>
      <c r="E314" s="1299"/>
      <c r="F314" s="1298"/>
      <c r="G314" s="1299"/>
      <c r="H314" s="1298"/>
      <c r="I314" s="1299">
        <f t="shared" si="8"/>
        <v>0</v>
      </c>
      <c r="J314" s="1303">
        <f t="shared" si="9"/>
        <v>0</v>
      </c>
    </row>
    <row r="315" spans="1:14" ht="14.5">
      <c r="A315" s="1286" t="s">
        <v>243</v>
      </c>
      <c r="C315" s="1292"/>
      <c r="D315" s="1293"/>
      <c r="E315" s="1299"/>
      <c r="F315" s="1298"/>
      <c r="G315" s="1299"/>
      <c r="H315" s="1298"/>
      <c r="I315" s="1299">
        <f t="shared" si="8"/>
        <v>0</v>
      </c>
      <c r="J315" s="1302">
        <f t="shared" si="9"/>
        <v>0</v>
      </c>
    </row>
    <row r="316" spans="1:14" ht="14.5">
      <c r="A316" s="1282" t="s">
        <v>244</v>
      </c>
      <c r="B316" s="1282" t="s">
        <v>243</v>
      </c>
      <c r="C316" s="1291"/>
      <c r="D316" s="1289">
        <v>0</v>
      </c>
      <c r="E316" s="1299"/>
      <c r="F316" s="1298"/>
      <c r="G316" s="1299"/>
      <c r="H316" s="1298"/>
      <c r="I316" s="1299">
        <f t="shared" si="8"/>
        <v>0</v>
      </c>
      <c r="J316" s="1303">
        <f t="shared" si="9"/>
        <v>0</v>
      </c>
    </row>
    <row r="317" spans="1:14" ht="14.5">
      <c r="C317" s="1291"/>
      <c r="D317" s="1289"/>
      <c r="E317" s="1299"/>
      <c r="F317" s="1298"/>
      <c r="G317" s="1299"/>
      <c r="H317" s="1298"/>
      <c r="I317" s="1299">
        <f t="shared" si="8"/>
        <v>0</v>
      </c>
      <c r="J317" s="1298">
        <f t="shared" si="9"/>
        <v>0</v>
      </c>
    </row>
    <row r="318" spans="1:14" ht="14.5">
      <c r="A318" s="1286" t="s">
        <v>613</v>
      </c>
      <c r="C318" s="1292"/>
      <c r="D318" s="1293"/>
      <c r="E318" s="1299"/>
      <c r="F318" s="1298"/>
      <c r="G318" s="1299"/>
      <c r="H318" s="1298"/>
      <c r="I318" s="1299">
        <f t="shared" si="8"/>
        <v>0</v>
      </c>
      <c r="J318" s="1298">
        <f t="shared" si="9"/>
        <v>0</v>
      </c>
    </row>
    <row r="319" spans="1:14" ht="14.5">
      <c r="A319" s="1282" t="s">
        <v>614</v>
      </c>
      <c r="B319" s="1282" t="s">
        <v>615</v>
      </c>
      <c r="C319" s="1291"/>
      <c r="D319" s="1289"/>
      <c r="E319" s="1299"/>
      <c r="F319" s="1298"/>
      <c r="G319" s="1299"/>
      <c r="H319" s="1298"/>
      <c r="I319" s="1299">
        <f t="shared" si="8"/>
        <v>0</v>
      </c>
      <c r="J319" s="1298">
        <f t="shared" si="9"/>
        <v>0</v>
      </c>
    </row>
    <row r="320" spans="1:14" ht="14.5" hidden="1">
      <c r="C320" s="1291"/>
      <c r="D320" s="1289"/>
      <c r="E320" s="1299"/>
      <c r="F320" s="1298"/>
      <c r="G320" s="1299"/>
      <c r="H320" s="1298"/>
      <c r="I320" s="1299">
        <f t="shared" si="8"/>
        <v>0</v>
      </c>
      <c r="J320" s="1298">
        <f t="shared" si="9"/>
        <v>0</v>
      </c>
    </row>
    <row r="321" spans="1:10" ht="14.5" hidden="1">
      <c r="A321" s="1286" t="s">
        <v>245</v>
      </c>
      <c r="C321" s="1292"/>
      <c r="D321" s="1293"/>
      <c r="E321" s="1299"/>
      <c r="F321" s="1298"/>
      <c r="G321" s="1299"/>
      <c r="H321" s="1298"/>
      <c r="I321" s="1299">
        <f t="shared" si="8"/>
        <v>0</v>
      </c>
      <c r="J321" s="1298">
        <f t="shared" si="9"/>
        <v>0</v>
      </c>
    </row>
    <row r="322" spans="1:10" ht="14.5" hidden="1">
      <c r="A322" s="1286" t="s">
        <v>246</v>
      </c>
      <c r="C322" s="1292"/>
      <c r="D322" s="1293"/>
      <c r="E322" s="1299"/>
      <c r="F322" s="1298"/>
      <c r="G322" s="1299"/>
      <c r="H322" s="1298"/>
      <c r="I322" s="1299">
        <f t="shared" si="8"/>
        <v>0</v>
      </c>
      <c r="J322" s="1298">
        <f t="shared" si="9"/>
        <v>0</v>
      </c>
    </row>
    <row r="323" spans="1:10" ht="14.5" hidden="1">
      <c r="A323" s="1282" t="s">
        <v>247</v>
      </c>
      <c r="C323" s="1292"/>
      <c r="D323" s="1293"/>
      <c r="E323" s="1299"/>
      <c r="F323" s="1298"/>
      <c r="G323" s="1299"/>
      <c r="H323" s="1298"/>
      <c r="I323" s="1299">
        <f t="shared" si="8"/>
        <v>0</v>
      </c>
      <c r="J323" s="1298">
        <f t="shared" si="9"/>
        <v>0</v>
      </c>
    </row>
    <row r="324" spans="1:10" ht="14.5" hidden="1">
      <c r="A324" s="1282" t="s">
        <v>248</v>
      </c>
      <c r="B324" s="1282" t="s">
        <v>249</v>
      </c>
      <c r="C324" s="1291"/>
      <c r="D324" s="1289"/>
      <c r="E324" s="1299"/>
      <c r="F324" s="1298"/>
      <c r="G324" s="1299"/>
      <c r="H324" s="1298"/>
      <c r="I324" s="1299">
        <f t="shared" si="8"/>
        <v>0</v>
      </c>
      <c r="J324" s="1298">
        <f t="shared" si="9"/>
        <v>0</v>
      </c>
    </row>
    <row r="325" spans="1:10" ht="14.5" hidden="1">
      <c r="C325" s="1291"/>
      <c r="D325" s="1289"/>
      <c r="E325" s="1299"/>
      <c r="F325" s="1298"/>
      <c r="G325" s="1299"/>
      <c r="H325" s="1298"/>
      <c r="I325" s="1299">
        <f t="shared" si="8"/>
        <v>0</v>
      </c>
      <c r="J325" s="1298">
        <f t="shared" si="9"/>
        <v>0</v>
      </c>
    </row>
    <row r="326" spans="1:10" ht="14.5">
      <c r="A326" s="1286" t="s">
        <v>245</v>
      </c>
      <c r="C326" s="1292"/>
      <c r="D326" s="1293"/>
      <c r="E326" s="1299"/>
      <c r="F326" s="1298"/>
      <c r="G326" s="1299"/>
      <c r="H326" s="1298"/>
      <c r="I326" s="1299">
        <f t="shared" si="8"/>
        <v>0</v>
      </c>
      <c r="J326" s="1298">
        <f t="shared" si="9"/>
        <v>0</v>
      </c>
    </row>
    <row r="327" spans="1:10" ht="14.5">
      <c r="A327" s="1282" t="s">
        <v>616</v>
      </c>
      <c r="C327" s="1288">
        <v>624614.19999999995</v>
      </c>
      <c r="D327" s="1289"/>
      <c r="E327" s="1299"/>
      <c r="F327" s="1298"/>
      <c r="G327" s="1299"/>
      <c r="H327" s="1298"/>
      <c r="I327" s="1297">
        <f t="shared" si="8"/>
        <v>624614.19999999995</v>
      </c>
      <c r="J327" s="1298">
        <f t="shared" si="9"/>
        <v>0</v>
      </c>
    </row>
    <row r="328" spans="1:10" ht="14.5">
      <c r="C328" s="1291"/>
      <c r="D328" s="1289"/>
      <c r="E328" s="1299"/>
      <c r="F328" s="1298"/>
      <c r="G328" s="1299"/>
      <c r="H328" s="1298"/>
      <c r="I328" s="1300">
        <f t="shared" si="8"/>
        <v>0</v>
      </c>
      <c r="J328" s="1298">
        <f t="shared" si="9"/>
        <v>0</v>
      </c>
    </row>
    <row r="329" spans="1:10" ht="14.5">
      <c r="A329" s="1286" t="s">
        <v>253</v>
      </c>
      <c r="C329" s="1292"/>
      <c r="D329" s="1293"/>
      <c r="E329" s="1299"/>
      <c r="F329" s="1298"/>
      <c r="G329" s="1299"/>
      <c r="H329" s="1298"/>
      <c r="I329" s="1300">
        <f t="shared" si="8"/>
        <v>0</v>
      </c>
      <c r="J329" s="1298">
        <f t="shared" si="9"/>
        <v>0</v>
      </c>
    </row>
    <row r="330" spans="1:10" ht="14.5">
      <c r="A330" s="1282" t="s">
        <v>254</v>
      </c>
      <c r="B330" s="1282" t="s">
        <v>255</v>
      </c>
      <c r="C330" s="1291">
        <v>0</v>
      </c>
      <c r="D330" s="1289"/>
      <c r="E330" s="1299"/>
      <c r="F330" s="1298"/>
      <c r="G330" s="1299"/>
      <c r="H330" s="1298"/>
      <c r="I330" s="1297">
        <f t="shared" si="8"/>
        <v>0</v>
      </c>
      <c r="J330" s="1298">
        <f t="shared" si="9"/>
        <v>0</v>
      </c>
    </row>
    <row r="331" spans="1:10" ht="14.5">
      <c r="C331" s="1291"/>
      <c r="D331" s="1289"/>
      <c r="E331" s="1299"/>
      <c r="F331" s="1298"/>
      <c r="G331" s="1299"/>
      <c r="H331" s="1298"/>
      <c r="I331" s="1300">
        <f t="shared" si="8"/>
        <v>0</v>
      </c>
      <c r="J331" s="1298">
        <f t="shared" si="9"/>
        <v>0</v>
      </c>
    </row>
    <row r="332" spans="1:10" ht="14.5">
      <c r="A332" s="1286" t="s">
        <v>617</v>
      </c>
      <c r="C332" s="1291"/>
      <c r="D332" s="1289"/>
      <c r="E332" s="1299"/>
      <c r="F332" s="1298"/>
      <c r="G332" s="1299"/>
      <c r="H332" s="1298"/>
      <c r="I332" s="1300">
        <f t="shared" si="8"/>
        <v>0</v>
      </c>
      <c r="J332" s="1298">
        <f t="shared" si="9"/>
        <v>0</v>
      </c>
    </row>
    <row r="333" spans="1:10" ht="14.5">
      <c r="B333" s="1282" t="s">
        <v>618</v>
      </c>
      <c r="C333" s="1291">
        <v>0</v>
      </c>
      <c r="D333" s="1289"/>
      <c r="E333" s="1299"/>
      <c r="F333" s="1298"/>
      <c r="G333" s="1299"/>
      <c r="H333" s="1298"/>
      <c r="I333" s="1297">
        <f t="shared" ref="I333:I397" si="10">C333+G333</f>
        <v>0</v>
      </c>
      <c r="J333" s="1298">
        <f t="shared" ref="J333:J397" si="11">D333+H333</f>
        <v>0</v>
      </c>
    </row>
    <row r="334" spans="1:10" ht="14.5">
      <c r="C334" s="1291">
        <v>0</v>
      </c>
      <c r="D334" s="1289"/>
      <c r="E334" s="1299"/>
      <c r="F334" s="1298"/>
      <c r="G334" s="1299"/>
      <c r="H334" s="1298"/>
      <c r="I334" s="1300">
        <f t="shared" si="10"/>
        <v>0</v>
      </c>
      <c r="J334" s="1298">
        <f t="shared" si="11"/>
        <v>0</v>
      </c>
    </row>
    <row r="335" spans="1:10" ht="14.5">
      <c r="A335" s="1286" t="s">
        <v>256</v>
      </c>
      <c r="C335" s="1292">
        <v>0</v>
      </c>
      <c r="D335" s="1293"/>
      <c r="E335" s="1299"/>
      <c r="F335" s="1298"/>
      <c r="G335" s="1299"/>
      <c r="H335" s="1298"/>
      <c r="I335" s="1300">
        <f t="shared" si="10"/>
        <v>0</v>
      </c>
      <c r="J335" s="1298">
        <f t="shared" si="11"/>
        <v>0</v>
      </c>
    </row>
    <row r="336" spans="1:10" ht="14.5">
      <c r="A336" s="1282" t="s">
        <v>257</v>
      </c>
      <c r="B336" s="1282" t="s">
        <v>256</v>
      </c>
      <c r="C336" s="1291">
        <v>0</v>
      </c>
      <c r="D336" s="1289"/>
      <c r="E336" s="1299"/>
      <c r="F336" s="1298"/>
      <c r="G336" s="1299"/>
      <c r="H336" s="1298"/>
      <c r="I336" s="1297">
        <f t="shared" si="10"/>
        <v>0</v>
      </c>
      <c r="J336" s="1298">
        <f t="shared" si="11"/>
        <v>0</v>
      </c>
    </row>
    <row r="337" spans="1:12" ht="14.5">
      <c r="C337" s="1291">
        <v>0</v>
      </c>
      <c r="D337" s="1289"/>
      <c r="E337" s="1299"/>
      <c r="F337" s="1298"/>
      <c r="G337" s="1299"/>
      <c r="H337" s="1298"/>
      <c r="I337" s="1299">
        <f t="shared" si="10"/>
        <v>0</v>
      </c>
      <c r="J337" s="1298">
        <f t="shared" si="11"/>
        <v>0</v>
      </c>
    </row>
    <row r="338" spans="1:12" ht="14.5">
      <c r="A338" s="1286" t="s">
        <v>619</v>
      </c>
      <c r="C338" s="1292">
        <v>0</v>
      </c>
      <c r="D338" s="1293"/>
      <c r="E338" s="1299"/>
      <c r="F338" s="1298"/>
      <c r="G338" s="1299"/>
      <c r="H338" s="1298"/>
      <c r="I338" s="1299">
        <f t="shared" si="10"/>
        <v>0</v>
      </c>
      <c r="J338" s="1298">
        <f t="shared" si="11"/>
        <v>0</v>
      </c>
    </row>
    <row r="339" spans="1:12" ht="14.5">
      <c r="A339" s="1282" t="s">
        <v>620</v>
      </c>
      <c r="B339" s="1282" t="s">
        <v>621</v>
      </c>
      <c r="C339" s="1291">
        <v>0</v>
      </c>
      <c r="D339" s="1289"/>
      <c r="E339" s="1299"/>
      <c r="F339" s="1298"/>
      <c r="G339" s="1299"/>
      <c r="H339" s="1298"/>
      <c r="I339" s="1299">
        <f t="shared" si="10"/>
        <v>0</v>
      </c>
      <c r="J339" s="1298">
        <f t="shared" si="11"/>
        <v>0</v>
      </c>
    </row>
    <row r="340" spans="1:12" ht="14.5" hidden="1">
      <c r="C340" s="1291"/>
      <c r="D340" s="1289"/>
      <c r="E340" s="1299"/>
      <c r="F340" s="1298"/>
      <c r="G340" s="1299"/>
      <c r="H340" s="1298"/>
      <c r="I340" s="1299">
        <f t="shared" si="10"/>
        <v>0</v>
      </c>
      <c r="J340" s="1298">
        <f t="shared" si="11"/>
        <v>0</v>
      </c>
    </row>
    <row r="341" spans="1:12" ht="14.5" hidden="1">
      <c r="A341" s="1286" t="s">
        <v>258</v>
      </c>
      <c r="C341" s="1292"/>
      <c r="D341" s="1293"/>
      <c r="E341" s="1299"/>
      <c r="F341" s="1298"/>
      <c r="G341" s="1299"/>
      <c r="H341" s="1298"/>
      <c r="I341" s="1299">
        <f t="shared" si="10"/>
        <v>0</v>
      </c>
      <c r="J341" s="1298">
        <f t="shared" si="11"/>
        <v>0</v>
      </c>
    </row>
    <row r="342" spans="1:12" ht="14.5">
      <c r="A342" s="1286" t="s">
        <v>259</v>
      </c>
      <c r="C342" s="1292"/>
      <c r="D342" s="1293"/>
      <c r="E342" s="1299"/>
      <c r="F342" s="1298"/>
      <c r="G342" s="1299"/>
      <c r="H342" s="1298"/>
      <c r="I342" s="1299">
        <f t="shared" si="10"/>
        <v>0</v>
      </c>
      <c r="J342" s="1298">
        <f t="shared" si="11"/>
        <v>0</v>
      </c>
    </row>
    <row r="343" spans="1:12" ht="14.5">
      <c r="A343" s="1286" t="s">
        <v>260</v>
      </c>
      <c r="C343" s="1292"/>
      <c r="D343" s="1293"/>
      <c r="E343" s="1299"/>
      <c r="F343" s="1298"/>
      <c r="G343" s="1299"/>
      <c r="H343" s="1298"/>
      <c r="I343" s="1299">
        <f t="shared" si="10"/>
        <v>0</v>
      </c>
      <c r="J343" s="1298">
        <f t="shared" si="11"/>
        <v>0</v>
      </c>
    </row>
    <row r="344" spans="1:12" ht="14.5">
      <c r="A344" s="1290" t="s">
        <v>261</v>
      </c>
      <c r="B344" s="1122" t="s">
        <v>262</v>
      </c>
      <c r="C344" s="1291">
        <v>0</v>
      </c>
      <c r="D344" s="1289"/>
      <c r="E344" s="1299"/>
      <c r="F344" s="1298"/>
      <c r="G344" s="1299">
        <f>+'Adj entry 19'!C19</f>
        <v>0</v>
      </c>
      <c r="H344" s="1298"/>
      <c r="I344" s="1297">
        <f t="shared" si="10"/>
        <v>0</v>
      </c>
      <c r="J344" s="1298">
        <f t="shared" si="11"/>
        <v>0</v>
      </c>
    </row>
    <row r="345" spans="1:12" ht="14.5">
      <c r="A345" s="1290" t="s">
        <v>263</v>
      </c>
      <c r="B345" s="1122" t="s">
        <v>264</v>
      </c>
      <c r="C345" s="1291">
        <v>0</v>
      </c>
      <c r="D345" s="1289"/>
      <c r="E345" s="1299"/>
      <c r="F345" s="1298"/>
      <c r="G345" s="1299"/>
      <c r="H345" s="1298"/>
      <c r="I345" s="1297">
        <f t="shared" si="10"/>
        <v>0</v>
      </c>
      <c r="J345" s="1298">
        <f t="shared" si="11"/>
        <v>0</v>
      </c>
    </row>
    <row r="346" spans="1:12" ht="14.5">
      <c r="A346" s="1290" t="s">
        <v>265</v>
      </c>
      <c r="B346" s="1122" t="s">
        <v>266</v>
      </c>
      <c r="C346" s="1291">
        <v>0</v>
      </c>
      <c r="D346" s="1289"/>
      <c r="E346" s="1294">
        <v>0</v>
      </c>
      <c r="F346" s="1298"/>
      <c r="G346" s="1299"/>
      <c r="H346" s="1298"/>
      <c r="I346" s="1297">
        <f t="shared" si="10"/>
        <v>0</v>
      </c>
      <c r="J346" s="1298">
        <f t="shared" si="11"/>
        <v>0</v>
      </c>
    </row>
    <row r="347" spans="1:12" ht="14.5">
      <c r="A347" s="1290" t="s">
        <v>267</v>
      </c>
      <c r="B347" s="1122" t="s">
        <v>268</v>
      </c>
      <c r="C347" s="1291">
        <v>0</v>
      </c>
      <c r="D347" s="1289"/>
      <c r="E347" s="1299"/>
      <c r="F347" s="1298"/>
      <c r="G347" s="1299"/>
      <c r="H347" s="1298"/>
      <c r="I347" s="1297">
        <f t="shared" si="10"/>
        <v>0</v>
      </c>
      <c r="J347" s="1298">
        <f t="shared" si="11"/>
        <v>0</v>
      </c>
    </row>
    <row r="348" spans="1:12" ht="14.5">
      <c r="A348" s="1290"/>
      <c r="B348" s="1309" t="s">
        <v>622</v>
      </c>
      <c r="C348" s="1288">
        <v>25000</v>
      </c>
      <c r="D348" s="1289"/>
      <c r="E348" s="1299"/>
      <c r="F348" s="1298"/>
      <c r="G348" s="1299"/>
      <c r="H348" s="1298"/>
      <c r="I348" s="1297">
        <f t="shared" si="10"/>
        <v>25000</v>
      </c>
      <c r="J348" s="1298">
        <f t="shared" si="11"/>
        <v>0</v>
      </c>
    </row>
    <row r="349" spans="1:12" ht="14.5">
      <c r="A349" s="1290" t="s">
        <v>269</v>
      </c>
      <c r="B349" s="1122" t="s">
        <v>270</v>
      </c>
      <c r="C349" s="1291">
        <v>0</v>
      </c>
      <c r="D349" s="1289"/>
      <c r="E349" s="1299"/>
      <c r="F349" s="1298"/>
      <c r="G349" s="1299"/>
      <c r="H349" s="1298"/>
      <c r="I349" s="1297">
        <f t="shared" si="10"/>
        <v>0</v>
      </c>
      <c r="J349" s="1298">
        <f t="shared" si="11"/>
        <v>0</v>
      </c>
    </row>
    <row r="350" spans="1:12" ht="14.5">
      <c r="A350" s="1290" t="s">
        <v>271</v>
      </c>
      <c r="B350" s="1122" t="s">
        <v>272</v>
      </c>
      <c r="C350" s="1288">
        <v>327822</v>
      </c>
      <c r="D350" s="1289"/>
      <c r="E350" s="1299"/>
      <c r="F350" s="1298"/>
      <c r="G350" s="1299">
        <v>0</v>
      </c>
      <c r="H350" s="1298"/>
      <c r="I350" s="1297">
        <f t="shared" si="10"/>
        <v>327822</v>
      </c>
      <c r="J350" s="1298">
        <f t="shared" si="11"/>
        <v>0</v>
      </c>
      <c r="L350" s="1301"/>
    </row>
    <row r="351" spans="1:12" ht="14.5">
      <c r="A351" s="1290" t="s">
        <v>273</v>
      </c>
      <c r="B351" s="1122" t="s">
        <v>274</v>
      </c>
      <c r="C351" s="1288">
        <v>400</v>
      </c>
      <c r="D351" s="1289"/>
      <c r="E351" s="1299"/>
      <c r="F351" s="1298"/>
      <c r="G351" s="1299"/>
      <c r="H351" s="1298"/>
      <c r="I351" s="1297">
        <f t="shared" si="10"/>
        <v>400</v>
      </c>
      <c r="J351" s="1298">
        <f t="shared" si="11"/>
        <v>0</v>
      </c>
    </row>
    <row r="352" spans="1:12" ht="14.5">
      <c r="A352" s="1290" t="s">
        <v>275</v>
      </c>
      <c r="B352" s="1122" t="s">
        <v>276</v>
      </c>
      <c r="C352" s="1288">
        <v>655924</v>
      </c>
      <c r="D352" s="1289"/>
      <c r="E352" s="1299"/>
      <c r="F352" s="1298"/>
      <c r="G352" s="1299"/>
      <c r="H352" s="1298">
        <v>0</v>
      </c>
      <c r="I352" s="1297">
        <f t="shared" si="10"/>
        <v>655924</v>
      </c>
      <c r="J352" s="1298">
        <f t="shared" si="11"/>
        <v>0</v>
      </c>
    </row>
    <row r="353" spans="1:10" ht="14.5">
      <c r="A353" s="1290" t="s">
        <v>623</v>
      </c>
      <c r="B353" s="1122" t="s">
        <v>624</v>
      </c>
      <c r="C353" s="1291">
        <v>0</v>
      </c>
      <c r="D353" s="1289"/>
      <c r="E353" s="1299"/>
      <c r="F353" s="1298"/>
      <c r="G353" s="1299"/>
      <c r="H353" s="1298"/>
      <c r="I353" s="1300">
        <f t="shared" si="10"/>
        <v>0</v>
      </c>
      <c r="J353" s="1298">
        <f t="shared" si="11"/>
        <v>0</v>
      </c>
    </row>
    <row r="354" spans="1:10" ht="14.5">
      <c r="A354" s="1290"/>
      <c r="B354" s="1122" t="s">
        <v>625</v>
      </c>
      <c r="C354" s="1288">
        <v>32740</v>
      </c>
      <c r="D354" s="1289"/>
      <c r="E354" s="1299"/>
      <c r="F354" s="1298"/>
      <c r="G354" s="1299"/>
      <c r="H354" s="1298"/>
      <c r="I354" s="1300">
        <f t="shared" si="10"/>
        <v>32740</v>
      </c>
      <c r="J354" s="1298">
        <f t="shared" si="11"/>
        <v>0</v>
      </c>
    </row>
    <row r="355" spans="1:10" ht="14.5">
      <c r="A355" s="1290"/>
      <c r="B355" s="1309" t="s">
        <v>626</v>
      </c>
      <c r="C355" s="1288">
        <v>220581</v>
      </c>
      <c r="D355" s="1289"/>
      <c r="E355" s="1299"/>
      <c r="F355" s="1298"/>
      <c r="G355" s="1299"/>
      <c r="H355" s="1298"/>
      <c r="I355" s="1300">
        <f t="shared" si="10"/>
        <v>220581</v>
      </c>
      <c r="J355" s="1298">
        <f t="shared" si="11"/>
        <v>0</v>
      </c>
    </row>
    <row r="356" spans="1:10" ht="14.5">
      <c r="A356" s="1290"/>
      <c r="B356" s="1309" t="s">
        <v>262</v>
      </c>
      <c r="C356" s="1288">
        <f>'Adj entry 19'!C12</f>
        <v>50000</v>
      </c>
      <c r="D356" s="1289"/>
      <c r="E356" s="1299"/>
      <c r="F356" s="1298"/>
      <c r="G356" s="1299"/>
      <c r="H356" s="1298"/>
      <c r="I356" s="1300">
        <f t="shared" si="10"/>
        <v>50000</v>
      </c>
      <c r="J356" s="1298"/>
    </row>
    <row r="357" spans="1:10" ht="14.5">
      <c r="A357" s="1290"/>
      <c r="B357" s="1309" t="s">
        <v>627</v>
      </c>
      <c r="C357" s="1288">
        <v>123311</v>
      </c>
      <c r="D357" s="1289"/>
      <c r="E357" s="1299"/>
      <c r="F357" s="1298"/>
      <c r="G357" s="1299"/>
      <c r="H357" s="1298"/>
      <c r="I357" s="1300">
        <f t="shared" si="10"/>
        <v>123311</v>
      </c>
      <c r="J357" s="1298">
        <f t="shared" si="11"/>
        <v>0</v>
      </c>
    </row>
    <row r="358" spans="1:10" ht="14.5">
      <c r="A358" s="1290" t="s">
        <v>277</v>
      </c>
      <c r="B358" s="1122" t="s">
        <v>278</v>
      </c>
      <c r="C358" s="1288">
        <v>168180</v>
      </c>
      <c r="D358" s="1289"/>
      <c r="E358" s="1299"/>
      <c r="F358" s="1298"/>
      <c r="G358" s="1299"/>
      <c r="H358" s="1298"/>
      <c r="I358" s="1299">
        <f t="shared" si="10"/>
        <v>168180</v>
      </c>
      <c r="J358" s="1298">
        <f t="shared" si="11"/>
        <v>0</v>
      </c>
    </row>
    <row r="359" spans="1:10" ht="14.5">
      <c r="A359" s="1290" t="s">
        <v>279</v>
      </c>
      <c r="B359" s="1122" t="s">
        <v>280</v>
      </c>
      <c r="C359" s="1291">
        <v>0</v>
      </c>
      <c r="D359" s="1289"/>
      <c r="E359" s="1299"/>
      <c r="F359" s="1298"/>
      <c r="G359" s="1299"/>
      <c r="H359" s="1298"/>
      <c r="I359" s="1297">
        <f t="shared" si="10"/>
        <v>0</v>
      </c>
      <c r="J359" s="1298">
        <f t="shared" si="11"/>
        <v>0</v>
      </c>
    </row>
    <row r="360" spans="1:10" ht="14.5">
      <c r="A360" s="1290" t="s">
        <v>628</v>
      </c>
      <c r="B360" s="1122" t="s">
        <v>629</v>
      </c>
      <c r="C360" s="1291"/>
      <c r="D360" s="1289"/>
      <c r="E360" s="1299"/>
      <c r="F360" s="1298"/>
      <c r="G360" s="1299"/>
      <c r="H360" s="1298"/>
      <c r="I360" s="1299">
        <f t="shared" si="10"/>
        <v>0</v>
      </c>
      <c r="J360" s="1298">
        <f t="shared" si="11"/>
        <v>0</v>
      </c>
    </row>
    <row r="361" spans="1:10" ht="14.5">
      <c r="A361" s="1290"/>
      <c r="B361" s="1309" t="s">
        <v>630</v>
      </c>
      <c r="C361" s="1288">
        <v>422205</v>
      </c>
      <c r="D361" s="1289"/>
      <c r="E361" s="1299"/>
      <c r="F361" s="1298"/>
      <c r="G361" s="1299"/>
      <c r="H361" s="1298"/>
      <c r="I361" s="1299">
        <f t="shared" si="10"/>
        <v>422205</v>
      </c>
      <c r="J361" s="1298">
        <f t="shared" si="11"/>
        <v>0</v>
      </c>
    </row>
    <row r="362" spans="1:10" ht="14.5">
      <c r="A362" s="1290"/>
      <c r="B362" s="1309" t="s">
        <v>631</v>
      </c>
      <c r="C362" s="1288">
        <v>7800</v>
      </c>
      <c r="D362" s="1289"/>
      <c r="E362" s="1299"/>
      <c r="F362" s="1298"/>
      <c r="G362" s="1299"/>
      <c r="H362" s="1298"/>
      <c r="I362" s="1299">
        <f t="shared" si="10"/>
        <v>7800</v>
      </c>
      <c r="J362" s="1298">
        <f t="shared" si="11"/>
        <v>0</v>
      </c>
    </row>
    <row r="363" spans="1:10" ht="14.5">
      <c r="A363" s="1290"/>
      <c r="B363" s="1309" t="s">
        <v>632</v>
      </c>
      <c r="C363" s="1288">
        <v>80000</v>
      </c>
      <c r="D363" s="1289"/>
      <c r="E363" s="1299"/>
      <c r="F363" s="1298"/>
      <c r="G363" s="1299"/>
      <c r="H363" s="1298"/>
      <c r="I363" s="1299">
        <f t="shared" si="10"/>
        <v>80000</v>
      </c>
      <c r="J363" s="1298">
        <f t="shared" si="11"/>
        <v>0</v>
      </c>
    </row>
    <row r="364" spans="1:10" ht="14.5">
      <c r="A364" s="1290"/>
      <c r="B364" s="1309" t="s">
        <v>633</v>
      </c>
      <c r="C364" s="1288">
        <v>12883</v>
      </c>
      <c r="D364" s="1289"/>
      <c r="E364" s="1299"/>
      <c r="F364" s="1298"/>
      <c r="G364" s="1299"/>
      <c r="H364" s="1298"/>
      <c r="I364" s="1299">
        <f t="shared" si="10"/>
        <v>12883</v>
      </c>
      <c r="J364" s="1298">
        <f t="shared" si="11"/>
        <v>0</v>
      </c>
    </row>
    <row r="365" spans="1:10" ht="14.5">
      <c r="A365" s="1290"/>
      <c r="B365" s="1309" t="s">
        <v>634</v>
      </c>
      <c r="C365" s="1288">
        <v>664279</v>
      </c>
      <c r="D365" s="1289"/>
      <c r="E365" s="1299"/>
      <c r="F365" s="1298"/>
      <c r="G365" s="1299"/>
      <c r="H365" s="1298"/>
      <c r="I365" s="1299">
        <f t="shared" si="10"/>
        <v>664279</v>
      </c>
      <c r="J365" s="1298">
        <f t="shared" si="11"/>
        <v>0</v>
      </c>
    </row>
    <row r="366" spans="1:10" ht="14.5">
      <c r="A366" s="1290"/>
      <c r="B366" s="1309" t="s">
        <v>635</v>
      </c>
      <c r="C366" s="1288">
        <v>4129833</v>
      </c>
      <c r="D366" s="1289"/>
      <c r="E366" s="1299"/>
      <c r="F366" s="1298"/>
      <c r="G366" s="1299"/>
      <c r="H366" s="1298"/>
      <c r="I366" s="1299">
        <f t="shared" si="10"/>
        <v>4129833</v>
      </c>
      <c r="J366" s="1298">
        <f t="shared" si="11"/>
        <v>0</v>
      </c>
    </row>
    <row r="367" spans="1:10" ht="14.5">
      <c r="A367" s="1290"/>
      <c r="B367" s="1309" t="s">
        <v>636</v>
      </c>
      <c r="C367" s="1288">
        <v>176691</v>
      </c>
      <c r="D367" s="1289"/>
      <c r="E367" s="1299"/>
      <c r="F367" s="1298"/>
      <c r="G367" s="1299"/>
      <c r="H367" s="1298"/>
      <c r="I367" s="1299">
        <f t="shared" si="10"/>
        <v>176691</v>
      </c>
      <c r="J367" s="1298">
        <f t="shared" si="11"/>
        <v>0</v>
      </c>
    </row>
    <row r="368" spans="1:10" ht="14.5">
      <c r="A368" s="1290"/>
      <c r="B368" s="1309" t="s">
        <v>637</v>
      </c>
      <c r="C368" s="1288">
        <v>52670</v>
      </c>
      <c r="D368" s="1289"/>
      <c r="E368" s="1299"/>
      <c r="F368" s="1298"/>
      <c r="G368" s="1299"/>
      <c r="H368" s="1298"/>
      <c r="I368" s="1299">
        <f t="shared" si="10"/>
        <v>52670</v>
      </c>
      <c r="J368" s="1298">
        <f t="shared" si="11"/>
        <v>0</v>
      </c>
    </row>
    <row r="369" spans="1:17" ht="14.5">
      <c r="A369" s="1290"/>
      <c r="B369" s="1309" t="s">
        <v>638</v>
      </c>
      <c r="C369" s="1288">
        <v>207204</v>
      </c>
      <c r="D369" s="1289"/>
      <c r="E369" s="1299"/>
      <c r="F369" s="1298"/>
      <c r="G369" s="1299"/>
      <c r="H369" s="1298"/>
      <c r="I369" s="1299">
        <f t="shared" si="10"/>
        <v>207204</v>
      </c>
      <c r="J369" s="1298">
        <f t="shared" si="11"/>
        <v>0</v>
      </c>
    </row>
    <row r="370" spans="1:17" ht="14.5">
      <c r="A370" s="1290"/>
      <c r="B370" s="1309" t="s">
        <v>639</v>
      </c>
      <c r="C370" s="1288">
        <v>18522</v>
      </c>
      <c r="D370" s="1289"/>
      <c r="E370" s="1299"/>
      <c r="F370" s="1298"/>
      <c r="G370" s="1299"/>
      <c r="H370" s="1298"/>
      <c r="I370" s="1299">
        <f t="shared" si="10"/>
        <v>18522</v>
      </c>
      <c r="J370" s="1298">
        <f t="shared" si="11"/>
        <v>0</v>
      </c>
    </row>
    <row r="371" spans="1:17" ht="14.5">
      <c r="A371" s="1290"/>
      <c r="B371" s="1309" t="s">
        <v>640</v>
      </c>
      <c r="C371" s="1288">
        <v>927048</v>
      </c>
      <c r="D371" s="1289"/>
      <c r="E371" s="1299"/>
      <c r="F371" s="1298"/>
      <c r="G371" s="1299"/>
      <c r="H371" s="1298"/>
      <c r="I371" s="1299">
        <f t="shared" si="10"/>
        <v>927048</v>
      </c>
      <c r="J371" s="1298">
        <f t="shared" si="11"/>
        <v>0</v>
      </c>
    </row>
    <row r="372" spans="1:17" ht="14.5">
      <c r="A372" s="1290"/>
      <c r="B372" s="1309" t="s">
        <v>641</v>
      </c>
      <c r="C372" s="1288">
        <v>36238</v>
      </c>
      <c r="D372" s="1289"/>
      <c r="E372" s="1299"/>
      <c r="F372" s="1298"/>
      <c r="G372" s="1299"/>
      <c r="H372" s="1298"/>
      <c r="I372" s="1299">
        <f t="shared" si="10"/>
        <v>36238</v>
      </c>
      <c r="J372" s="1298">
        <f t="shared" si="11"/>
        <v>0</v>
      </c>
    </row>
    <row r="373" spans="1:17" ht="14.5">
      <c r="A373" s="1290" t="s">
        <v>283</v>
      </c>
      <c r="B373" s="1122" t="s">
        <v>284</v>
      </c>
      <c r="C373" s="1288">
        <v>44891</v>
      </c>
      <c r="D373" s="1289"/>
      <c r="E373" s="1299"/>
      <c r="F373" s="1298"/>
      <c r="G373" s="1299"/>
      <c r="H373" s="1298"/>
      <c r="I373" s="1297">
        <f t="shared" si="10"/>
        <v>44891</v>
      </c>
      <c r="J373" s="1298">
        <f t="shared" si="11"/>
        <v>0</v>
      </c>
      <c r="K373" s="1301"/>
      <c r="Q373" s="1282">
        <v>9339362</v>
      </c>
    </row>
    <row r="374" spans="1:17" ht="14.5">
      <c r="A374" s="1290" t="s">
        <v>285</v>
      </c>
      <c r="B374" s="1122" t="s">
        <v>286</v>
      </c>
      <c r="C374" s="1291">
        <v>0</v>
      </c>
      <c r="D374" s="1289"/>
      <c r="E374" s="1299"/>
      <c r="F374" s="1298"/>
      <c r="G374" s="1299"/>
      <c r="H374" s="1298"/>
      <c r="I374" s="1297">
        <f t="shared" si="10"/>
        <v>0</v>
      </c>
      <c r="J374" s="1298">
        <f t="shared" si="11"/>
        <v>0</v>
      </c>
    </row>
    <row r="375" spans="1:17" ht="14.5">
      <c r="A375" s="1290" t="s">
        <v>287</v>
      </c>
      <c r="B375" s="1122" t="s">
        <v>288</v>
      </c>
      <c r="C375" s="1288">
        <f>1600000+120000</f>
        <v>1720000</v>
      </c>
      <c r="D375" s="1289"/>
      <c r="E375" s="1299"/>
      <c r="F375" s="1298"/>
      <c r="G375" s="1299">
        <f>'Adj entry 19'!C26</f>
        <v>0</v>
      </c>
      <c r="H375" s="1298"/>
      <c r="I375" s="1297">
        <f t="shared" si="10"/>
        <v>1720000</v>
      </c>
      <c r="J375" s="1298">
        <f t="shared" si="11"/>
        <v>0</v>
      </c>
      <c r="Q375" s="1301">
        <f>Q373-I381</f>
        <v>9339362</v>
      </c>
    </row>
    <row r="376" spans="1:17" ht="14.5">
      <c r="A376" s="1290" t="s">
        <v>289</v>
      </c>
      <c r="B376" s="1122" t="s">
        <v>290</v>
      </c>
      <c r="C376" s="1291">
        <v>0</v>
      </c>
      <c r="D376" s="1289"/>
      <c r="E376" s="1299"/>
      <c r="F376" s="1298"/>
      <c r="G376" s="1299"/>
      <c r="H376" s="1298"/>
      <c r="I376" s="1297">
        <f t="shared" si="10"/>
        <v>0</v>
      </c>
      <c r="J376" s="1298">
        <f t="shared" si="11"/>
        <v>0</v>
      </c>
    </row>
    <row r="377" spans="1:17" ht="14.5">
      <c r="A377" s="1290" t="s">
        <v>291</v>
      </c>
      <c r="B377" s="1122" t="s">
        <v>292</v>
      </c>
      <c r="C377" s="1288">
        <v>47747</v>
      </c>
      <c r="D377" s="1289"/>
      <c r="E377" s="1299"/>
      <c r="F377" s="1298"/>
      <c r="G377" s="1299">
        <f>'Adj entry 19'!C16</f>
        <v>0</v>
      </c>
      <c r="H377" s="1298"/>
      <c r="I377" s="1297">
        <f t="shared" si="10"/>
        <v>47747</v>
      </c>
      <c r="J377" s="1298">
        <f t="shared" si="11"/>
        <v>0</v>
      </c>
    </row>
    <row r="378" spans="1:17" ht="14.5">
      <c r="A378" s="1290" t="s">
        <v>642</v>
      </c>
      <c r="B378" s="1122" t="s">
        <v>643</v>
      </c>
      <c r="C378" s="1291">
        <v>0</v>
      </c>
      <c r="D378" s="1289"/>
      <c r="E378" s="1299">
        <v>0</v>
      </c>
      <c r="F378" s="1298"/>
      <c r="G378" s="1299"/>
      <c r="H378" s="1298"/>
      <c r="I378" s="1297">
        <f t="shared" si="10"/>
        <v>0</v>
      </c>
      <c r="J378" s="1298">
        <f t="shared" si="11"/>
        <v>0</v>
      </c>
    </row>
    <row r="379" spans="1:17" ht="14.5">
      <c r="A379" s="1290" t="s">
        <v>644</v>
      </c>
      <c r="B379" s="1122" t="s">
        <v>645</v>
      </c>
      <c r="C379" s="1291">
        <v>0</v>
      </c>
      <c r="D379" s="1289">
        <v>0</v>
      </c>
      <c r="E379" s="1299"/>
      <c r="F379" s="1298"/>
      <c r="G379" s="1299">
        <f>'Adj entry 19'!C25+'Adj entry 19'!C43</f>
        <v>0</v>
      </c>
      <c r="H379" s="1298"/>
      <c r="I379" s="1299">
        <f t="shared" si="10"/>
        <v>0</v>
      </c>
      <c r="J379" s="1303">
        <f t="shared" si="11"/>
        <v>0</v>
      </c>
    </row>
    <row r="380" spans="1:17" ht="14.5">
      <c r="A380" s="1290" t="s">
        <v>293</v>
      </c>
      <c r="B380" s="1122" t="s">
        <v>294</v>
      </c>
      <c r="C380" s="1288">
        <v>171074</v>
      </c>
      <c r="D380" s="1289"/>
      <c r="E380" s="1299"/>
      <c r="F380" s="1298"/>
      <c r="G380" s="1299"/>
      <c r="H380" s="1298"/>
      <c r="I380" s="1297">
        <f t="shared" si="10"/>
        <v>171074</v>
      </c>
      <c r="J380" s="1298">
        <f t="shared" si="11"/>
        <v>0</v>
      </c>
    </row>
    <row r="381" spans="1:17" ht="14.5">
      <c r="A381" s="1290" t="s">
        <v>295</v>
      </c>
      <c r="B381" s="1122" t="s">
        <v>296</v>
      </c>
      <c r="C381" s="1291">
        <v>0</v>
      </c>
      <c r="D381" s="1289"/>
      <c r="E381" s="1299"/>
      <c r="F381" s="1298"/>
      <c r="G381" s="1299"/>
      <c r="H381" s="1298"/>
      <c r="I381" s="1297">
        <f t="shared" si="10"/>
        <v>0</v>
      </c>
      <c r="J381" s="1298">
        <f t="shared" si="11"/>
        <v>0</v>
      </c>
    </row>
    <row r="382" spans="1:17" ht="14.5">
      <c r="A382" s="1290" t="s">
        <v>646</v>
      </c>
      <c r="B382" s="1122" t="s">
        <v>647</v>
      </c>
      <c r="C382" s="1291">
        <v>0</v>
      </c>
      <c r="D382" s="1289"/>
      <c r="E382" s="1299"/>
      <c r="F382" s="1298"/>
      <c r="G382" s="1299"/>
      <c r="H382" s="1298"/>
      <c r="I382" s="1297">
        <f t="shared" si="10"/>
        <v>0</v>
      </c>
      <c r="J382" s="1298">
        <f t="shared" si="11"/>
        <v>0</v>
      </c>
    </row>
    <row r="383" spans="1:17" ht="14.5">
      <c r="A383" s="1290" t="s">
        <v>297</v>
      </c>
      <c r="B383" s="1122" t="s">
        <v>298</v>
      </c>
      <c r="C383" s="1291">
        <v>0</v>
      </c>
      <c r="D383" s="1289"/>
      <c r="E383" s="1299"/>
      <c r="F383" s="1298"/>
      <c r="G383" s="1299"/>
      <c r="H383" s="1298"/>
      <c r="I383" s="1297">
        <f t="shared" si="10"/>
        <v>0</v>
      </c>
      <c r="J383" s="1298">
        <f t="shared" si="11"/>
        <v>0</v>
      </c>
    </row>
    <row r="384" spans="1:17" ht="14.5">
      <c r="A384" s="1290" t="s">
        <v>299</v>
      </c>
      <c r="B384" s="1122" t="s">
        <v>300</v>
      </c>
      <c r="C384" s="1291">
        <v>0</v>
      </c>
      <c r="D384" s="1289"/>
      <c r="E384" s="1299"/>
      <c r="F384" s="1298"/>
      <c r="G384" s="1299"/>
      <c r="H384" s="1298"/>
      <c r="I384" s="1297">
        <f t="shared" si="10"/>
        <v>0</v>
      </c>
      <c r="J384" s="1298">
        <f t="shared" si="11"/>
        <v>0</v>
      </c>
      <c r="K384" s="1301"/>
    </row>
    <row r="385" spans="1:12" ht="14.5">
      <c r="A385" s="1290" t="s">
        <v>301</v>
      </c>
      <c r="B385" s="1122" t="s">
        <v>302</v>
      </c>
      <c r="C385" s="1288">
        <v>19430</v>
      </c>
      <c r="D385" s="1289"/>
      <c r="E385" s="1299">
        <v>0</v>
      </c>
      <c r="F385" s="1298"/>
      <c r="G385" s="1299"/>
      <c r="H385" s="1298"/>
      <c r="I385" s="1297">
        <f t="shared" si="10"/>
        <v>19430</v>
      </c>
      <c r="J385" s="1298">
        <f t="shared" si="11"/>
        <v>0</v>
      </c>
      <c r="L385" s="1301"/>
    </row>
    <row r="386" spans="1:12" ht="14.5">
      <c r="A386" s="1290"/>
      <c r="B386" s="1122" t="s">
        <v>648</v>
      </c>
      <c r="C386" s="1288">
        <v>35397</v>
      </c>
      <c r="D386" s="1289"/>
      <c r="E386" s="1299"/>
      <c r="F386" s="1298"/>
      <c r="G386" s="1299"/>
      <c r="H386" s="1298"/>
      <c r="I386" s="1297">
        <f t="shared" si="10"/>
        <v>35397</v>
      </c>
      <c r="J386" s="1298">
        <f t="shared" si="11"/>
        <v>0</v>
      </c>
      <c r="L386" s="1301"/>
    </row>
    <row r="387" spans="1:12" ht="14.5">
      <c r="A387" s="1290" t="s">
        <v>303</v>
      </c>
      <c r="B387" s="1122" t="s">
        <v>304</v>
      </c>
      <c r="C387" s="1288">
        <v>23015</v>
      </c>
      <c r="D387" s="1289"/>
      <c r="E387" s="1299"/>
      <c r="F387" s="1298"/>
      <c r="G387" s="1299"/>
      <c r="H387" s="1298"/>
      <c r="I387" s="1299">
        <f t="shared" si="10"/>
        <v>23015</v>
      </c>
      <c r="J387" s="1298">
        <f t="shared" si="11"/>
        <v>0</v>
      </c>
    </row>
    <row r="388" spans="1:12" ht="14.5">
      <c r="A388" s="1290"/>
      <c r="B388" s="1122" t="s">
        <v>649</v>
      </c>
      <c r="C388" s="1291">
        <v>0</v>
      </c>
      <c r="D388" s="1289"/>
      <c r="E388" s="1299"/>
      <c r="F388" s="1298"/>
      <c r="G388" s="1299"/>
      <c r="H388" s="1298"/>
      <c r="I388" s="1299">
        <f t="shared" si="10"/>
        <v>0</v>
      </c>
      <c r="J388" s="1298">
        <f t="shared" si="11"/>
        <v>0</v>
      </c>
    </row>
    <row r="389" spans="1:12" ht="14.5">
      <c r="A389" s="1290"/>
      <c r="B389" s="1122" t="s">
        <v>650</v>
      </c>
      <c r="C389" s="1291">
        <v>0</v>
      </c>
      <c r="D389" s="1289"/>
      <c r="E389" s="1299"/>
      <c r="F389" s="1298"/>
      <c r="G389" s="1299"/>
      <c r="H389" s="1298"/>
      <c r="I389" s="1299">
        <f t="shared" si="10"/>
        <v>0</v>
      </c>
      <c r="J389" s="1298">
        <f t="shared" si="11"/>
        <v>0</v>
      </c>
    </row>
    <row r="390" spans="1:12" ht="14.5">
      <c r="C390" s="1291">
        <v>0</v>
      </c>
      <c r="D390" s="1289"/>
      <c r="E390" s="1299"/>
      <c r="F390" s="1298"/>
      <c r="G390" s="1299"/>
      <c r="H390" s="1298"/>
      <c r="I390" s="1299">
        <f t="shared" si="10"/>
        <v>0</v>
      </c>
      <c r="J390" s="1298">
        <f t="shared" si="11"/>
        <v>0</v>
      </c>
    </row>
    <row r="391" spans="1:12" ht="14.5">
      <c r="A391" s="1286" t="s">
        <v>651</v>
      </c>
      <c r="C391" s="1291">
        <v>0</v>
      </c>
      <c r="D391" s="1289"/>
      <c r="E391" s="1299"/>
      <c r="F391" s="1298"/>
      <c r="G391" s="1299"/>
      <c r="H391" s="1298"/>
      <c r="I391" s="1299">
        <f t="shared" si="10"/>
        <v>0</v>
      </c>
      <c r="J391" s="1298">
        <f t="shared" si="11"/>
        <v>0</v>
      </c>
      <c r="K391" s="1301">
        <f>+E392-130000</f>
        <v>-130000</v>
      </c>
    </row>
    <row r="392" spans="1:12" ht="14.5">
      <c r="B392" s="1282" t="s">
        <v>652</v>
      </c>
      <c r="C392" s="1291">
        <v>0</v>
      </c>
      <c r="D392" s="1289"/>
      <c r="E392" s="1299">
        <v>0</v>
      </c>
      <c r="F392" s="1298">
        <v>0</v>
      </c>
      <c r="G392" s="1299" t="e">
        <f>'Adj entry 19'!C6</f>
        <v>#REF!</v>
      </c>
      <c r="H392" s="1298">
        <v>0</v>
      </c>
      <c r="I392" s="1297" t="e">
        <f t="shared" si="10"/>
        <v>#REF!</v>
      </c>
      <c r="J392" s="1298">
        <f t="shared" si="11"/>
        <v>0</v>
      </c>
    </row>
    <row r="393" spans="1:12" s="1281" customFormat="1" ht="14.5">
      <c r="B393" s="1281" t="s">
        <v>653</v>
      </c>
      <c r="C393" s="1313">
        <v>0</v>
      </c>
      <c r="D393" s="1314"/>
      <c r="E393" s="1323"/>
      <c r="F393" s="1324"/>
      <c r="G393" s="1323" t="e">
        <f>'Adj entry 19'!C9</f>
        <v>#REF!</v>
      </c>
      <c r="H393" s="1324">
        <v>0</v>
      </c>
      <c r="I393" s="1323" t="e">
        <f t="shared" si="10"/>
        <v>#REF!</v>
      </c>
      <c r="J393" s="1324">
        <f t="shared" si="11"/>
        <v>0</v>
      </c>
    </row>
    <row r="394" spans="1:12" ht="14.5">
      <c r="B394" s="1282" t="s">
        <v>654</v>
      </c>
      <c r="C394" s="1291">
        <v>0</v>
      </c>
      <c r="D394" s="1289"/>
      <c r="E394" s="1294">
        <v>0</v>
      </c>
      <c r="F394" s="1298"/>
      <c r="G394" s="1299"/>
      <c r="H394" s="1298"/>
      <c r="I394" s="1297">
        <f t="shared" si="10"/>
        <v>0</v>
      </c>
      <c r="J394" s="1298">
        <f t="shared" si="11"/>
        <v>0</v>
      </c>
    </row>
    <row r="395" spans="1:12" ht="14.5">
      <c r="C395" s="1291"/>
      <c r="D395" s="1289"/>
      <c r="E395" s="1299"/>
      <c r="F395" s="1298"/>
      <c r="G395" s="1299"/>
      <c r="H395" s="1298"/>
      <c r="I395" s="1299">
        <f t="shared" si="10"/>
        <v>0</v>
      </c>
      <c r="J395" s="1298">
        <f t="shared" si="11"/>
        <v>0</v>
      </c>
    </row>
    <row r="396" spans="1:12" ht="14.5">
      <c r="A396" s="1286" t="s">
        <v>305</v>
      </c>
      <c r="C396" s="1292"/>
      <c r="D396" s="1293"/>
      <c r="E396" s="1299"/>
      <c r="F396" s="1298"/>
      <c r="G396" s="1299"/>
      <c r="H396" s="1298"/>
      <c r="I396" s="1299">
        <f t="shared" si="10"/>
        <v>0</v>
      </c>
      <c r="J396" s="1298">
        <f t="shared" si="11"/>
        <v>0</v>
      </c>
    </row>
    <row r="397" spans="1:12" ht="14.5">
      <c r="A397" s="1286" t="s">
        <v>305</v>
      </c>
      <c r="C397" s="1292"/>
      <c r="D397" s="1293"/>
      <c r="E397" s="1299"/>
      <c r="F397" s="1298"/>
      <c r="G397" s="1299"/>
      <c r="H397" s="1298"/>
      <c r="I397" s="1299">
        <f t="shared" si="10"/>
        <v>0</v>
      </c>
      <c r="J397" s="1298">
        <f t="shared" si="11"/>
        <v>0</v>
      </c>
    </row>
    <row r="398" spans="1:12" ht="14.5">
      <c r="A398" s="1282" t="s">
        <v>306</v>
      </c>
      <c r="B398" s="1282" t="s">
        <v>307</v>
      </c>
      <c r="C398" s="1291">
        <v>0</v>
      </c>
      <c r="D398" s="1289"/>
      <c r="E398" s="1299"/>
      <c r="F398" s="1298"/>
      <c r="G398" s="1299"/>
      <c r="H398" s="1298"/>
      <c r="I398" s="1297">
        <f t="shared" ref="I398:I409" si="12">C398+G398</f>
        <v>0</v>
      </c>
      <c r="J398" s="1298">
        <f t="shared" ref="J398:J408" si="13">D398+H398</f>
        <v>0</v>
      </c>
    </row>
    <row r="399" spans="1:12" ht="14.5">
      <c r="A399" s="1282" t="s">
        <v>308</v>
      </c>
      <c r="B399" s="1282" t="s">
        <v>309</v>
      </c>
      <c r="C399" s="1291">
        <v>0</v>
      </c>
      <c r="D399" s="1289"/>
      <c r="E399" s="1299"/>
      <c r="F399" s="1298"/>
      <c r="G399" s="1299"/>
      <c r="H399" s="1298"/>
      <c r="I399" s="1297">
        <f t="shared" si="12"/>
        <v>0</v>
      </c>
      <c r="J399" s="1298">
        <f t="shared" si="13"/>
        <v>0</v>
      </c>
    </row>
    <row r="400" spans="1:12" ht="14.5">
      <c r="C400" s="1291">
        <v>0</v>
      </c>
      <c r="D400" s="1289"/>
      <c r="E400" s="1299"/>
      <c r="F400" s="1298"/>
      <c r="G400" s="1299"/>
      <c r="H400" s="1298"/>
      <c r="I400" s="1299">
        <f t="shared" si="12"/>
        <v>0</v>
      </c>
      <c r="J400" s="1298">
        <f t="shared" si="13"/>
        <v>0</v>
      </c>
    </row>
    <row r="401" spans="1:10" ht="14.5">
      <c r="A401" s="1286" t="s">
        <v>311</v>
      </c>
      <c r="C401" s="1292">
        <v>0</v>
      </c>
      <c r="D401" s="1293"/>
      <c r="E401" s="1299"/>
      <c r="F401" s="1298"/>
      <c r="G401" s="1299"/>
      <c r="H401" s="1298"/>
      <c r="I401" s="1299">
        <f t="shared" si="12"/>
        <v>0</v>
      </c>
      <c r="J401" s="1298">
        <f t="shared" si="13"/>
        <v>0</v>
      </c>
    </row>
    <row r="402" spans="1:10" ht="14.5">
      <c r="B402" s="1282" t="s">
        <v>312</v>
      </c>
      <c r="C402" s="1292">
        <v>0</v>
      </c>
      <c r="D402" s="1293"/>
      <c r="E402" s="1299"/>
      <c r="F402" s="1298"/>
      <c r="G402" s="1299"/>
      <c r="H402" s="1298"/>
      <c r="I402" s="1299">
        <f t="shared" si="12"/>
        <v>0</v>
      </c>
      <c r="J402" s="1298">
        <f t="shared" si="13"/>
        <v>0</v>
      </c>
    </row>
    <row r="403" spans="1:10" ht="14.5">
      <c r="A403" s="1282" t="s">
        <v>313</v>
      </c>
      <c r="B403" s="1282" t="s">
        <v>314</v>
      </c>
      <c r="C403" s="1288">
        <v>11838</v>
      </c>
      <c r="D403" s="1289"/>
      <c r="E403" s="1299">
        <v>0</v>
      </c>
      <c r="F403" s="1298"/>
      <c r="G403" s="1299"/>
      <c r="H403" s="1298">
        <f>'Adj entry 19'!D29</f>
        <v>0</v>
      </c>
      <c r="I403" s="1297">
        <f t="shared" si="12"/>
        <v>11838</v>
      </c>
      <c r="J403" s="1298">
        <f t="shared" si="13"/>
        <v>0</v>
      </c>
    </row>
    <row r="404" spans="1:10" ht="14.5">
      <c r="A404" s="1286" t="s">
        <v>317</v>
      </c>
      <c r="C404" s="1292">
        <v>0</v>
      </c>
      <c r="D404" s="1293"/>
      <c r="E404" s="1299"/>
      <c r="F404" s="1298"/>
      <c r="G404" s="1299"/>
      <c r="H404" s="1298"/>
      <c r="I404" s="1299">
        <f t="shared" si="12"/>
        <v>0</v>
      </c>
      <c r="J404" s="1298">
        <f t="shared" si="13"/>
        <v>0</v>
      </c>
    </row>
    <row r="405" spans="1:10" ht="14.5">
      <c r="A405" s="1286" t="s">
        <v>318</v>
      </c>
      <c r="C405" s="1292"/>
      <c r="D405" s="1293"/>
      <c r="E405" s="1299"/>
      <c r="F405" s="1298"/>
      <c r="G405" s="1299"/>
      <c r="H405" s="1298"/>
      <c r="I405" s="1299">
        <f t="shared" si="12"/>
        <v>0</v>
      </c>
      <c r="J405" s="1298">
        <f t="shared" si="13"/>
        <v>0</v>
      </c>
    </row>
    <row r="406" spans="1:10" ht="14.5">
      <c r="A406" s="1282" t="s">
        <v>321</v>
      </c>
      <c r="B406" s="1282" t="s">
        <v>322</v>
      </c>
      <c r="C406" s="1288">
        <v>97000.45</v>
      </c>
      <c r="D406" s="1289"/>
      <c r="E406" s="1299"/>
      <c r="F406" s="1298"/>
      <c r="G406" s="1299"/>
      <c r="H406" s="1298"/>
      <c r="I406" s="1297">
        <f t="shared" si="12"/>
        <v>97000.45</v>
      </c>
      <c r="J406" s="1298">
        <f t="shared" si="13"/>
        <v>0</v>
      </c>
    </row>
    <row r="407" spans="1:10" ht="14.5">
      <c r="A407" s="1282" t="s">
        <v>655</v>
      </c>
      <c r="B407" s="1282" t="s">
        <v>656</v>
      </c>
      <c r="C407" s="1291">
        <v>0</v>
      </c>
      <c r="D407" s="1289"/>
      <c r="E407" s="1299"/>
      <c r="F407" s="1298"/>
      <c r="G407" s="1299"/>
      <c r="H407" s="1298"/>
      <c r="I407" s="1300">
        <f t="shared" si="12"/>
        <v>0</v>
      </c>
      <c r="J407" s="1298">
        <f t="shared" si="13"/>
        <v>0</v>
      </c>
    </row>
    <row r="408" spans="1:10" ht="14.5">
      <c r="A408" s="1315"/>
      <c r="B408" s="1316"/>
      <c r="C408" s="1317"/>
      <c r="D408" s="1318"/>
      <c r="E408" s="1325"/>
      <c r="F408" s="1325"/>
      <c r="G408" s="1325"/>
      <c r="H408" s="1326"/>
      <c r="I408" s="1325">
        <f t="shared" si="12"/>
        <v>0</v>
      </c>
      <c r="J408" s="1325">
        <f t="shared" si="13"/>
        <v>0</v>
      </c>
    </row>
    <row r="409" spans="1:10" ht="15.75" customHeight="1">
      <c r="A409" s="1391" t="s">
        <v>657</v>
      </c>
      <c r="B409" s="1392"/>
      <c r="C409" s="1319">
        <f>SUM(C9:C407)</f>
        <v>39155168.719999999</v>
      </c>
      <c r="D409" s="1320">
        <f>SUM(D9:D407)</f>
        <v>39155168.469999999</v>
      </c>
      <c r="E409" s="1327">
        <f t="shared" ref="E409:J409" si="14">SUM(E9:E407)</f>
        <v>0</v>
      </c>
      <c r="F409" s="1328">
        <f t="shared" si="14"/>
        <v>0</v>
      </c>
      <c r="G409" s="1329" t="e">
        <f t="shared" si="14"/>
        <v>#REF!</v>
      </c>
      <c r="H409" s="1330" t="e">
        <f t="shared" si="14"/>
        <v>#REF!</v>
      </c>
      <c r="I409" s="1329" t="e">
        <f t="shared" si="12"/>
        <v>#REF!</v>
      </c>
      <c r="J409" s="1330" t="e">
        <f t="shared" si="14"/>
        <v>#REF!</v>
      </c>
    </row>
    <row r="410" spans="1:10" ht="12.75" customHeight="1">
      <c r="A410" s="1393" t="s">
        <v>658</v>
      </c>
      <c r="B410" s="1393"/>
      <c r="C410" s="1321">
        <f>C409-D409</f>
        <v>0.25</v>
      </c>
      <c r="D410" s="1322"/>
      <c r="E410" s="1322">
        <f>E409-F409</f>
        <v>0</v>
      </c>
      <c r="F410" s="1322"/>
      <c r="G410" s="1322"/>
      <c r="H410" s="1322"/>
      <c r="I410" s="1334" t="e">
        <f>I409-J409</f>
        <v>#REF!</v>
      </c>
      <c r="J410" s="1322"/>
    </row>
    <row r="411" spans="1:10" ht="12.75" customHeight="1">
      <c r="C411" s="1301"/>
      <c r="D411" s="1312"/>
    </row>
    <row r="412" spans="1:10" ht="12.75" customHeight="1">
      <c r="D412" s="1301"/>
      <c r="E412" s="1331"/>
      <c r="G412" s="1332" t="e">
        <f>G409-H409</f>
        <v>#REF!</v>
      </c>
      <c r="I412" s="1332"/>
    </row>
    <row r="414" spans="1:10" ht="12.75" customHeight="1">
      <c r="H414" s="1333"/>
    </row>
    <row r="415" spans="1:10" ht="12.75" customHeight="1">
      <c r="I415" s="1301"/>
      <c r="J415" s="1301"/>
    </row>
    <row r="416" spans="1:10" ht="12.75" customHeight="1">
      <c r="C416" s="1301"/>
      <c r="J416" s="1335"/>
    </row>
    <row r="417" spans="7:7" ht="12.75" customHeight="1">
      <c r="G417" s="1301"/>
    </row>
  </sheetData>
  <mergeCells count="10">
    <mergeCell ref="A409:B409"/>
    <mergeCell ref="A410:B410"/>
    <mergeCell ref="A6:A7"/>
    <mergeCell ref="B6:B7"/>
    <mergeCell ref="A1:J1"/>
    <mergeCell ref="A2:J2"/>
    <mergeCell ref="C6:D6"/>
    <mergeCell ref="E6:F6"/>
    <mergeCell ref="G6:H6"/>
    <mergeCell ref="I6:J6"/>
  </mergeCells>
  <pageMargins left="0" right="0" top="0" bottom="0" header="0" footer="0"/>
  <pageSetup scale="58" fitToHeight="0" orientation="portrait" r:id="rId1"/>
  <headerFooter alignWithMargins="0"/>
  <rowBreaks count="4" manualBreakCount="4">
    <brk id="94" max="9" man="1"/>
    <brk id="182" max="9" man="1"/>
    <brk id="271" max="9" man="1"/>
    <brk id="389"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I45"/>
  <sheetViews>
    <sheetView showGridLines="0" view="pageBreakPreview" topLeftCell="A4" zoomScaleNormal="100" workbookViewId="0">
      <selection activeCell="D13" sqref="D13"/>
    </sheetView>
  </sheetViews>
  <sheetFormatPr defaultColWidth="9.1796875" defaultRowHeight="15.5"/>
  <cols>
    <col min="1" max="1" width="9" style="1245" customWidth="1"/>
    <col min="2" max="2" width="51" style="1245" customWidth="1"/>
    <col min="3" max="4" width="13.453125" style="1246" customWidth="1"/>
    <col min="5" max="6" width="13.453125" style="1245" customWidth="1"/>
    <col min="7" max="7" width="11.54296875" style="1245" customWidth="1"/>
    <col min="8" max="8" width="10.453125" style="1245" customWidth="1"/>
    <col min="9" max="16384" width="9.1796875" style="1245"/>
  </cols>
  <sheetData>
    <row r="1" spans="1:9">
      <c r="A1" s="1403" t="s">
        <v>659</v>
      </c>
      <c r="B1" s="1403"/>
      <c r="C1" s="1403"/>
      <c r="D1" s="1403"/>
      <c r="E1" s="1403"/>
      <c r="F1" s="1403"/>
    </row>
    <row r="2" spans="1:9">
      <c r="A2" s="1403" t="s">
        <v>660</v>
      </c>
      <c r="B2" s="1403"/>
      <c r="C2" s="1403"/>
      <c r="D2" s="1403"/>
      <c r="E2" s="1403"/>
      <c r="F2" s="1403"/>
    </row>
    <row r="3" spans="1:9">
      <c r="A3" s="1403" t="s">
        <v>357</v>
      </c>
      <c r="B3" s="1403"/>
      <c r="C3" s="1403"/>
      <c r="D3" s="1403"/>
      <c r="E3" s="1403"/>
      <c r="F3" s="1403"/>
    </row>
    <row r="5" spans="1:9">
      <c r="A5" s="1247" t="s">
        <v>661</v>
      </c>
      <c r="B5" s="1248" t="s">
        <v>325</v>
      </c>
      <c r="C5" s="1249" t="s">
        <v>7</v>
      </c>
      <c r="D5" s="1249" t="s">
        <v>8</v>
      </c>
      <c r="E5" s="1248" t="s">
        <v>662</v>
      </c>
      <c r="F5" s="1277" t="s">
        <v>663</v>
      </c>
    </row>
    <row r="6" spans="1:9" s="1244" customFormat="1">
      <c r="A6" s="1401">
        <v>1</v>
      </c>
      <c r="B6" s="1251" t="s">
        <v>664</v>
      </c>
      <c r="C6" s="1252" t="e">
        <f>'C.tax computation'!K34</f>
        <v>#REF!</v>
      </c>
      <c r="D6" s="1253"/>
      <c r="E6" s="1265"/>
      <c r="F6" s="1399" t="s">
        <v>665</v>
      </c>
      <c r="G6" s="1278"/>
    </row>
    <row r="7" spans="1:9" s="1244" customFormat="1">
      <c r="A7" s="1402"/>
      <c r="B7" s="1254" t="s">
        <v>666</v>
      </c>
      <c r="C7" s="1252"/>
      <c r="D7" s="1253" t="e">
        <f>C6</f>
        <v>#REF!</v>
      </c>
      <c r="E7" s="1265"/>
      <c r="F7" s="1400"/>
      <c r="G7" s="1278"/>
    </row>
    <row r="8" spans="1:9" s="1244" customFormat="1">
      <c r="A8" s="1402"/>
      <c r="B8" s="1255"/>
      <c r="C8" s="1256"/>
      <c r="D8" s="1253"/>
      <c r="E8" s="1265"/>
      <c r="F8" s="1401"/>
      <c r="G8" s="1278"/>
    </row>
    <row r="9" spans="1:9" s="1244" customFormat="1">
      <c r="A9" s="1401">
        <f>A6+1</f>
        <v>2</v>
      </c>
      <c r="B9" s="1251" t="s">
        <v>667</v>
      </c>
      <c r="C9" s="1257" t="e">
        <f>'Def tax'!H64</f>
        <v>#REF!</v>
      </c>
      <c r="D9" s="1257"/>
      <c r="E9" s="1399"/>
      <c r="F9" s="1399" t="s">
        <v>665</v>
      </c>
    </row>
    <row r="10" spans="1:9" s="1244" customFormat="1">
      <c r="A10" s="1402"/>
      <c r="B10" s="1254" t="s">
        <v>668</v>
      </c>
      <c r="C10" s="1258"/>
      <c r="D10" s="1258" t="e">
        <f>SUM(C9:C9)</f>
        <v>#REF!</v>
      </c>
      <c r="E10" s="1400"/>
      <c r="F10" s="1400"/>
    </row>
    <row r="11" spans="1:9" s="1244" customFormat="1">
      <c r="A11" s="1402"/>
      <c r="B11" s="1259"/>
      <c r="C11" s="1260"/>
      <c r="D11" s="1261"/>
      <c r="E11" s="1401"/>
      <c r="F11" s="1401"/>
      <c r="G11" s="1278"/>
    </row>
    <row r="12" spans="1:9" s="1244" customFormat="1">
      <c r="A12" s="1401">
        <f>A9+1</f>
        <v>3</v>
      </c>
      <c r="B12" s="1251" t="s">
        <v>669</v>
      </c>
      <c r="C12" s="1262">
        <v>50000</v>
      </c>
      <c r="D12" s="1262"/>
      <c r="E12" s="1399"/>
      <c r="F12" s="1399" t="s">
        <v>665</v>
      </c>
      <c r="G12" s="1279"/>
      <c r="H12" s="1278"/>
    </row>
    <row r="13" spans="1:9" s="1244" customFormat="1">
      <c r="A13" s="1402"/>
      <c r="B13" s="1251" t="s">
        <v>670</v>
      </c>
      <c r="C13" s="1263"/>
      <c r="D13" s="1263">
        <f>SUM(C12:C12)</f>
        <v>50000</v>
      </c>
      <c r="E13" s="1400"/>
      <c r="F13" s="1400"/>
    </row>
    <row r="14" spans="1:9" s="1244" customFormat="1">
      <c r="A14" s="1402"/>
      <c r="B14" s="1259" t="s">
        <v>671</v>
      </c>
      <c r="C14" s="1260"/>
      <c r="D14" s="1261"/>
      <c r="E14" s="1401"/>
      <c r="F14" s="1401"/>
      <c r="I14" s="1280"/>
    </row>
    <row r="15" spans="1:9" s="1244" customFormat="1">
      <c r="A15" s="1250"/>
      <c r="B15" s="1255"/>
      <c r="C15" s="1256">
        <v>0</v>
      </c>
      <c r="D15" s="1253"/>
      <c r="E15" s="1265"/>
      <c r="F15" s="1399" t="s">
        <v>665</v>
      </c>
      <c r="I15" s="1280"/>
    </row>
    <row r="16" spans="1:9" s="1244" customFormat="1">
      <c r="A16" s="1250">
        <v>4</v>
      </c>
      <c r="B16" s="1264" t="s">
        <v>672</v>
      </c>
      <c r="C16" s="1256">
        <v>0</v>
      </c>
      <c r="D16" s="1253"/>
      <c r="E16" s="1265"/>
      <c r="F16" s="1400"/>
      <c r="I16" s="1280"/>
    </row>
    <row r="17" spans="1:9" s="1244" customFormat="1">
      <c r="A17" s="1250"/>
      <c r="B17" s="1264" t="s">
        <v>673</v>
      </c>
      <c r="C17" s="1256"/>
      <c r="D17" s="1253">
        <f>C16</f>
        <v>0</v>
      </c>
      <c r="E17" s="1265"/>
      <c r="F17" s="1400"/>
      <c r="I17" s="1280"/>
    </row>
    <row r="18" spans="1:9" s="1244" customFormat="1">
      <c r="A18" s="1250"/>
      <c r="B18" s="1255"/>
      <c r="C18" s="1256"/>
      <c r="D18" s="1253"/>
      <c r="E18" s="1265"/>
      <c r="F18" s="1401"/>
      <c r="I18" s="1280"/>
    </row>
    <row r="19" spans="1:9" s="1244" customFormat="1">
      <c r="A19" s="1399">
        <v>5</v>
      </c>
      <c r="B19" s="1251" t="s">
        <v>262</v>
      </c>
      <c r="C19" s="1257">
        <v>0</v>
      </c>
      <c r="D19" s="1257"/>
      <c r="E19" s="1399"/>
      <c r="F19" s="1399" t="s">
        <v>665</v>
      </c>
    </row>
    <row r="20" spans="1:9" s="1244" customFormat="1">
      <c r="A20" s="1400"/>
      <c r="B20" s="1264" t="s">
        <v>175</v>
      </c>
      <c r="C20" s="1257"/>
      <c r="D20" s="1257">
        <f>C19</f>
        <v>0</v>
      </c>
      <c r="E20" s="1400"/>
      <c r="F20" s="1400"/>
    </row>
    <row r="21" spans="1:9" s="1244" customFormat="1">
      <c r="A21" s="1401"/>
      <c r="B21" s="1251"/>
      <c r="C21" s="1257"/>
      <c r="D21" s="1257"/>
      <c r="E21" s="1401"/>
      <c r="F21" s="1400"/>
      <c r="H21" s="1280" t="e">
        <f>37695-#REF!</f>
        <v>#REF!</v>
      </c>
    </row>
    <row r="22" spans="1:9" s="1244" customFormat="1">
      <c r="A22" s="1401">
        <v>6</v>
      </c>
      <c r="B22" s="1251" t="s">
        <v>674</v>
      </c>
      <c r="C22" s="1262">
        <v>0</v>
      </c>
      <c r="D22" s="1262"/>
      <c r="E22" s="1399"/>
      <c r="F22" s="1399" t="s">
        <v>665</v>
      </c>
    </row>
    <row r="23" spans="1:9" s="1244" customFormat="1">
      <c r="A23" s="1401"/>
      <c r="B23" s="1266" t="s">
        <v>675</v>
      </c>
      <c r="C23" s="1262"/>
      <c r="D23" s="1262">
        <f>C22</f>
        <v>0</v>
      </c>
      <c r="E23" s="1400"/>
      <c r="F23" s="1400"/>
    </row>
    <row r="24" spans="1:9" s="1244" customFormat="1">
      <c r="A24" s="1402"/>
      <c r="B24" s="1259"/>
      <c r="C24" s="1260"/>
      <c r="D24" s="1252"/>
      <c r="E24" s="1401"/>
      <c r="F24" s="1401"/>
    </row>
    <row r="25" spans="1:9" s="1244" customFormat="1">
      <c r="A25" s="1399">
        <v>7</v>
      </c>
      <c r="B25" s="1255"/>
      <c r="C25" s="1256">
        <v>0</v>
      </c>
      <c r="D25" s="1267"/>
      <c r="E25" s="1399">
        <v>0</v>
      </c>
      <c r="F25" s="1399" t="s">
        <v>665</v>
      </c>
    </row>
    <row r="26" spans="1:9" s="1244" customFormat="1">
      <c r="A26" s="1400"/>
      <c r="B26" s="1255" t="s">
        <v>676</v>
      </c>
      <c r="C26" s="1256">
        <v>0</v>
      </c>
      <c r="D26" s="1267">
        <f>C25</f>
        <v>0</v>
      </c>
      <c r="E26" s="1400"/>
      <c r="F26" s="1400"/>
      <c r="H26" s="1280" t="e">
        <f>356475-#REF!</f>
        <v>#REF!</v>
      </c>
    </row>
    <row r="27" spans="1:9" s="1244" customFormat="1">
      <c r="A27" s="1401"/>
      <c r="B27" s="1255" t="str">
        <f>'Trial Combine 19'!B45</f>
        <v>SECURITY DEPOSIT OFFICE - lhr</v>
      </c>
      <c r="C27" s="1256"/>
      <c r="D27" s="1267">
        <v>0</v>
      </c>
      <c r="E27" s="1401"/>
      <c r="F27" s="1401"/>
    </row>
    <row r="28" spans="1:9" s="1244" customFormat="1">
      <c r="A28" s="1401">
        <v>8</v>
      </c>
      <c r="B28" s="1251" t="s">
        <v>677</v>
      </c>
      <c r="C28" s="1257">
        <v>0</v>
      </c>
      <c r="D28" s="1257"/>
      <c r="E28" s="1399"/>
      <c r="F28" s="1399" t="s">
        <v>665</v>
      </c>
    </row>
    <row r="29" spans="1:9" s="1244" customFormat="1">
      <c r="A29" s="1401"/>
      <c r="B29" s="1268" t="s">
        <v>678</v>
      </c>
      <c r="C29" s="1257"/>
      <c r="D29" s="1257">
        <v>0</v>
      </c>
      <c r="E29" s="1400"/>
      <c r="F29" s="1400"/>
    </row>
    <row r="30" spans="1:9" s="1244" customFormat="1">
      <c r="A30" s="1402"/>
      <c r="B30" s="1269" t="s">
        <v>679</v>
      </c>
      <c r="C30" s="1258"/>
      <c r="D30" s="1258">
        <v>0</v>
      </c>
      <c r="E30" s="1401"/>
      <c r="F30" s="1401"/>
    </row>
    <row r="31" spans="1:9" s="1244" customFormat="1">
      <c r="A31" s="1399">
        <v>9</v>
      </c>
      <c r="B31" s="1270" t="s">
        <v>680</v>
      </c>
      <c r="C31" s="1252">
        <v>0</v>
      </c>
      <c r="D31" s="1252"/>
      <c r="E31" s="1402"/>
      <c r="F31" s="1399" t="s">
        <v>665</v>
      </c>
    </row>
    <row r="32" spans="1:9" s="1244" customFormat="1">
      <c r="A32" s="1400"/>
      <c r="B32" s="1270" t="s">
        <v>681</v>
      </c>
      <c r="C32" s="1258">
        <v>0</v>
      </c>
      <c r="D32" s="1258"/>
      <c r="E32" s="1402"/>
      <c r="F32" s="1400"/>
    </row>
    <row r="33" spans="1:7" s="1244" customFormat="1">
      <c r="A33" s="1400"/>
      <c r="B33" s="1254" t="s">
        <v>363</v>
      </c>
      <c r="C33" s="1258"/>
      <c r="D33" s="1258">
        <v>0</v>
      </c>
      <c r="E33" s="1402"/>
      <c r="F33" s="1400"/>
    </row>
    <row r="34" spans="1:7" s="1244" customFormat="1">
      <c r="A34" s="1400"/>
      <c r="B34" s="1254" t="s">
        <v>365</v>
      </c>
      <c r="C34" s="1258"/>
      <c r="D34" s="1258">
        <v>0</v>
      </c>
      <c r="E34" s="1402"/>
      <c r="F34" s="1400"/>
    </row>
    <row r="35" spans="1:7" s="1244" customFormat="1">
      <c r="A35" s="1400"/>
      <c r="B35" s="1254" t="s">
        <v>682</v>
      </c>
      <c r="C35" s="1258"/>
      <c r="D35" s="1258">
        <v>0</v>
      </c>
      <c r="E35" s="1402"/>
      <c r="F35" s="1400"/>
    </row>
    <row r="36" spans="1:7" s="1244" customFormat="1">
      <c r="A36" s="1400"/>
      <c r="B36" s="1271" t="s">
        <v>369</v>
      </c>
      <c r="C36" s="1252"/>
      <c r="D36" s="1252">
        <v>0</v>
      </c>
      <c r="E36" s="1402"/>
      <c r="F36" s="1400"/>
    </row>
    <row r="37" spans="1:7" s="1244" customFormat="1">
      <c r="A37" s="1401"/>
      <c r="B37" s="1271" t="s">
        <v>371</v>
      </c>
      <c r="C37" s="1252"/>
      <c r="D37" s="1252">
        <v>0</v>
      </c>
      <c r="E37" s="1402"/>
      <c r="F37" s="1401"/>
    </row>
    <row r="38" spans="1:7" s="1244" customFormat="1">
      <c r="A38" s="1272"/>
      <c r="B38" s="1271" t="s">
        <v>683</v>
      </c>
      <c r="C38" s="1252"/>
      <c r="D38" s="1252">
        <v>0</v>
      </c>
      <c r="E38" s="1272"/>
      <c r="F38" s="1272"/>
    </row>
    <row r="39" spans="1:7" s="1244" customFormat="1">
      <c r="A39" s="1273"/>
      <c r="B39" s="1273"/>
      <c r="C39" s="1274"/>
      <c r="D39" s="1274"/>
      <c r="E39" s="1273"/>
      <c r="F39" s="1273"/>
      <c r="G39" s="1244">
        <v>97353</v>
      </c>
    </row>
    <row r="40" spans="1:7" s="1244" customFormat="1">
      <c r="A40" s="1273"/>
      <c r="B40" s="1273"/>
      <c r="C40" s="1275" t="e">
        <f>SUM(C6:C39)</f>
        <v>#REF!</v>
      </c>
      <c r="D40" s="1275" t="e">
        <f>SUM(D6:D39)</f>
        <v>#REF!</v>
      </c>
      <c r="E40" s="1273"/>
      <c r="F40" s="1273"/>
    </row>
    <row r="42" spans="1:7">
      <c r="D42" s="1276" t="e">
        <f>C40-D40</f>
        <v>#REF!</v>
      </c>
    </row>
    <row r="43" spans="1:7">
      <c r="B43" s="1245" t="s">
        <v>684</v>
      </c>
      <c r="C43" s="1246">
        <v>0</v>
      </c>
    </row>
    <row r="44" spans="1:7">
      <c r="B44" s="1245" t="s">
        <v>685</v>
      </c>
      <c r="C44" s="1246">
        <v>0</v>
      </c>
    </row>
    <row r="45" spans="1:7">
      <c r="B45" s="1245" t="s">
        <v>686</v>
      </c>
      <c r="D45" s="1246">
        <f>+C43+C44</f>
        <v>0</v>
      </c>
    </row>
  </sheetData>
  <mergeCells count="27">
    <mergeCell ref="A1:F1"/>
    <mergeCell ref="A2:F2"/>
    <mergeCell ref="A3:F3"/>
    <mergeCell ref="A6:A8"/>
    <mergeCell ref="A9:A11"/>
    <mergeCell ref="F6:F8"/>
    <mergeCell ref="F9:F11"/>
    <mergeCell ref="A31:A37"/>
    <mergeCell ref="E9:E11"/>
    <mergeCell ref="E12:E14"/>
    <mergeCell ref="E19:E21"/>
    <mergeCell ref="E22:E24"/>
    <mergeCell ref="E25:E27"/>
    <mergeCell ref="E28:E30"/>
    <mergeCell ref="E31:E37"/>
    <mergeCell ref="A12:A14"/>
    <mergeCell ref="A19:A21"/>
    <mergeCell ref="A22:A24"/>
    <mergeCell ref="A25:A27"/>
    <mergeCell ref="A28:A30"/>
    <mergeCell ref="F28:F30"/>
    <mergeCell ref="F31:F37"/>
    <mergeCell ref="F12:F14"/>
    <mergeCell ref="F15:F18"/>
    <mergeCell ref="F19:F21"/>
    <mergeCell ref="F22:F24"/>
    <mergeCell ref="F25:F27"/>
  </mergeCells>
  <printOptions horizontalCentered="1"/>
  <pageMargins left="0.2" right="0.2" top="0.25" bottom="0.25" header="0.3" footer="0.3"/>
  <pageSetup paperSize="9" scale="88"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K1730"/>
  <sheetViews>
    <sheetView showGridLines="0" view="pageBreakPreview" topLeftCell="A359" zoomScale="124" zoomScaleNormal="100" workbookViewId="0">
      <selection activeCell="D361" sqref="D361"/>
    </sheetView>
  </sheetViews>
  <sheetFormatPr defaultColWidth="9.1796875" defaultRowHeight="14.5"/>
  <cols>
    <col min="1" max="1" width="12" customWidth="1"/>
    <col min="2" max="2" width="37.453125" customWidth="1"/>
    <col min="4" max="4" width="20.81640625" style="1063" customWidth="1"/>
    <col min="5" max="5" width="21.54296875" hidden="1" customWidth="1"/>
    <col min="6" max="6" width="15.453125" customWidth="1"/>
    <col min="7" max="7" width="14.1796875" customWidth="1"/>
    <col min="8" max="8" width="20.453125" customWidth="1"/>
    <col min="9" max="9" width="13.453125" customWidth="1"/>
    <col min="11" max="11" width="9.81640625" customWidth="1"/>
  </cols>
  <sheetData>
    <row r="1" spans="1:8" ht="15.5">
      <c r="A1" s="1407" t="s">
        <v>687</v>
      </c>
      <c r="B1" s="1407"/>
      <c r="C1" s="1407"/>
      <c r="D1" s="1407"/>
      <c r="E1" s="1407"/>
      <c r="F1" s="1065"/>
      <c r="G1" s="1095"/>
      <c r="H1" s="1095"/>
    </row>
    <row r="2" spans="1:8">
      <c r="A2" s="1408" t="s">
        <v>688</v>
      </c>
      <c r="B2" s="1408"/>
      <c r="C2" s="1408"/>
      <c r="D2" s="1408"/>
      <c r="E2" s="1408"/>
      <c r="F2" s="1096"/>
      <c r="G2" s="1097"/>
      <c r="H2" s="1097"/>
    </row>
    <row r="3" spans="1:8" ht="15.5">
      <c r="A3" s="1064"/>
      <c r="B3" s="1065"/>
      <c r="C3" s="1065"/>
      <c r="D3" s="1066"/>
      <c r="E3" s="1065"/>
      <c r="F3" s="1065"/>
      <c r="G3" s="1095"/>
      <c r="H3" s="1095"/>
    </row>
    <row r="4" spans="1:8" ht="15.5">
      <c r="A4" s="1067" t="s">
        <v>689</v>
      </c>
      <c r="B4" s="1068"/>
      <c r="C4" s="1065"/>
      <c r="D4" s="1066"/>
      <c r="E4" s="1065"/>
      <c r="F4" s="1065"/>
      <c r="G4" s="1095"/>
      <c r="H4" s="1095"/>
    </row>
    <row r="5" spans="1:8" ht="15.5">
      <c r="A5" s="1069" t="s">
        <v>690</v>
      </c>
      <c r="B5" s="1070" t="s">
        <v>691</v>
      </c>
      <c r="C5" s="1070" t="s">
        <v>692</v>
      </c>
      <c r="D5" s="1071">
        <v>2019</v>
      </c>
      <c r="E5" s="1088">
        <v>2015</v>
      </c>
      <c r="F5" s="1071">
        <v>2018</v>
      </c>
      <c r="G5" s="1095"/>
      <c r="H5" s="1095"/>
    </row>
    <row r="6" spans="1:8" ht="15.5">
      <c r="A6" s="1072"/>
      <c r="B6" s="1073"/>
      <c r="C6" s="1074"/>
      <c r="D6" s="1075"/>
      <c r="E6" s="1098"/>
      <c r="F6" s="1099"/>
      <c r="G6" s="1095"/>
      <c r="H6" s="1095"/>
    </row>
    <row r="7" spans="1:8" ht="15.75" customHeight="1">
      <c r="A7" s="1072"/>
      <c r="B7" s="1076" t="s">
        <v>693</v>
      </c>
      <c r="C7" s="1074"/>
      <c r="D7" s="1075"/>
      <c r="E7" s="1098"/>
      <c r="F7" s="1099"/>
      <c r="G7" s="1095"/>
      <c r="H7" s="1095"/>
    </row>
    <row r="8" spans="1:8" ht="15.75" customHeight="1">
      <c r="A8" s="1072"/>
      <c r="B8" s="1073" t="s">
        <v>694</v>
      </c>
      <c r="C8" s="1074"/>
      <c r="D8" s="1077">
        <f>'FIXED ASSETS'!L11</f>
        <v>700000</v>
      </c>
      <c r="E8" s="1100"/>
      <c r="F8" s="1075">
        <v>321951</v>
      </c>
      <c r="G8" s="1095"/>
      <c r="H8" s="1095"/>
    </row>
    <row r="9" spans="1:8" ht="15.75" customHeight="1">
      <c r="A9" s="1072"/>
      <c r="B9" s="1073" t="s">
        <v>695</v>
      </c>
      <c r="C9" s="1074"/>
      <c r="D9" s="1078">
        <f>'FIXED ASSETS'!L12</f>
        <v>112428</v>
      </c>
      <c r="E9" s="1101"/>
      <c r="F9" s="1075">
        <v>720786</v>
      </c>
      <c r="G9" s="1095"/>
      <c r="H9" s="1095"/>
    </row>
    <row r="10" spans="1:8" ht="15.75" customHeight="1">
      <c r="A10" s="1072"/>
      <c r="B10" s="1073" t="s">
        <v>696</v>
      </c>
      <c r="C10" s="1074"/>
      <c r="D10" s="1078">
        <f>'FIXED ASSETS'!L15</f>
        <v>732000</v>
      </c>
      <c r="E10" s="1101"/>
      <c r="F10" s="1075">
        <v>472830</v>
      </c>
      <c r="G10" s="1095"/>
      <c r="H10" s="1095"/>
    </row>
    <row r="11" spans="1:8" ht="15.75" customHeight="1">
      <c r="A11" s="1072"/>
      <c r="B11" s="1073" t="s">
        <v>697</v>
      </c>
      <c r="C11" s="1074"/>
      <c r="D11" s="1078">
        <f>'FIXED ASSETS'!L16</f>
        <v>1068000</v>
      </c>
      <c r="E11" s="1101"/>
      <c r="F11" s="1075">
        <v>155250</v>
      </c>
      <c r="G11" s="1095"/>
      <c r="H11" s="1095"/>
    </row>
    <row r="12" spans="1:8" ht="15.75" customHeight="1">
      <c r="A12" s="1072"/>
      <c r="B12" s="1073" t="s">
        <v>698</v>
      </c>
      <c r="C12" s="1074"/>
      <c r="D12" s="1078">
        <f>'FIXED ASSETS'!L17</f>
        <v>8780816</v>
      </c>
      <c r="E12" s="1101"/>
      <c r="F12" s="1075">
        <v>3392675</v>
      </c>
      <c r="G12" s="1095"/>
      <c r="H12" s="1095"/>
    </row>
    <row r="13" spans="1:8" ht="15.75" customHeight="1">
      <c r="A13" s="1072"/>
      <c r="B13" s="1073" t="s">
        <v>74</v>
      </c>
      <c r="C13" s="1074"/>
      <c r="D13" s="1079" t="e">
        <f>'FIXED ASSETS'!#REF!</f>
        <v>#REF!</v>
      </c>
      <c r="E13" s="1102"/>
      <c r="F13" s="1075">
        <v>73000</v>
      </c>
      <c r="G13" s="1095"/>
      <c r="H13" s="1095"/>
    </row>
    <row r="14" spans="1:8" ht="15.75" customHeight="1">
      <c r="A14" s="1072"/>
      <c r="B14" s="1073"/>
      <c r="C14" s="1074"/>
      <c r="D14" s="1080" t="e">
        <f>SUM(D8:D13)</f>
        <v>#REF!</v>
      </c>
      <c r="E14" s="1103">
        <f>SUM(E8:E12)</f>
        <v>0</v>
      </c>
      <c r="F14" s="1104">
        <v>5136492</v>
      </c>
      <c r="G14" s="1095"/>
      <c r="H14" s="1095"/>
    </row>
    <row r="15" spans="1:8" ht="15.75" customHeight="1">
      <c r="A15" s="1072"/>
      <c r="B15" s="1073"/>
      <c r="C15" s="1074"/>
      <c r="D15" s="1081"/>
      <c r="E15" s="1105"/>
      <c r="F15" s="1099"/>
      <c r="G15" s="1095"/>
      <c r="H15" s="1095"/>
    </row>
    <row r="16" spans="1:8" ht="15.75" customHeight="1">
      <c r="A16" s="1072"/>
      <c r="B16" s="1076" t="s">
        <v>699</v>
      </c>
      <c r="C16" s="1074"/>
      <c r="D16" s="1082"/>
      <c r="E16" s="1106"/>
      <c r="F16" s="1099"/>
      <c r="G16" s="1095"/>
      <c r="H16" s="1095"/>
    </row>
    <row r="17" spans="1:8" ht="15.75" customHeight="1">
      <c r="A17" s="1072"/>
      <c r="B17" s="1073" t="s">
        <v>694</v>
      </c>
      <c r="C17" s="1074"/>
      <c r="D17" s="1077">
        <f>'FIXED ASSETS'!X11</f>
        <v>35000</v>
      </c>
      <c r="E17" s="1107"/>
      <c r="F17" s="1104">
        <f>'FIXED ASSETS'!X32</f>
        <v>265642</v>
      </c>
      <c r="G17" s="1095"/>
      <c r="H17" s="1095"/>
    </row>
    <row r="18" spans="1:8" ht="15.75" customHeight="1">
      <c r="A18" s="1072"/>
      <c r="B18" s="1073" t="s">
        <v>695</v>
      </c>
      <c r="C18" s="1074"/>
      <c r="D18" s="1078">
        <f>'FIXED ASSETS'!X12</f>
        <v>4479</v>
      </c>
      <c r="E18" s="1108"/>
      <c r="F18" s="1104">
        <f>'FIXED ASSETS'!X33</f>
        <v>525266</v>
      </c>
      <c r="G18" s="1095"/>
      <c r="H18" s="1095"/>
    </row>
    <row r="19" spans="1:8" ht="15.75" customHeight="1">
      <c r="A19" s="1072"/>
      <c r="B19" s="1073" t="s">
        <v>696</v>
      </c>
      <c r="C19" s="1074"/>
      <c r="D19" s="1078">
        <f>'FIXED ASSETS'!X15</f>
        <v>27363</v>
      </c>
      <c r="E19" s="1108"/>
      <c r="F19" s="1104">
        <f>'FIXED ASSETS'!X34</f>
        <v>451325</v>
      </c>
      <c r="G19" s="1095"/>
      <c r="H19" s="1095"/>
    </row>
    <row r="20" spans="1:8" ht="15.75" customHeight="1">
      <c r="A20" s="1072"/>
      <c r="B20" s="1073" t="s">
        <v>697</v>
      </c>
      <c r="C20" s="1074"/>
      <c r="D20" s="1078">
        <f>'FIXED ASSETS'!X16</f>
        <v>37550</v>
      </c>
      <c r="E20" s="1108"/>
      <c r="F20" s="1104">
        <f>'FIXED ASSETS'!X35</f>
        <v>106532</v>
      </c>
      <c r="G20" s="1095"/>
      <c r="H20" s="1095"/>
    </row>
    <row r="21" spans="1:8" ht="15.75" customHeight="1">
      <c r="A21" s="1072"/>
      <c r="B21" s="1073" t="s">
        <v>698</v>
      </c>
      <c r="C21" s="1074"/>
      <c r="D21" s="1078">
        <f>'FIXED ASSETS'!X17</f>
        <v>532276</v>
      </c>
      <c r="E21" s="1108"/>
      <c r="F21" s="1104">
        <f>'FIXED ASSETS'!X36</f>
        <v>2417489</v>
      </c>
      <c r="G21" s="1095"/>
      <c r="H21" s="1095"/>
    </row>
    <row r="22" spans="1:8" ht="15.75" customHeight="1">
      <c r="A22" s="1072"/>
      <c r="B22" s="1073" t="s">
        <v>74</v>
      </c>
      <c r="C22" s="1074"/>
      <c r="D22" s="1079" t="e">
        <f>'FIXED ASSETS'!#REF!</f>
        <v>#REF!</v>
      </c>
      <c r="E22" s="1109"/>
      <c r="F22" s="1104">
        <f>'FIXED ASSETS'!X37</f>
        <v>70687</v>
      </c>
      <c r="G22" s="1095"/>
      <c r="H22" s="1095"/>
    </row>
    <row r="23" spans="1:8" ht="15.75" customHeight="1">
      <c r="A23" s="1072"/>
      <c r="B23" s="1073"/>
      <c r="C23" s="1074"/>
      <c r="D23" s="1080" t="e">
        <f>SUM(D17:D22)</f>
        <v>#REF!</v>
      </c>
      <c r="E23" s="1110"/>
      <c r="F23" s="1104">
        <f>SUM(F17:F22)</f>
        <v>3836941</v>
      </c>
      <c r="G23" s="1095"/>
      <c r="H23" s="1095"/>
    </row>
    <row r="24" spans="1:8" ht="15.75" customHeight="1">
      <c r="A24" s="1072"/>
      <c r="B24" s="1073"/>
      <c r="C24" s="1074"/>
      <c r="D24" s="1081"/>
      <c r="E24" s="1105"/>
      <c r="F24" s="1099"/>
      <c r="G24" s="1095"/>
      <c r="H24" s="1095"/>
    </row>
    <row r="25" spans="1:8" ht="15.75" customHeight="1">
      <c r="A25" s="1072"/>
      <c r="B25" s="1076" t="s">
        <v>700</v>
      </c>
      <c r="C25" s="1074"/>
      <c r="D25" s="1082"/>
      <c r="E25" s="1106"/>
      <c r="F25" s="1099"/>
      <c r="G25" s="1095"/>
      <c r="H25" s="1095"/>
    </row>
    <row r="26" spans="1:8" ht="15.75" customHeight="1">
      <c r="A26" s="1072"/>
      <c r="B26" s="1073" t="s">
        <v>694</v>
      </c>
      <c r="C26" s="1074"/>
      <c r="D26" s="1077">
        <f t="shared" ref="D26:F31" si="0">D8-D17</f>
        <v>665000</v>
      </c>
      <c r="E26" s="1107"/>
      <c r="F26" s="1104">
        <f t="shared" si="0"/>
        <v>56309</v>
      </c>
      <c r="G26" s="1095"/>
      <c r="H26" s="1095"/>
    </row>
    <row r="27" spans="1:8" ht="15.75" customHeight="1">
      <c r="A27" s="1072"/>
      <c r="B27" s="1073" t="s">
        <v>695</v>
      </c>
      <c r="C27" s="1074"/>
      <c r="D27" s="1078">
        <f t="shared" si="0"/>
        <v>107949</v>
      </c>
      <c r="E27" s="1108"/>
      <c r="F27" s="1104">
        <f t="shared" si="0"/>
        <v>195520</v>
      </c>
      <c r="G27" s="1095"/>
      <c r="H27" s="1095"/>
    </row>
    <row r="28" spans="1:8" ht="15.75" customHeight="1">
      <c r="A28" s="1072"/>
      <c r="B28" s="1073" t="s">
        <v>696</v>
      </c>
      <c r="C28" s="1074"/>
      <c r="D28" s="1078">
        <f t="shared" si="0"/>
        <v>704637</v>
      </c>
      <c r="E28" s="1108"/>
      <c r="F28" s="1104">
        <f t="shared" si="0"/>
        <v>21505</v>
      </c>
      <c r="G28" s="1095"/>
      <c r="H28" s="1095"/>
    </row>
    <row r="29" spans="1:8" ht="15.75" customHeight="1">
      <c r="A29" s="1072"/>
      <c r="B29" s="1073" t="s">
        <v>697</v>
      </c>
      <c r="C29" s="1074"/>
      <c r="D29" s="1078">
        <f t="shared" si="0"/>
        <v>1030450</v>
      </c>
      <c r="E29" s="1108"/>
      <c r="F29" s="1104">
        <f t="shared" si="0"/>
        <v>48718</v>
      </c>
      <c r="G29" s="1095"/>
      <c r="H29" s="1095"/>
    </row>
    <row r="30" spans="1:8" ht="15.75" customHeight="1">
      <c r="A30" s="1072"/>
      <c r="B30" s="1073" t="s">
        <v>698</v>
      </c>
      <c r="C30" s="1074"/>
      <c r="D30" s="1078">
        <f t="shared" si="0"/>
        <v>8248540</v>
      </c>
      <c r="E30" s="1108"/>
      <c r="F30" s="1104">
        <f t="shared" si="0"/>
        <v>975186</v>
      </c>
      <c r="G30" s="1095"/>
      <c r="H30" s="1095"/>
    </row>
    <row r="31" spans="1:8" ht="15.75" customHeight="1">
      <c r="A31" s="1072"/>
      <c r="B31" s="1073" t="s">
        <v>74</v>
      </c>
      <c r="C31" s="1074"/>
      <c r="D31" s="1079" t="e">
        <f t="shared" si="0"/>
        <v>#REF!</v>
      </c>
      <c r="E31" s="1109"/>
      <c r="F31" s="1104">
        <f t="shared" si="0"/>
        <v>2313</v>
      </c>
      <c r="G31" s="1095"/>
      <c r="H31" s="1095"/>
    </row>
    <row r="32" spans="1:8" ht="15.5">
      <c r="A32" s="1072"/>
      <c r="B32" s="1073"/>
      <c r="C32" s="1074"/>
      <c r="D32" s="1080" t="e">
        <f>SUM(D26:D31)</f>
        <v>#REF!</v>
      </c>
      <c r="E32" s="1110"/>
      <c r="F32" s="1104">
        <f>SUM(F26:F31)</f>
        <v>1299551</v>
      </c>
      <c r="G32" s="1095"/>
      <c r="H32" s="1095"/>
    </row>
    <row r="33" spans="1:8" ht="15.5">
      <c r="A33" s="1072"/>
      <c r="B33" s="1073"/>
      <c r="C33" s="1074"/>
      <c r="D33" s="1081"/>
      <c r="E33" s="1105"/>
      <c r="F33" s="1099"/>
      <c r="G33" s="1095"/>
      <c r="H33" s="1095"/>
    </row>
    <row r="34" spans="1:8" ht="15.5">
      <c r="A34" s="1072"/>
      <c r="B34" s="1073"/>
      <c r="C34" s="1074"/>
      <c r="D34" s="1083"/>
      <c r="E34" s="1111"/>
      <c r="F34" s="1112"/>
    </row>
    <row r="35" spans="1:8" ht="15.5">
      <c r="A35" s="1084"/>
      <c r="B35" s="1085"/>
      <c r="C35" s="1085"/>
      <c r="D35" s="1086"/>
      <c r="E35" s="1098"/>
      <c r="F35" s="1112"/>
    </row>
    <row r="36" spans="1:8" ht="15.5">
      <c r="A36" s="1084"/>
      <c r="B36" s="1085"/>
      <c r="C36" s="1085"/>
      <c r="D36" s="1086"/>
      <c r="E36" s="1098"/>
      <c r="F36" s="1112"/>
    </row>
    <row r="37" spans="1:8" ht="15.5">
      <c r="A37" s="1084"/>
      <c r="B37" s="1085"/>
      <c r="C37" s="1085"/>
      <c r="D37" s="1086"/>
      <c r="E37" s="1113"/>
      <c r="F37" s="1112"/>
    </row>
    <row r="38" spans="1:8" ht="15.5">
      <c r="A38" s="1404" t="s">
        <v>701</v>
      </c>
      <c r="B38" s="1405"/>
      <c r="C38" s="1087"/>
      <c r="D38" s="1083" t="e">
        <f>D32</f>
        <v>#REF!</v>
      </c>
      <c r="E38" s="1114">
        <f>E32</f>
        <v>0</v>
      </c>
      <c r="F38" s="1115">
        <f>F32</f>
        <v>1299551</v>
      </c>
    </row>
    <row r="39" spans="1:8" ht="15.5">
      <c r="A39" s="1064"/>
      <c r="B39" s="1065"/>
      <c r="C39" s="1065"/>
      <c r="D39" s="1066"/>
      <c r="E39" s="1065"/>
      <c r="F39" s="1112"/>
    </row>
    <row r="40" spans="1:8" ht="15.5">
      <c r="A40" s="1068" t="s">
        <v>702</v>
      </c>
      <c r="B40" s="1068"/>
      <c r="C40" s="1065"/>
      <c r="D40" s="1066"/>
      <c r="E40" s="1065"/>
      <c r="F40" s="1112"/>
    </row>
    <row r="41" spans="1:8" ht="15.5">
      <c r="A41" s="1069" t="s">
        <v>690</v>
      </c>
      <c r="B41" s="1070" t="s">
        <v>691</v>
      </c>
      <c r="C41" s="1070" t="s">
        <v>692</v>
      </c>
      <c r="D41" s="1071">
        <v>2019</v>
      </c>
      <c r="E41" s="1116">
        <v>2015</v>
      </c>
      <c r="F41" s="1112">
        <v>2018</v>
      </c>
    </row>
    <row r="42" spans="1:8" ht="15.75" customHeight="1">
      <c r="A42" s="1088"/>
      <c r="B42" s="1073"/>
      <c r="C42" s="1089"/>
      <c r="D42" s="1075"/>
      <c r="E42" s="1098"/>
      <c r="F42" s="1112"/>
    </row>
    <row r="43" spans="1:8" ht="15.75" customHeight="1">
      <c r="A43" s="1090" t="s">
        <v>57</v>
      </c>
      <c r="B43" s="1073" t="s">
        <v>58</v>
      </c>
      <c r="C43" s="1089"/>
      <c r="D43" s="1075">
        <f>'Trial Combine 19'!I44</f>
        <v>0</v>
      </c>
      <c r="E43" s="1098"/>
      <c r="F43" s="1117">
        <v>18500</v>
      </c>
    </row>
    <row r="44" spans="1:8" ht="15.75" customHeight="1">
      <c r="A44" s="1088" t="s">
        <v>59</v>
      </c>
      <c r="B44" s="1073" t="s">
        <v>60</v>
      </c>
      <c r="C44" s="1089"/>
      <c r="D44" s="1075">
        <f>'Trial Combine 19'!I45</f>
        <v>0</v>
      </c>
      <c r="E44" s="1098"/>
      <c r="F44" s="1117">
        <v>192000</v>
      </c>
    </row>
    <row r="45" spans="1:8" ht="15.75" customHeight="1">
      <c r="A45" s="1088" t="s">
        <v>15</v>
      </c>
      <c r="B45" s="1073" t="s">
        <v>64</v>
      </c>
      <c r="C45" s="1089"/>
      <c r="D45" s="1075">
        <f>'Trial Combine 19'!I46</f>
        <v>0</v>
      </c>
      <c r="E45" s="1098"/>
      <c r="F45" s="1117">
        <v>5000</v>
      </c>
    </row>
    <row r="46" spans="1:8" ht="15.75" customHeight="1">
      <c r="A46" s="1088" t="s">
        <v>61</v>
      </c>
      <c r="B46" s="1073" t="s">
        <v>62</v>
      </c>
      <c r="C46" s="1089"/>
      <c r="D46" s="1075">
        <f>'Trial Combine 19'!I47</f>
        <v>0</v>
      </c>
      <c r="E46" s="1098"/>
      <c r="F46" s="1117">
        <v>1000</v>
      </c>
    </row>
    <row r="47" spans="1:8" ht="15.5">
      <c r="A47" s="1088"/>
      <c r="B47" s="1073"/>
      <c r="C47" s="1089"/>
      <c r="D47" s="1075"/>
      <c r="E47" s="1105"/>
      <c r="F47" s="1112"/>
    </row>
    <row r="48" spans="1:8" ht="15.5">
      <c r="A48" s="1088"/>
      <c r="B48" s="1073"/>
      <c r="C48" s="1089"/>
      <c r="D48" s="1081"/>
      <c r="E48" s="1105"/>
      <c r="F48" s="1112"/>
    </row>
    <row r="49" spans="1:7" ht="15.5">
      <c r="A49" s="1088"/>
      <c r="B49" s="1091"/>
      <c r="C49" s="1089"/>
      <c r="D49" s="1081"/>
      <c r="E49" s="1098"/>
      <c r="F49" s="1112"/>
    </row>
    <row r="50" spans="1:7" ht="15.5">
      <c r="A50" s="1088"/>
      <c r="B50" s="1091"/>
      <c r="C50" s="1089"/>
      <c r="D50" s="1081"/>
      <c r="E50" s="1105"/>
      <c r="F50" s="1112"/>
    </row>
    <row r="51" spans="1:7" ht="15.5">
      <c r="A51" s="1088"/>
      <c r="B51" s="1091"/>
      <c r="C51" s="1089"/>
      <c r="D51" s="1081"/>
      <c r="E51" s="1105"/>
      <c r="F51" s="1112"/>
    </row>
    <row r="52" spans="1:7" ht="15.5">
      <c r="A52" s="1088"/>
      <c r="B52" s="1091"/>
      <c r="C52" s="1089"/>
      <c r="D52" s="1081"/>
      <c r="E52" s="1105"/>
      <c r="F52" s="1112"/>
    </row>
    <row r="53" spans="1:7" ht="15.5">
      <c r="A53" s="1088"/>
      <c r="B53" s="1073"/>
      <c r="C53" s="1089"/>
      <c r="D53" s="1081"/>
      <c r="E53" s="1105"/>
      <c r="F53" s="1112"/>
    </row>
    <row r="54" spans="1:7" ht="15.5">
      <c r="A54" s="1088"/>
      <c r="B54" s="1091"/>
      <c r="C54" s="1089"/>
      <c r="D54" s="1066"/>
      <c r="E54" s="1105"/>
      <c r="F54" s="1112"/>
    </row>
    <row r="55" spans="1:7" ht="15.5">
      <c r="A55" s="1084"/>
      <c r="B55" s="1092"/>
      <c r="C55" s="1074"/>
      <c r="D55" s="1081"/>
      <c r="E55" s="1105"/>
      <c r="F55" s="1112"/>
    </row>
    <row r="56" spans="1:7" ht="15.5">
      <c r="A56" s="1084"/>
      <c r="B56" s="1092"/>
      <c r="C56" s="1074"/>
      <c r="D56" s="1081"/>
      <c r="E56" s="1105"/>
      <c r="F56" s="1112"/>
    </row>
    <row r="57" spans="1:7" ht="15.5">
      <c r="A57" s="1084"/>
      <c r="B57" s="1092"/>
      <c r="C57" s="1085"/>
      <c r="D57" s="1081"/>
      <c r="E57" s="1105"/>
      <c r="F57" s="1112"/>
    </row>
    <row r="58" spans="1:7" ht="15.5">
      <c r="A58" s="1404" t="s">
        <v>701</v>
      </c>
      <c r="B58" s="1405"/>
      <c r="C58" s="1087"/>
      <c r="D58" s="1083">
        <f>SUM(D42:D56)</f>
        <v>0</v>
      </c>
      <c r="E58" s="1118">
        <f>SUM(E42:E56)</f>
        <v>0</v>
      </c>
      <c r="F58" s="1117">
        <f>SUM(F42:F56)</f>
        <v>216500</v>
      </c>
    </row>
    <row r="59" spans="1:7" ht="15.5">
      <c r="A59" s="1064"/>
      <c r="B59" s="1065"/>
      <c r="C59" s="1065"/>
      <c r="D59" s="1066"/>
      <c r="E59" s="1065"/>
      <c r="F59" s="1112"/>
    </row>
    <row r="60" spans="1:7" ht="15.5">
      <c r="A60" s="1406" t="s">
        <v>10</v>
      </c>
      <c r="B60" s="1406"/>
      <c r="C60" s="1406"/>
      <c r="D60" s="1406"/>
      <c r="E60" s="1065"/>
      <c r="F60" s="1112"/>
    </row>
    <row r="61" spans="1:7" ht="15.5">
      <c r="A61" s="1069" t="s">
        <v>690</v>
      </c>
      <c r="B61" s="1070" t="s">
        <v>691</v>
      </c>
      <c r="C61" s="1070" t="s">
        <v>692</v>
      </c>
      <c r="D61" s="1071">
        <f>D41</f>
        <v>2019</v>
      </c>
      <c r="E61" s="1116">
        <v>2015</v>
      </c>
      <c r="F61" s="1112">
        <f>F41</f>
        <v>2018</v>
      </c>
    </row>
    <row r="62" spans="1:7" ht="15.75" customHeight="1">
      <c r="A62" s="1090"/>
      <c r="B62" s="1093" t="s">
        <v>703</v>
      </c>
      <c r="C62" s="1094"/>
      <c r="D62" s="1075">
        <f>D191</f>
        <v>0</v>
      </c>
      <c r="E62" s="1098"/>
      <c r="F62" s="1117" t="e">
        <f>SOFP!#REF!</f>
        <v>#REF!</v>
      </c>
      <c r="G62" t="e">
        <f>F62/E62</f>
        <v>#REF!</v>
      </c>
    </row>
    <row r="63" spans="1:7" ht="15.75" customHeight="1">
      <c r="A63" s="1084"/>
      <c r="B63" s="1093" t="s">
        <v>704</v>
      </c>
      <c r="C63" s="1089"/>
      <c r="D63" s="1075">
        <f>D212</f>
        <v>0</v>
      </c>
      <c r="E63" s="1098"/>
      <c r="F63" s="1117" t="e">
        <f>SOFP!#REF!</f>
        <v>#REF!</v>
      </c>
    </row>
    <row r="64" spans="1:7" ht="15.75" customHeight="1">
      <c r="A64" s="1084"/>
      <c r="B64" s="1093" t="s">
        <v>705</v>
      </c>
      <c r="C64" s="1089"/>
      <c r="D64" s="1075">
        <f>D241</f>
        <v>-0.34</v>
      </c>
      <c r="E64" s="1098"/>
      <c r="F64" s="1117" t="e">
        <f>SOFP!#REF!</f>
        <v>#REF!</v>
      </c>
    </row>
    <row r="65" spans="1:6" ht="15.75" customHeight="1">
      <c r="A65" s="1084"/>
      <c r="B65" s="1093" t="s">
        <v>706</v>
      </c>
      <c r="C65" s="1089"/>
      <c r="D65" s="1075" t="e">
        <f>SOFP!#REF!</f>
        <v>#REF!</v>
      </c>
      <c r="E65" s="1098"/>
      <c r="F65" s="1117" t="e">
        <f>SOFP!#REF!</f>
        <v>#REF!</v>
      </c>
    </row>
    <row r="66" spans="1:6" ht="15.75" customHeight="1">
      <c r="A66" s="1084"/>
      <c r="B66" s="1093" t="s">
        <v>707</v>
      </c>
      <c r="C66" s="1089"/>
      <c r="D66" s="1075">
        <f>D357</f>
        <v>8925</v>
      </c>
      <c r="E66" s="1098"/>
      <c r="F66" s="1117" t="e">
        <f>SOFP!#REF!</f>
        <v>#REF!</v>
      </c>
    </row>
    <row r="67" spans="1:6" ht="15.75" customHeight="1">
      <c r="A67" s="1084"/>
      <c r="B67" s="1093"/>
      <c r="C67" s="1089"/>
      <c r="D67" s="1075"/>
      <c r="E67" s="1098"/>
      <c r="F67" s="1112"/>
    </row>
    <row r="68" spans="1:6" ht="15.75" customHeight="1">
      <c r="A68" s="1084"/>
      <c r="B68" s="1093"/>
      <c r="C68" s="1089"/>
      <c r="D68" s="1075"/>
      <c r="E68" s="1098"/>
      <c r="F68" s="1112"/>
    </row>
    <row r="69" spans="1:6" ht="15.75" customHeight="1">
      <c r="A69" s="1084"/>
      <c r="B69" s="1093"/>
      <c r="C69" s="1089"/>
      <c r="D69" s="1075"/>
      <c r="E69" s="1098"/>
      <c r="F69" s="1112"/>
    </row>
    <row r="70" spans="1:6" ht="15.75" customHeight="1">
      <c r="A70" s="1084"/>
      <c r="B70" s="1093"/>
      <c r="C70" s="1089"/>
      <c r="D70" s="1075"/>
      <c r="E70" s="1098"/>
      <c r="F70" s="1112"/>
    </row>
    <row r="71" spans="1:6" ht="15.75" customHeight="1">
      <c r="A71" s="1084"/>
      <c r="B71" s="1093"/>
      <c r="C71" s="1089"/>
      <c r="D71" s="1075"/>
      <c r="E71" s="1098"/>
      <c r="F71" s="1112"/>
    </row>
    <row r="72" spans="1:6" ht="15.75" customHeight="1">
      <c r="A72" s="1084"/>
      <c r="B72" s="1093"/>
      <c r="C72" s="1089"/>
      <c r="D72" s="1075"/>
      <c r="E72" s="1098"/>
      <c r="F72" s="1112"/>
    </row>
    <row r="73" spans="1:6" ht="15.75" customHeight="1">
      <c r="A73" s="1084"/>
      <c r="B73" s="1093"/>
      <c r="C73" s="1089"/>
      <c r="D73" s="1075"/>
      <c r="E73" s="1098"/>
      <c r="F73" s="1112"/>
    </row>
    <row r="74" spans="1:6" ht="15.75" customHeight="1">
      <c r="A74" s="1084"/>
      <c r="B74" s="1093"/>
      <c r="C74" s="1089"/>
      <c r="D74" s="1075"/>
      <c r="E74" s="1098"/>
      <c r="F74" s="1112"/>
    </row>
    <row r="75" spans="1:6" ht="15.75" customHeight="1">
      <c r="A75" s="1084"/>
      <c r="B75" s="1093"/>
      <c r="C75" s="1089"/>
      <c r="D75" s="1075"/>
      <c r="E75" s="1098"/>
      <c r="F75" s="1112"/>
    </row>
    <row r="76" spans="1:6" ht="15.75" customHeight="1">
      <c r="A76" s="1084"/>
      <c r="B76" s="1093"/>
      <c r="C76" s="1074"/>
      <c r="D76" s="1075"/>
      <c r="E76" s="1098"/>
      <c r="F76" s="1112"/>
    </row>
    <row r="77" spans="1:6" ht="15.75" customHeight="1">
      <c r="A77" s="1084"/>
      <c r="B77" s="1093"/>
      <c r="C77" s="1074"/>
      <c r="D77" s="1075"/>
      <c r="E77" s="1098"/>
      <c r="F77" s="1112"/>
    </row>
    <row r="78" spans="1:6" ht="15.75" customHeight="1">
      <c r="A78" s="1084"/>
      <c r="B78" s="1093"/>
      <c r="C78" s="1074"/>
      <c r="D78" s="1075"/>
      <c r="E78" s="1098"/>
      <c r="F78" s="1112"/>
    </row>
    <row r="79" spans="1:6" ht="15.75" customHeight="1">
      <c r="A79" s="1084"/>
      <c r="B79" s="1093"/>
      <c r="C79" s="1074"/>
      <c r="D79" s="1075"/>
      <c r="E79" s="1098"/>
      <c r="F79" s="1112"/>
    </row>
    <row r="80" spans="1:6" ht="15.5">
      <c r="A80" s="1084"/>
      <c r="B80" s="1074"/>
      <c r="C80" s="1074"/>
      <c r="D80" s="1081"/>
      <c r="E80" s="1105"/>
      <c r="F80" s="1112"/>
    </row>
    <row r="81" spans="1:7" ht="15.5">
      <c r="A81" s="1084"/>
      <c r="B81" s="1085"/>
      <c r="C81" s="1085"/>
      <c r="D81" s="1081"/>
      <c r="E81" s="1105"/>
      <c r="F81" s="1112"/>
    </row>
    <row r="82" spans="1:7" ht="15.5">
      <c r="A82" s="1404" t="s">
        <v>701</v>
      </c>
      <c r="B82" s="1405"/>
      <c r="C82" s="1087"/>
      <c r="D82" s="1083" t="e">
        <f>SUM(D62:D80)</f>
        <v>#REF!</v>
      </c>
      <c r="E82" s="1111">
        <f>SUM(E62:E79)</f>
        <v>0</v>
      </c>
      <c r="F82" s="1117" t="e">
        <f>SUM(F62:F80)</f>
        <v>#REF!</v>
      </c>
    </row>
    <row r="83" spans="1:7" ht="15.5">
      <c r="A83" s="1064"/>
      <c r="B83" s="1065"/>
      <c r="C83" s="1065"/>
      <c r="D83" s="1066"/>
      <c r="E83" s="1065"/>
      <c r="F83" s="1112"/>
    </row>
    <row r="84" spans="1:7" ht="15.5">
      <c r="A84" s="1068" t="s">
        <v>703</v>
      </c>
      <c r="B84" s="1068"/>
      <c r="C84" s="1065"/>
      <c r="D84" s="1066"/>
      <c r="E84" s="1065"/>
      <c r="F84" s="1112"/>
    </row>
    <row r="85" spans="1:7" ht="15.5">
      <c r="A85" s="1069" t="s">
        <v>690</v>
      </c>
      <c r="B85" s="1070" t="s">
        <v>691</v>
      </c>
      <c r="C85" s="1070" t="s">
        <v>692</v>
      </c>
      <c r="D85" s="1071">
        <v>2019</v>
      </c>
      <c r="E85" s="1116">
        <v>2015</v>
      </c>
      <c r="F85" s="1117">
        <v>2018</v>
      </c>
    </row>
    <row r="86" spans="1:7" ht="15.5">
      <c r="A86" s="1069"/>
      <c r="B86" s="1119"/>
      <c r="C86" s="1070"/>
      <c r="D86" s="1071"/>
      <c r="E86" s="1116"/>
      <c r="F86" s="1117"/>
    </row>
    <row r="87" spans="1:7" ht="15.5">
      <c r="A87" s="1069"/>
      <c r="B87" s="1120" t="s">
        <v>708</v>
      </c>
      <c r="C87" s="1070"/>
      <c r="D87" s="1071"/>
      <c r="E87" s="1116"/>
      <c r="F87" s="1117"/>
    </row>
    <row r="88" spans="1:7" ht="15.5">
      <c r="A88" s="1069"/>
      <c r="B88" s="1119"/>
      <c r="C88" s="1070"/>
      <c r="D88" s="1071"/>
      <c r="E88" s="1116"/>
      <c r="F88" s="1117"/>
    </row>
    <row r="89" spans="1:7" ht="15.75" customHeight="1">
      <c r="A89" s="1090" t="s">
        <v>394</v>
      </c>
      <c r="B89" s="1073" t="s">
        <v>395</v>
      </c>
      <c r="C89" s="1089"/>
      <c r="D89" s="1075">
        <v>0</v>
      </c>
      <c r="E89" s="1098"/>
      <c r="F89" s="1117"/>
      <c r="G89">
        <v>160564</v>
      </c>
    </row>
    <row r="90" spans="1:7" ht="15.75" customHeight="1">
      <c r="A90" s="1090"/>
      <c r="B90" s="1073" t="s">
        <v>396</v>
      </c>
      <c r="C90" s="1089"/>
      <c r="D90" s="1075">
        <v>0</v>
      </c>
      <c r="E90" s="1098"/>
      <c r="F90" s="1117"/>
    </row>
    <row r="91" spans="1:7" ht="15.75" customHeight="1">
      <c r="A91" s="1121" t="s">
        <v>83</v>
      </c>
      <c r="B91" s="1073" t="s">
        <v>84</v>
      </c>
      <c r="C91" s="1089"/>
      <c r="D91" s="1075">
        <f>'Trial Combine 19'!I77</f>
        <v>0</v>
      </c>
      <c r="E91" s="1098"/>
      <c r="F91" s="1117">
        <v>32114</v>
      </c>
      <c r="G91">
        <v>35991</v>
      </c>
    </row>
    <row r="92" spans="1:7" ht="15.75" customHeight="1">
      <c r="A92" s="1121"/>
      <c r="B92" s="1122" t="s">
        <v>393</v>
      </c>
      <c r="C92" s="1089"/>
      <c r="D92" s="1075">
        <v>0</v>
      </c>
      <c r="E92" s="1098"/>
      <c r="F92" s="1117">
        <v>93222</v>
      </c>
    </row>
    <row r="93" spans="1:7" ht="15.75" customHeight="1">
      <c r="A93" s="1121"/>
      <c r="B93" s="1073" t="s">
        <v>397</v>
      </c>
      <c r="C93" s="1089"/>
      <c r="D93" s="1075">
        <f>'Trial Combine 19'!I78</f>
        <v>0</v>
      </c>
      <c r="E93" s="1098"/>
      <c r="F93" s="1117">
        <v>37162</v>
      </c>
    </row>
    <row r="94" spans="1:7" ht="15.75" customHeight="1">
      <c r="A94" s="1121"/>
      <c r="B94" s="1073" t="s">
        <v>709</v>
      </c>
      <c r="C94" s="1089"/>
      <c r="D94" s="1075">
        <f>'Trial Combine 19'!I79</f>
        <v>0</v>
      </c>
      <c r="E94" s="1098"/>
      <c r="F94" s="1117">
        <v>364404</v>
      </c>
    </row>
    <row r="95" spans="1:7" ht="15.75" customHeight="1">
      <c r="A95" s="1121"/>
      <c r="B95" s="1073" t="s">
        <v>400</v>
      </c>
      <c r="C95" s="1089"/>
      <c r="D95" s="1075"/>
      <c r="E95" s="1098"/>
      <c r="F95" s="1117">
        <v>68972</v>
      </c>
    </row>
    <row r="96" spans="1:7" ht="15.75" customHeight="1">
      <c r="A96" s="1121"/>
      <c r="B96" s="1073" t="str">
        <f>'Trial Combine 19'!B80</f>
        <v>Ariston tradelinks</v>
      </c>
      <c r="C96" s="1089"/>
      <c r="D96" s="1075">
        <f>'Trial Combine 19'!I80</f>
        <v>0</v>
      </c>
      <c r="E96" s="1098"/>
      <c r="F96" s="1117"/>
    </row>
    <row r="97" spans="1:7" ht="15.5">
      <c r="A97" s="1121" t="s">
        <v>404</v>
      </c>
      <c r="B97" s="1073" t="s">
        <v>405</v>
      </c>
      <c r="C97" s="1089"/>
      <c r="D97" s="1075">
        <f>'Trial Combine 19'!I84</f>
        <v>0</v>
      </c>
      <c r="E97" s="1098"/>
      <c r="F97" s="1117">
        <v>168737</v>
      </c>
      <c r="G97">
        <v>37162</v>
      </c>
    </row>
    <row r="98" spans="1:7" ht="15.5">
      <c r="A98" s="1121"/>
      <c r="B98" s="1073" t="str">
        <f>'Trial Combine 19'!B89</f>
        <v>BASF PAKISTAN PVT LTD</v>
      </c>
      <c r="C98" s="1091"/>
      <c r="D98" s="1075">
        <f>'Trial Combine 19'!I89</f>
        <v>0</v>
      </c>
      <c r="E98" s="1098"/>
      <c r="F98" s="1117"/>
    </row>
    <row r="99" spans="1:7" ht="15.5">
      <c r="A99" s="1121"/>
      <c r="B99" s="1073" t="str">
        <f>'[90]Trial Combine 18'!$B$81</f>
        <v>BAZI KNITWEAR</v>
      </c>
      <c r="C99" s="1091"/>
      <c r="D99" s="1075">
        <f>'Trial Combine 19'!I90</f>
        <v>0</v>
      </c>
      <c r="E99" s="1098"/>
      <c r="F99" s="1117">
        <v>32448</v>
      </c>
    </row>
    <row r="100" spans="1:7" ht="15.5">
      <c r="A100" s="1121"/>
      <c r="B100" s="1122" t="s">
        <v>416</v>
      </c>
      <c r="C100" s="1091"/>
      <c r="D100" s="1075"/>
      <c r="E100" s="1098"/>
      <c r="F100" s="1117">
        <v>3000</v>
      </c>
    </row>
    <row r="101" spans="1:7" ht="15.5">
      <c r="A101" s="1121"/>
      <c r="B101" s="1122" t="str">
        <f>'Trial Combine 19'!B92</f>
        <v>BIG BIRD FOOD PVT LTD</v>
      </c>
      <c r="C101" s="1091"/>
      <c r="D101" s="1075">
        <f>'Trial Combine 19'!I92</f>
        <v>0</v>
      </c>
      <c r="E101" s="1098"/>
      <c r="F101" s="1117"/>
    </row>
    <row r="102" spans="1:7" ht="15.5">
      <c r="A102" s="1121"/>
      <c r="B102" s="1122" t="s">
        <v>426</v>
      </c>
      <c r="C102" s="1091"/>
      <c r="D102" s="1075"/>
      <c r="E102" s="1098"/>
      <c r="F102" s="1117">
        <v>1145</v>
      </c>
    </row>
    <row r="103" spans="1:7" ht="15.5">
      <c r="A103" s="1121"/>
      <c r="B103" s="1122" t="s">
        <v>427</v>
      </c>
      <c r="C103" s="1091"/>
      <c r="D103" s="1075"/>
      <c r="E103" s="1098"/>
      <c r="F103" s="1117">
        <v>244698</v>
      </c>
    </row>
    <row r="104" spans="1:7" ht="15.5">
      <c r="A104" s="1121"/>
      <c r="B104" s="1122" t="s">
        <v>428</v>
      </c>
      <c r="C104" s="1091"/>
      <c r="D104" s="1075"/>
      <c r="E104" s="1098"/>
      <c r="F104" s="1117">
        <v>221496</v>
      </c>
    </row>
    <row r="105" spans="1:7" ht="15.5">
      <c r="A105" s="1121"/>
      <c r="B105" s="1122" t="s">
        <v>710</v>
      </c>
      <c r="C105" s="1091"/>
      <c r="D105" s="1075"/>
      <c r="E105" s="1098"/>
      <c r="F105" s="1117">
        <v>117866</v>
      </c>
    </row>
    <row r="106" spans="1:7" ht="15.5">
      <c r="A106" s="1121"/>
      <c r="B106" s="1073" t="s">
        <v>420</v>
      </c>
      <c r="C106" s="1091"/>
      <c r="D106" s="1075">
        <v>0</v>
      </c>
      <c r="E106" s="1098"/>
      <c r="F106" s="1117"/>
    </row>
    <row r="107" spans="1:7" ht="15.5">
      <c r="A107" s="1121"/>
      <c r="B107" s="1122" t="str">
        <f>'Trial Combine 19'!B102</f>
        <v>DAWOOD ENGINEERING PVT LTD</v>
      </c>
      <c r="C107" s="1091"/>
      <c r="D107" s="1075">
        <f>'Trial Combine 19'!I102</f>
        <v>0</v>
      </c>
      <c r="E107" s="1098"/>
      <c r="F107" s="1117"/>
    </row>
    <row r="108" spans="1:7" ht="15.5">
      <c r="A108" s="1121"/>
      <c r="B108" s="1122" t="str">
        <f>'Trial Combine 19'!B103</f>
        <v>DELTA INTERNATIONAL PVT LTD</v>
      </c>
      <c r="C108" s="1091"/>
      <c r="D108" s="1075"/>
      <c r="E108" s="1098"/>
      <c r="F108" s="1117"/>
    </row>
    <row r="109" spans="1:7" ht="25">
      <c r="A109" s="1121"/>
      <c r="B109" s="1122" t="s">
        <v>432</v>
      </c>
      <c r="C109" s="1091"/>
      <c r="D109" s="1075">
        <f>'Trial Combine 19'!I103</f>
        <v>0</v>
      </c>
      <c r="E109" s="1098"/>
      <c r="F109" s="1117">
        <v>38500</v>
      </c>
    </row>
    <row r="110" spans="1:7" ht="15.5">
      <c r="A110" s="1084" t="s">
        <v>95</v>
      </c>
      <c r="B110" s="1089" t="s">
        <v>96</v>
      </c>
      <c r="C110" s="1091"/>
      <c r="D110" s="1081">
        <f>'Trial Combine 19'!I106</f>
        <v>0</v>
      </c>
      <c r="E110" s="1105"/>
      <c r="F110" s="1117">
        <v>350725</v>
      </c>
    </row>
    <row r="111" spans="1:7" ht="15.5">
      <c r="A111" s="1084"/>
      <c r="B111" s="1089" t="s">
        <v>434</v>
      </c>
      <c r="C111" s="1091"/>
      <c r="D111" s="1081">
        <f>'Trial Combine 19'!I107</f>
        <v>0</v>
      </c>
      <c r="E111" s="1105"/>
      <c r="F111" s="1117"/>
    </row>
    <row r="112" spans="1:7" ht="15.5">
      <c r="A112" s="1084"/>
      <c r="B112" s="1122" t="s">
        <v>437</v>
      </c>
      <c r="C112" s="1091"/>
      <c r="D112" s="1081">
        <v>0</v>
      </c>
      <c r="E112" s="1105"/>
      <c r="F112" s="1117">
        <v>133316</v>
      </c>
    </row>
    <row r="113" spans="1:7" ht="15.5">
      <c r="A113" s="1084"/>
      <c r="B113" s="1122" t="s">
        <v>438</v>
      </c>
      <c r="C113" s="1091"/>
      <c r="D113" s="1081"/>
      <c r="E113" s="1105"/>
      <c r="F113" s="1117">
        <v>33990</v>
      </c>
    </row>
    <row r="114" spans="1:7" ht="15.5">
      <c r="A114" s="1084"/>
      <c r="B114" s="1122"/>
      <c r="C114" s="1091"/>
      <c r="D114" s="1081">
        <v>0</v>
      </c>
      <c r="E114" s="1105"/>
      <c r="F114" s="1117"/>
    </row>
    <row r="115" spans="1:7" ht="15.5">
      <c r="A115" s="1084" t="s">
        <v>435</v>
      </c>
      <c r="B115" s="1089" t="s">
        <v>436</v>
      </c>
      <c r="C115" s="1091"/>
      <c r="D115" s="1081">
        <f>'Trial Combine 19'!I109</f>
        <v>0</v>
      </c>
      <c r="E115" s="1105"/>
      <c r="F115" s="1117">
        <v>40338</v>
      </c>
      <c r="G115">
        <v>28475</v>
      </c>
    </row>
    <row r="116" spans="1:7" ht="15.5">
      <c r="A116" s="1084"/>
      <c r="B116" s="1089" t="s">
        <v>439</v>
      </c>
      <c r="C116" s="1091"/>
      <c r="D116" s="1081"/>
      <c r="E116" s="1105"/>
      <c r="F116" s="1117">
        <v>5000</v>
      </c>
    </row>
    <row r="117" spans="1:7" ht="31">
      <c r="A117" s="1084" t="s">
        <v>440</v>
      </c>
      <c r="B117" s="1089" t="s">
        <v>441</v>
      </c>
      <c r="C117" s="1091"/>
      <c r="D117" s="1081">
        <f>'Trial Combine 19'!I113</f>
        <v>0</v>
      </c>
      <c r="E117" s="1105"/>
      <c r="F117" s="1117">
        <v>40191</v>
      </c>
      <c r="G117">
        <v>3632</v>
      </c>
    </row>
    <row r="118" spans="1:7" ht="31">
      <c r="A118" s="1084" t="s">
        <v>442</v>
      </c>
      <c r="B118" s="1089" t="s">
        <v>443</v>
      </c>
      <c r="C118" s="1091"/>
      <c r="D118" s="1081">
        <v>0</v>
      </c>
      <c r="E118" s="1105"/>
      <c r="F118" s="1117">
        <v>17083</v>
      </c>
    </row>
    <row r="119" spans="1:7" ht="15.5">
      <c r="A119" s="1084"/>
      <c r="B119" s="1089" t="s">
        <v>711</v>
      </c>
      <c r="C119" s="1091"/>
      <c r="D119" s="1081">
        <f>'Trial Combine 19'!I115</f>
        <v>0</v>
      </c>
      <c r="E119" s="1105"/>
      <c r="F119" s="1117"/>
    </row>
    <row r="120" spans="1:7" ht="15.5">
      <c r="A120" s="1084"/>
      <c r="B120" s="1089" t="s">
        <v>446</v>
      </c>
      <c r="C120" s="1091"/>
      <c r="D120" s="1081">
        <v>0</v>
      </c>
      <c r="E120" s="1105"/>
      <c r="F120" s="1117"/>
    </row>
    <row r="121" spans="1:7" ht="15.5">
      <c r="A121" s="1084"/>
      <c r="B121" s="1122" t="s">
        <v>445</v>
      </c>
      <c r="C121" s="1091"/>
      <c r="D121" s="1081">
        <v>0</v>
      </c>
      <c r="E121" s="1105"/>
      <c r="F121" s="1117">
        <v>132110</v>
      </c>
    </row>
    <row r="122" spans="1:7" ht="31">
      <c r="A122" s="1084" t="s">
        <v>447</v>
      </c>
      <c r="B122" s="1089" t="s">
        <v>448</v>
      </c>
      <c r="C122" s="1091"/>
      <c r="D122" s="1081">
        <f>'Trial Combine 19'!I118</f>
        <v>0</v>
      </c>
      <c r="E122" s="1105"/>
      <c r="F122" s="1117">
        <v>1784379</v>
      </c>
    </row>
    <row r="123" spans="1:7" ht="15.5">
      <c r="A123" s="1084"/>
      <c r="B123" s="1123" t="str">
        <f>'Trial Combine 19'!B120</f>
        <v>HAFIZ TANNERY</v>
      </c>
      <c r="C123" s="1091"/>
      <c r="D123" s="1081">
        <f>'Trial Combine 19'!I120</f>
        <v>0</v>
      </c>
      <c r="E123" s="1105"/>
      <c r="F123" s="1117"/>
    </row>
    <row r="124" spans="1:7" ht="15.5">
      <c r="A124" s="1084"/>
      <c r="B124" s="1122" t="s">
        <v>452</v>
      </c>
      <c r="C124" s="1091"/>
      <c r="D124" s="1081"/>
      <c r="E124" s="1105"/>
      <c r="F124" s="1117">
        <v>5000</v>
      </c>
    </row>
    <row r="125" spans="1:7" ht="15.5">
      <c r="A125" s="1084" t="s">
        <v>458</v>
      </c>
      <c r="B125" s="1089" t="s">
        <v>459</v>
      </c>
      <c r="C125" s="1091"/>
      <c r="D125" s="1081">
        <f>'Trial Combine 19'!I126</f>
        <v>0</v>
      </c>
      <c r="E125" s="1105"/>
      <c r="F125" s="1117">
        <v>133375</v>
      </c>
      <c r="G125">
        <v>350725</v>
      </c>
    </row>
    <row r="126" spans="1:7" ht="15.5">
      <c r="A126" s="1084"/>
      <c r="B126" s="1123" t="str">
        <f>'Trial Combine 19'!B124</f>
        <v>INNOVATIVE EQUIPMENT</v>
      </c>
      <c r="C126" s="1091"/>
      <c r="D126" s="1081">
        <f>'Trial Combine 19'!I124</f>
        <v>0</v>
      </c>
      <c r="E126" s="1105"/>
      <c r="F126" s="1117"/>
    </row>
    <row r="127" spans="1:7" ht="15.5">
      <c r="A127" s="1084"/>
      <c r="B127" s="1122" t="s">
        <v>460</v>
      </c>
      <c r="C127" s="1091"/>
      <c r="D127" s="1081">
        <f>'Trial Combine 19'!I127</f>
        <v>0</v>
      </c>
      <c r="E127" s="1105"/>
      <c r="F127" s="1117">
        <v>37200</v>
      </c>
    </row>
    <row r="128" spans="1:7" ht="15.5">
      <c r="A128" s="1084"/>
      <c r="B128" s="1122" t="str">
        <f>'Trial Combine 19'!B125</f>
        <v>INTERNATIONAL BUSINESS LINES</v>
      </c>
      <c r="C128" s="1091"/>
      <c r="D128" s="1081">
        <f>'Trial Combine 19'!I125</f>
        <v>0</v>
      </c>
      <c r="E128" s="1105"/>
      <c r="F128" s="1117"/>
    </row>
    <row r="129" spans="1:7" ht="15.5">
      <c r="A129" s="1084" t="s">
        <v>463</v>
      </c>
      <c r="B129" s="1089" t="s">
        <v>464</v>
      </c>
      <c r="C129" s="1091"/>
      <c r="D129" s="1081">
        <v>0</v>
      </c>
      <c r="E129" s="1105"/>
      <c r="F129" s="1117"/>
      <c r="G129">
        <v>166411.95000000001</v>
      </c>
    </row>
    <row r="130" spans="1:7" ht="15.5">
      <c r="A130" s="1084" t="s">
        <v>467</v>
      </c>
      <c r="B130" s="1089" t="s">
        <v>468</v>
      </c>
      <c r="C130" s="1091"/>
      <c r="D130" s="1081">
        <f>'Trial Combine 19'!I132</f>
        <v>0</v>
      </c>
      <c r="E130" s="1105"/>
      <c r="F130" s="1117">
        <v>58321</v>
      </c>
      <c r="G130">
        <v>40191</v>
      </c>
    </row>
    <row r="131" spans="1:7" ht="31">
      <c r="A131" s="1084"/>
      <c r="B131" s="1089" t="s">
        <v>469</v>
      </c>
      <c r="C131" s="1091"/>
      <c r="D131" s="1081">
        <f>'Trial Combine 19'!I133</f>
        <v>0</v>
      </c>
      <c r="E131" s="1105"/>
      <c r="F131" s="1117"/>
    </row>
    <row r="132" spans="1:7" ht="15.5">
      <c r="A132" s="1084" t="s">
        <v>470</v>
      </c>
      <c r="B132" s="1089" t="s">
        <v>471</v>
      </c>
      <c r="C132" s="1091"/>
      <c r="D132" s="1081">
        <f>'Trial Combine 19'!I134</f>
        <v>0</v>
      </c>
      <c r="E132" s="1105"/>
      <c r="F132" s="1117">
        <v>488318</v>
      </c>
      <c r="G132">
        <v>395350.34</v>
      </c>
    </row>
    <row r="133" spans="1:7" ht="31">
      <c r="A133" s="1084"/>
      <c r="B133" s="1089" t="str">
        <f>'Trial Combine 19'!B135</f>
        <v>L T ENGINEERING AND TRADE SERVICES</v>
      </c>
      <c r="C133" s="1091"/>
      <c r="D133" s="1081">
        <f>'Trial Combine 19'!I135</f>
        <v>0</v>
      </c>
      <c r="E133" s="1105"/>
      <c r="F133" s="1117"/>
    </row>
    <row r="134" spans="1:7" ht="15.5">
      <c r="A134" s="1084"/>
      <c r="B134" s="1089" t="s">
        <v>473</v>
      </c>
      <c r="C134" s="1091"/>
      <c r="D134" s="1081">
        <f>'Trial Combine 19'!I136</f>
        <v>0</v>
      </c>
      <c r="E134" s="1105"/>
      <c r="F134" s="1117">
        <v>246100</v>
      </c>
    </row>
    <row r="135" spans="1:7" ht="15.5">
      <c r="A135" s="1084"/>
      <c r="B135" s="1089" t="s">
        <v>476</v>
      </c>
      <c r="C135" s="1091"/>
      <c r="D135" s="1081">
        <f>'Trial Combine 19'!I138</f>
        <v>0</v>
      </c>
      <c r="E135" s="1105"/>
      <c r="F135" s="1117">
        <v>96300</v>
      </c>
    </row>
    <row r="136" spans="1:7" ht="15.5">
      <c r="A136" s="1084"/>
      <c r="B136" s="1122" t="s">
        <v>475</v>
      </c>
      <c r="C136" s="1091"/>
      <c r="D136" s="1081">
        <f>'Trial Combine 19'!I137</f>
        <v>0</v>
      </c>
      <c r="E136" s="1105"/>
      <c r="F136" s="1117">
        <v>131770</v>
      </c>
    </row>
    <row r="137" spans="1:7" ht="15.5">
      <c r="A137" s="1084" t="s">
        <v>120</v>
      </c>
      <c r="B137" s="1089" t="s">
        <v>121</v>
      </c>
      <c r="C137" s="1091"/>
      <c r="D137" s="1081">
        <f>'Trial Combine 19'!I139</f>
        <v>0</v>
      </c>
      <c r="E137" s="1105"/>
      <c r="F137" s="1117">
        <v>19000</v>
      </c>
      <c r="G137">
        <v>140937.79999999999</v>
      </c>
    </row>
    <row r="138" spans="1:7" ht="15.5">
      <c r="A138" s="1084" t="s">
        <v>126</v>
      </c>
      <c r="B138" s="1089" t="s">
        <v>127</v>
      </c>
      <c r="C138" s="1091"/>
      <c r="D138" s="1081">
        <f>'Trial Combine 19'!I141</f>
        <v>0</v>
      </c>
      <c r="E138" s="1105"/>
      <c r="F138" s="1117">
        <v>254991</v>
      </c>
      <c r="G138">
        <v>1033239.24</v>
      </c>
    </row>
    <row r="139" spans="1:7" ht="31">
      <c r="A139" s="1084" t="s">
        <v>478</v>
      </c>
      <c r="B139" s="1089" t="s">
        <v>479</v>
      </c>
      <c r="C139" s="1091"/>
      <c r="D139" s="1081">
        <v>0</v>
      </c>
      <c r="E139" s="1105"/>
      <c r="F139" s="1117"/>
      <c r="G139">
        <v>6360</v>
      </c>
    </row>
    <row r="140" spans="1:7" ht="15.5">
      <c r="A140" s="1084"/>
      <c r="B140" s="1123" t="str">
        <f>'Trial Combine 19'!B146</f>
        <v>MRS MOORAJ</v>
      </c>
      <c r="C140" s="1091"/>
      <c r="D140" s="1081">
        <f>'Trial Combine 19'!I146</f>
        <v>0</v>
      </c>
      <c r="E140" s="1105"/>
      <c r="F140" s="1117"/>
    </row>
    <row r="141" spans="1:7" ht="15.5">
      <c r="A141" s="1084"/>
      <c r="B141" s="1123" t="str">
        <f>'Trial Combine 19'!B148</f>
        <v>MS ZARMEE</v>
      </c>
      <c r="C141" s="1091"/>
      <c r="D141" s="1081">
        <f>'Trial Combine 19'!I148</f>
        <v>0</v>
      </c>
      <c r="E141" s="1105"/>
      <c r="F141" s="1117"/>
    </row>
    <row r="142" spans="1:7" ht="15.5">
      <c r="A142" s="1084"/>
      <c r="B142" s="1123" t="str">
        <f>'Trial Combine 19'!B149</f>
        <v>MS APPARELS</v>
      </c>
      <c r="C142" s="1091"/>
      <c r="D142" s="1081">
        <f>'Trial Combine 19'!I149</f>
        <v>0</v>
      </c>
      <c r="E142" s="1105"/>
      <c r="F142" s="1117"/>
    </row>
    <row r="143" spans="1:7" ht="15.5">
      <c r="A143" s="1084"/>
      <c r="B143" s="1122" t="s">
        <v>480</v>
      </c>
      <c r="C143" s="1091"/>
      <c r="D143" s="1081"/>
      <c r="E143" s="1105"/>
      <c r="F143" s="1117">
        <v>5500</v>
      </c>
    </row>
    <row r="144" spans="1:7" ht="15.5">
      <c r="A144" s="1084" t="s">
        <v>491</v>
      </c>
      <c r="B144" s="1089" t="s">
        <v>483</v>
      </c>
      <c r="C144" s="1091"/>
      <c r="D144" s="1081">
        <f>'Trial Combine 19'!I147</f>
        <v>0</v>
      </c>
      <c r="E144" s="1105"/>
      <c r="F144" s="1117">
        <v>95429</v>
      </c>
    </row>
    <row r="145" spans="1:7" ht="15.5">
      <c r="A145" s="1084"/>
      <c r="B145" s="1122" t="s">
        <v>494</v>
      </c>
      <c r="C145" s="1091"/>
      <c r="D145" s="1081">
        <f>'Trial Combine 19'!I156</f>
        <v>0</v>
      </c>
      <c r="E145" s="1105"/>
      <c r="F145" s="1117">
        <v>5000</v>
      </c>
    </row>
    <row r="146" spans="1:7" ht="15.5">
      <c r="A146" s="1084" t="s">
        <v>495</v>
      </c>
      <c r="B146" s="1089" t="s">
        <v>496</v>
      </c>
      <c r="C146" s="1091"/>
      <c r="D146" s="1081">
        <f>'Trial Combine 19'!I157</f>
        <v>0</v>
      </c>
      <c r="E146" s="1105"/>
      <c r="F146" s="1117">
        <v>108884</v>
      </c>
    </row>
    <row r="147" spans="1:7" ht="15.5">
      <c r="A147" s="1084"/>
      <c r="B147" s="1089" t="str">
        <f>'Trial Combine 19'!B158</f>
        <v>OLEOCORP PVT LTD</v>
      </c>
      <c r="C147" s="1091"/>
      <c r="D147" s="1081">
        <f>'Trial Combine 19'!I158</f>
        <v>0</v>
      </c>
      <c r="E147" s="1105"/>
      <c r="F147" s="1117"/>
    </row>
    <row r="148" spans="1:7" ht="15.5">
      <c r="A148" s="1084"/>
      <c r="B148" s="1089" t="s">
        <v>499</v>
      </c>
      <c r="C148" s="1091"/>
      <c r="D148" s="1081">
        <v>0</v>
      </c>
      <c r="E148" s="1105"/>
      <c r="F148" s="1117"/>
    </row>
    <row r="149" spans="1:7" ht="15.5">
      <c r="A149" s="1084"/>
      <c r="B149" s="1089" t="str">
        <f>'Trial Combine 19'!B162</f>
        <v>PHARMEVO PVT LTD</v>
      </c>
      <c r="C149" s="1091"/>
      <c r="D149" s="1081">
        <f>'Trial Combine 19'!I162</f>
        <v>0</v>
      </c>
      <c r="E149" s="1105"/>
      <c r="F149" s="1117"/>
    </row>
    <row r="150" spans="1:7" ht="15.5">
      <c r="A150" s="1084"/>
      <c r="B150" s="1089" t="s">
        <v>500</v>
      </c>
      <c r="C150" s="1091"/>
      <c r="D150" s="1081">
        <v>0</v>
      </c>
      <c r="E150" s="1105"/>
      <c r="F150" s="1117"/>
    </row>
    <row r="151" spans="1:7" ht="31">
      <c r="A151" s="1084"/>
      <c r="B151" s="1089" t="s">
        <v>504</v>
      </c>
      <c r="C151" s="1091"/>
      <c r="D151" s="1081">
        <f>'Trial Combine 19'!I167</f>
        <v>0</v>
      </c>
      <c r="E151" s="1105"/>
      <c r="F151" s="1117">
        <v>47450</v>
      </c>
    </row>
    <row r="152" spans="1:7" ht="15.5">
      <c r="A152" s="1084"/>
      <c r="B152" s="1122" t="s">
        <v>506</v>
      </c>
      <c r="C152" s="1091"/>
      <c r="D152" s="1081">
        <f>'Trial Combine 19'!I168</f>
        <v>0</v>
      </c>
      <c r="E152" s="1105"/>
      <c r="F152" s="1117">
        <v>6840</v>
      </c>
    </row>
    <row r="153" spans="1:7" ht="15.5">
      <c r="A153" s="1084" t="s">
        <v>144</v>
      </c>
      <c r="B153" s="1089" t="s">
        <v>145</v>
      </c>
      <c r="C153" s="1091"/>
      <c r="D153" s="1081">
        <f>'Trial Combine 19'!I171</f>
        <v>0</v>
      </c>
      <c r="E153" s="1105"/>
      <c r="F153" s="1117">
        <v>52223</v>
      </c>
    </row>
    <row r="154" spans="1:7" ht="15.5">
      <c r="A154" s="1084"/>
      <c r="B154" s="1089" t="s">
        <v>509</v>
      </c>
      <c r="C154" s="1091"/>
      <c r="D154" s="1081">
        <v>0</v>
      </c>
      <c r="E154" s="1105"/>
      <c r="F154" s="1117"/>
    </row>
    <row r="155" spans="1:7" ht="15.5">
      <c r="A155" s="1084"/>
      <c r="B155" s="1089" t="s">
        <v>515</v>
      </c>
      <c r="C155" s="1091"/>
      <c r="D155" s="1081">
        <f>'Trial Combine 19'!I177</f>
        <v>0</v>
      </c>
      <c r="E155" s="1105"/>
      <c r="F155" s="1117">
        <v>80000</v>
      </c>
    </row>
    <row r="156" spans="1:7" ht="15.5">
      <c r="A156" s="1084" t="s">
        <v>522</v>
      </c>
      <c r="B156" s="1089" t="s">
        <v>517</v>
      </c>
      <c r="C156" s="1091"/>
      <c r="D156" s="1081">
        <f>'Trial Combine 19'!I179</f>
        <v>0</v>
      </c>
      <c r="E156" s="1105"/>
      <c r="F156" s="1117">
        <v>893888</v>
      </c>
      <c r="G156">
        <v>120522</v>
      </c>
    </row>
    <row r="157" spans="1:7" ht="15.5">
      <c r="A157" s="1084"/>
      <c r="B157" s="1122" t="s">
        <v>516</v>
      </c>
      <c r="C157" s="1091"/>
      <c r="D157" s="1081"/>
      <c r="E157" s="1105"/>
      <c r="F157" s="1117">
        <v>39440</v>
      </c>
    </row>
    <row r="158" spans="1:7" ht="15.5">
      <c r="A158" s="1084"/>
      <c r="B158" s="1089" t="s">
        <v>525</v>
      </c>
      <c r="C158" s="1091"/>
      <c r="D158" s="1081">
        <v>0</v>
      </c>
      <c r="E158" s="1105"/>
      <c r="F158" s="1117"/>
    </row>
    <row r="159" spans="1:7" ht="15.5">
      <c r="A159" s="1084"/>
      <c r="B159" s="1089" t="s">
        <v>529</v>
      </c>
      <c r="C159" s="1091"/>
      <c r="D159" s="1081">
        <f>'Trial Combine 19'!I188</f>
        <v>0</v>
      </c>
      <c r="E159" s="1105"/>
      <c r="F159" s="1117"/>
    </row>
    <row r="160" spans="1:7" ht="15.5">
      <c r="A160" s="1084" t="s">
        <v>531</v>
      </c>
      <c r="B160" s="1074" t="s">
        <v>532</v>
      </c>
      <c r="C160" s="1074"/>
      <c r="D160" s="1081">
        <f>'Trial Combine 19'!I191</f>
        <v>0</v>
      </c>
      <c r="E160" s="1105"/>
      <c r="F160" s="1117">
        <v>142071</v>
      </c>
      <c r="G160">
        <v>19610</v>
      </c>
    </row>
    <row r="161" spans="1:7" ht="15.5">
      <c r="A161" s="1084" t="s">
        <v>533</v>
      </c>
      <c r="B161" s="1074" t="s">
        <v>534</v>
      </c>
      <c r="C161" s="1074"/>
      <c r="D161" s="1081">
        <f>'Trial Combine 19'!I192</f>
        <v>0</v>
      </c>
      <c r="E161" s="1105"/>
      <c r="F161" s="1117">
        <v>457852</v>
      </c>
      <c r="G161">
        <v>254991</v>
      </c>
    </row>
    <row r="162" spans="1:7" ht="15.5">
      <c r="A162" s="1084"/>
      <c r="B162" s="1074"/>
      <c r="C162" s="1074"/>
      <c r="D162" s="1081"/>
      <c r="E162" s="1105"/>
      <c r="F162" s="1117"/>
      <c r="G162">
        <v>120110.7</v>
      </c>
    </row>
    <row r="163" spans="1:7" ht="15.5">
      <c r="A163" s="1084"/>
      <c r="B163" s="1074"/>
      <c r="C163" s="1074"/>
      <c r="D163" s="1081">
        <f>SUM(D89:D162)</f>
        <v>0</v>
      </c>
      <c r="E163" s="1105"/>
      <c r="F163" s="1129">
        <f>SUM(F89:F162)</f>
        <v>7365848</v>
      </c>
      <c r="G163">
        <v>9221.07</v>
      </c>
    </row>
    <row r="164" spans="1:7" ht="15.5">
      <c r="A164" s="1084"/>
      <c r="B164" s="1124" t="s">
        <v>712</v>
      </c>
      <c r="C164" s="1074"/>
      <c r="D164" s="1081"/>
      <c r="E164" s="1105"/>
      <c r="F164" s="1117"/>
    </row>
    <row r="165" spans="1:7" ht="15.5">
      <c r="A165" s="1084"/>
      <c r="B165" s="1074"/>
      <c r="C165" s="1074"/>
      <c r="D165" s="1081"/>
      <c r="E165" s="1105"/>
      <c r="F165" s="1117"/>
    </row>
    <row r="166" spans="1:7" ht="15.5">
      <c r="A166" s="1084" t="s">
        <v>418</v>
      </c>
      <c r="B166" s="1074" t="s">
        <v>419</v>
      </c>
      <c r="C166" s="1074"/>
      <c r="D166" s="1081">
        <f>'Trial Combine 19'!I93</f>
        <v>0</v>
      </c>
      <c r="E166" s="1105"/>
      <c r="F166" s="1117">
        <v>69221</v>
      </c>
    </row>
    <row r="167" spans="1:7" ht="15.5">
      <c r="A167" s="1084" t="s">
        <v>87</v>
      </c>
      <c r="B167" s="1074" t="s">
        <v>88</v>
      </c>
      <c r="C167" s="1074"/>
      <c r="D167" s="1081">
        <f>'Trial Combine 19'!I101</f>
        <v>0</v>
      </c>
      <c r="E167" s="1105"/>
      <c r="F167" s="1117">
        <v>104063</v>
      </c>
      <c r="G167">
        <v>95428.83</v>
      </c>
    </row>
    <row r="168" spans="1:7" ht="15.5">
      <c r="A168" s="1084" t="s">
        <v>128</v>
      </c>
      <c r="B168" s="1074" t="s">
        <v>129</v>
      </c>
      <c r="C168" s="1074"/>
      <c r="D168" s="1081">
        <f>'Trial Combine 19'!I143</f>
        <v>0</v>
      </c>
      <c r="E168" s="1105"/>
      <c r="F168" s="1117">
        <v>9221</v>
      </c>
    </row>
    <row r="169" spans="1:7" ht="15.5">
      <c r="A169" s="1084" t="s">
        <v>134</v>
      </c>
      <c r="B169" s="1074" t="s">
        <v>135</v>
      </c>
      <c r="C169" s="1074"/>
      <c r="D169" s="1081">
        <f>'Trial Combine 19'!I166</f>
        <v>0</v>
      </c>
      <c r="E169" s="1105"/>
      <c r="F169" s="1117">
        <v>8822</v>
      </c>
      <c r="G169">
        <v>14073.43</v>
      </c>
    </row>
    <row r="170" spans="1:7" ht="15.5">
      <c r="A170" s="1084" t="s">
        <v>154</v>
      </c>
      <c r="B170" s="1074" t="s">
        <v>155</v>
      </c>
      <c r="C170" s="1074"/>
      <c r="D170" s="1081">
        <v>0</v>
      </c>
      <c r="E170" s="1105"/>
      <c r="F170" s="1117"/>
      <c r="G170">
        <v>7000</v>
      </c>
    </row>
    <row r="171" spans="1:7" ht="15.5">
      <c r="A171" s="1084" t="s">
        <v>89</v>
      </c>
      <c r="B171" s="1074" t="s">
        <v>90</v>
      </c>
      <c r="C171" s="1074"/>
      <c r="D171" s="1081">
        <v>0</v>
      </c>
      <c r="E171" s="1105"/>
      <c r="F171" s="1117"/>
      <c r="G171">
        <v>1020</v>
      </c>
    </row>
    <row r="172" spans="1:7" ht="15.5">
      <c r="A172" s="1084"/>
      <c r="B172" s="1074" t="s">
        <v>449</v>
      </c>
      <c r="C172" s="1074"/>
      <c r="D172" s="1081">
        <f>'Trial Combine 19'!I119</f>
        <v>0</v>
      </c>
      <c r="E172" s="1105"/>
      <c r="F172" s="1117">
        <v>7140</v>
      </c>
    </row>
    <row r="173" spans="1:7" ht="15.5">
      <c r="A173" s="1084"/>
      <c r="B173" s="1074" t="s">
        <v>111</v>
      </c>
      <c r="C173" s="1074"/>
      <c r="D173" s="1081">
        <v>0</v>
      </c>
      <c r="E173" s="1105"/>
      <c r="F173" s="1117"/>
    </row>
    <row r="174" spans="1:7" ht="15.5">
      <c r="A174" s="1084"/>
      <c r="B174" s="1074" t="str">
        <f>'Trial Combine 19'!B152</f>
        <v>MIQ LOGISTICS INDIA PVT LTD</v>
      </c>
      <c r="C174" s="1074"/>
      <c r="D174" s="1081">
        <f>'Trial Combine 19'!I152</f>
        <v>0</v>
      </c>
      <c r="E174" s="1105"/>
      <c r="F174" s="1117"/>
    </row>
    <row r="175" spans="1:7" ht="15.5">
      <c r="A175" s="1084"/>
      <c r="B175" s="1122" t="s">
        <v>481</v>
      </c>
      <c r="C175" s="1074"/>
      <c r="D175" s="1081">
        <v>0</v>
      </c>
      <c r="E175" s="1105"/>
      <c r="F175" s="1117">
        <v>48798</v>
      </c>
    </row>
    <row r="176" spans="1:7" ht="15.5">
      <c r="A176" s="1084"/>
      <c r="B176" s="1122" t="s">
        <v>131</v>
      </c>
      <c r="C176" s="1074"/>
      <c r="D176" s="1081">
        <f>'Trial Combine 19'!I163</f>
        <v>0</v>
      </c>
      <c r="E176" s="1105"/>
      <c r="F176" s="1117">
        <v>56940</v>
      </c>
    </row>
    <row r="177" spans="1:8" ht="15.5">
      <c r="A177" s="1084"/>
      <c r="B177" s="1122" t="s">
        <v>513</v>
      </c>
      <c r="C177" s="1074"/>
      <c r="D177" s="1081">
        <v>0</v>
      </c>
      <c r="E177" s="1105"/>
      <c r="F177" s="1117">
        <v>233138</v>
      </c>
    </row>
    <row r="178" spans="1:8" ht="15.5">
      <c r="A178" s="1084"/>
      <c r="B178" s="1122" t="str">
        <f>'Trial Combine 19'!B174</f>
        <v>S.A.H ENTERPRISES INC</v>
      </c>
      <c r="C178" s="1074"/>
      <c r="D178" s="1081">
        <f>'Trial Combine 19'!I174</f>
        <v>0</v>
      </c>
      <c r="E178" s="1105"/>
      <c r="F178" s="1117"/>
    </row>
    <row r="179" spans="1:8" ht="15.5">
      <c r="A179" s="1084"/>
      <c r="B179" s="1122" t="str">
        <f>'Trial Combine 19'!B175</f>
        <v>SAFETY FIRST</v>
      </c>
      <c r="C179" s="1074"/>
      <c r="D179" s="1081">
        <f>'Trial Combine 19'!I175</f>
        <v>0</v>
      </c>
      <c r="E179" s="1105"/>
      <c r="F179" s="1117"/>
    </row>
    <row r="180" spans="1:8" ht="15.5">
      <c r="A180" s="1084"/>
      <c r="B180" s="1122" t="s">
        <v>155</v>
      </c>
      <c r="C180" s="1074"/>
      <c r="D180" s="1081"/>
      <c r="E180" s="1105"/>
      <c r="F180" s="1117">
        <v>8439</v>
      </c>
    </row>
    <row r="181" spans="1:8" ht="15.5">
      <c r="A181" s="1084"/>
      <c r="B181" s="1122" t="s">
        <v>530</v>
      </c>
      <c r="C181" s="1074"/>
      <c r="D181" s="1081"/>
      <c r="E181" s="1105"/>
      <c r="F181" s="1117">
        <v>40850</v>
      </c>
    </row>
    <row r="182" spans="1:8" ht="15.5">
      <c r="A182" s="1084"/>
      <c r="B182" s="1122" t="s">
        <v>535</v>
      </c>
      <c r="C182" s="1074"/>
      <c r="D182" s="1081">
        <f>'Trial Combine 19'!I193</f>
        <v>0</v>
      </c>
      <c r="E182" s="1105"/>
      <c r="F182" s="1117">
        <v>57958</v>
      </c>
    </row>
    <row r="183" spans="1:8" ht="15.5">
      <c r="A183" s="1084"/>
      <c r="B183" s="1122" t="str">
        <f>'Trial Combine 19'!B121</f>
        <v>HINUCON</v>
      </c>
      <c r="C183" s="1074"/>
      <c r="D183" s="1081">
        <f>'Trial Combine 19'!I121</f>
        <v>0</v>
      </c>
      <c r="E183" s="1105"/>
      <c r="F183" s="1117"/>
    </row>
    <row r="184" spans="1:8" ht="15.5">
      <c r="A184" s="1084"/>
      <c r="B184" s="1122" t="str">
        <f>'Trial Combine 19'!B170</f>
        <v>RUSTAM TOWEL PVT LTD</v>
      </c>
      <c r="C184" s="1074"/>
      <c r="D184" s="1081">
        <f>'Trial Combine 19'!I170</f>
        <v>0</v>
      </c>
      <c r="E184" s="1105"/>
      <c r="F184" s="1117"/>
    </row>
    <row r="185" spans="1:8" ht="15.5">
      <c r="A185" s="1084"/>
      <c r="B185" s="1122" t="str">
        <f>'Trial Combine 19'!B185</f>
        <v>TLS  LOGISTICS AS</v>
      </c>
      <c r="C185" s="1074"/>
      <c r="D185" s="1081">
        <f>'Trial Combine 19'!I185</f>
        <v>0</v>
      </c>
      <c r="E185" s="1105"/>
      <c r="F185" s="1117"/>
    </row>
    <row r="186" spans="1:8" ht="15.5">
      <c r="A186" s="1084"/>
      <c r="B186" s="1122" t="str">
        <f>'Trial Combine 19'!B186</f>
        <v>TRANSCOMA GLOBAL LOGISTICS</v>
      </c>
      <c r="C186" s="1074"/>
      <c r="D186" s="1081">
        <f>'Trial Combine 19'!I186</f>
        <v>0</v>
      </c>
      <c r="E186" s="1105"/>
      <c r="F186" s="1117"/>
    </row>
    <row r="187" spans="1:8" ht="15.5">
      <c r="A187" s="1084"/>
      <c r="B187" s="1074"/>
      <c r="C187" s="1074"/>
      <c r="D187" s="1081">
        <f>SUM(D166:D186)</f>
        <v>0</v>
      </c>
      <c r="E187" s="1105"/>
      <c r="F187" s="1129">
        <f>SUM(F166:F184)</f>
        <v>644590</v>
      </c>
    </row>
    <row r="188" spans="1:8" ht="15.5">
      <c r="A188" s="1084"/>
      <c r="B188" s="1074"/>
      <c r="C188" s="1074"/>
      <c r="D188" s="1081"/>
      <c r="E188" s="1105"/>
      <c r="F188" s="1117"/>
      <c r="H188" s="392"/>
    </row>
    <row r="189" spans="1:8" ht="15.5">
      <c r="A189" s="1084"/>
      <c r="B189" s="1074"/>
      <c r="C189" s="1074"/>
      <c r="D189" s="1081"/>
      <c r="E189" s="1105"/>
      <c r="F189" s="1117"/>
      <c r="G189" s="1130" t="e">
        <f>D191-SOFP!#REF!</f>
        <v>#REF!</v>
      </c>
    </row>
    <row r="190" spans="1:8" ht="15.5">
      <c r="A190" s="1084"/>
      <c r="B190" s="1085"/>
      <c r="C190" s="1085"/>
      <c r="D190" s="1081"/>
      <c r="E190" s="1105"/>
      <c r="F190" s="1117"/>
    </row>
    <row r="191" spans="1:8" ht="15.5">
      <c r="A191" s="1404" t="s">
        <v>701</v>
      </c>
      <c r="B191" s="1405"/>
      <c r="C191" s="1087"/>
      <c r="D191" s="1083">
        <f>D163+D187</f>
        <v>0</v>
      </c>
      <c r="E191" s="1111">
        <f>SUM(E89:E156)</f>
        <v>0</v>
      </c>
      <c r="F191" s="1129">
        <f>F187+F163-5</f>
        <v>8010433</v>
      </c>
    </row>
    <row r="192" spans="1:8" ht="15.5">
      <c r="A192" s="1125"/>
      <c r="B192" s="1126"/>
      <c r="C192" s="1127"/>
      <c r="D192" s="1128"/>
      <c r="E192" s="1131"/>
      <c r="F192" s="1112"/>
    </row>
    <row r="193" spans="1:7" ht="15.5">
      <c r="A193" s="1132" t="s">
        <v>704</v>
      </c>
      <c r="B193" s="1068"/>
      <c r="C193" s="1133"/>
      <c r="D193" s="1066"/>
      <c r="E193" s="1065"/>
      <c r="F193" s="1112"/>
    </row>
    <row r="194" spans="1:7" ht="15.5">
      <c r="A194" s="1069" t="s">
        <v>690</v>
      </c>
      <c r="B194" s="1070" t="s">
        <v>691</v>
      </c>
      <c r="C194" s="1070" t="s">
        <v>692</v>
      </c>
      <c r="D194" s="1071">
        <v>2019</v>
      </c>
      <c r="E194" s="1116">
        <v>2015</v>
      </c>
      <c r="F194" s="1112">
        <v>2018</v>
      </c>
      <c r="G194">
        <v>52854.2</v>
      </c>
    </row>
    <row r="195" spans="1:7" ht="15.5">
      <c r="A195" s="1121" t="s">
        <v>537</v>
      </c>
      <c r="B195" s="1073"/>
      <c r="C195" s="1089"/>
      <c r="D195" s="1075">
        <f>'Trial Combine 19'!I207</f>
        <v>0</v>
      </c>
      <c r="E195" s="1098">
        <v>0</v>
      </c>
      <c r="F195" s="1112"/>
    </row>
    <row r="196" spans="1:7" ht="15.5">
      <c r="A196" s="1121" t="s">
        <v>169</v>
      </c>
      <c r="B196" s="1073" t="s">
        <v>538</v>
      </c>
      <c r="C196" s="1089"/>
      <c r="D196" s="1075">
        <f>'Trial Combine 19'!I206</f>
        <v>0</v>
      </c>
      <c r="E196" s="1098">
        <v>0</v>
      </c>
      <c r="F196" s="1117">
        <v>180519</v>
      </c>
      <c r="G196">
        <v>85000</v>
      </c>
    </row>
    <row r="197" spans="1:7" ht="15.5">
      <c r="A197" s="1134"/>
      <c r="B197" s="1073" t="s">
        <v>170</v>
      </c>
      <c r="C197" s="1089"/>
      <c r="D197" s="1081">
        <f>'Trial Combine 19'!I204</f>
        <v>0</v>
      </c>
      <c r="E197" s="1105"/>
      <c r="F197" s="1117">
        <v>223182</v>
      </c>
    </row>
    <row r="198" spans="1:7" ht="15.5">
      <c r="A198" s="1084"/>
      <c r="B198" s="1089"/>
      <c r="C198" s="1089"/>
      <c r="D198" s="1081"/>
      <c r="E198" s="1105"/>
      <c r="F198" s="1112"/>
    </row>
    <row r="199" spans="1:7" ht="15.5">
      <c r="A199" s="1084"/>
      <c r="B199" s="1089"/>
      <c r="C199" s="1089"/>
      <c r="D199" s="1081"/>
      <c r="E199" s="1105"/>
      <c r="F199" s="1112"/>
      <c r="G199">
        <v>893888.3</v>
      </c>
    </row>
    <row r="200" spans="1:7" ht="15.5">
      <c r="A200" s="1084"/>
      <c r="B200" s="1089"/>
      <c r="C200" s="1089"/>
      <c r="D200" s="1081"/>
      <c r="E200" s="1105"/>
      <c r="F200" s="1112"/>
    </row>
    <row r="201" spans="1:7" ht="15.5">
      <c r="A201" s="1084"/>
      <c r="B201" s="1089"/>
      <c r="C201" s="1089"/>
      <c r="D201" s="1081"/>
      <c r="E201" s="1105"/>
      <c r="F201" s="1112"/>
      <c r="G201">
        <v>18540</v>
      </c>
    </row>
    <row r="202" spans="1:7" ht="15.5">
      <c r="A202" s="1084"/>
      <c r="B202" s="1089"/>
      <c r="C202" s="1089"/>
      <c r="D202" s="1081"/>
      <c r="E202" s="1105"/>
      <c r="F202" s="1112"/>
    </row>
    <row r="203" spans="1:7" ht="15.5">
      <c r="A203" s="1084"/>
      <c r="B203" s="1089"/>
      <c r="C203" s="1089"/>
      <c r="D203" s="1081"/>
      <c r="E203" s="1105"/>
      <c r="F203" s="1112"/>
      <c r="G203">
        <v>8439</v>
      </c>
    </row>
    <row r="204" spans="1:7" ht="15.5">
      <c r="A204" s="1084"/>
      <c r="B204" s="1089"/>
      <c r="C204" s="1089"/>
      <c r="D204" s="1081"/>
      <c r="E204" s="1105"/>
      <c r="F204" s="1112"/>
    </row>
    <row r="205" spans="1:7" ht="15.5">
      <c r="A205" s="1084"/>
      <c r="B205" s="1089"/>
      <c r="C205" s="1089"/>
      <c r="D205" s="1081"/>
      <c r="E205" s="1105"/>
      <c r="F205" s="1112"/>
      <c r="G205">
        <v>8000</v>
      </c>
    </row>
    <row r="206" spans="1:7" ht="15.5">
      <c r="A206" s="1084"/>
      <c r="B206" s="1089"/>
      <c r="C206" s="1089"/>
      <c r="D206" s="1081"/>
      <c r="E206" s="1105"/>
      <c r="F206" s="1112"/>
      <c r="G206">
        <v>142071</v>
      </c>
    </row>
    <row r="207" spans="1:7" ht="15.5">
      <c r="A207" s="1084"/>
      <c r="B207" s="1089"/>
      <c r="C207" s="1089"/>
      <c r="D207" s="1081"/>
      <c r="E207" s="1105"/>
      <c r="F207" s="1112"/>
      <c r="G207">
        <v>61487</v>
      </c>
    </row>
    <row r="208" spans="1:7" ht="15.5">
      <c r="A208" s="1084"/>
      <c r="B208" s="1089"/>
      <c r="C208" s="1089"/>
      <c r="D208" s="1081"/>
      <c r="E208" s="1105"/>
      <c r="F208" s="1112"/>
      <c r="G208" s="1138" t="e">
        <f>SUM(G89:G207)</f>
        <v>#REF!</v>
      </c>
    </row>
    <row r="209" spans="1:6" ht="15.5">
      <c r="A209" s="1084"/>
      <c r="B209" s="1074"/>
      <c r="C209" s="1074"/>
      <c r="D209" s="1081"/>
      <c r="E209" s="1105"/>
      <c r="F209" s="1112"/>
    </row>
    <row r="210" spans="1:6" ht="15.5">
      <c r="A210" s="1084"/>
      <c r="B210" s="1074"/>
      <c r="C210" s="1074"/>
      <c r="D210" s="1081"/>
      <c r="E210" s="1105"/>
      <c r="F210" s="1112"/>
    </row>
    <row r="211" spans="1:6" ht="15.5">
      <c r="A211" s="1084"/>
      <c r="B211" s="1085"/>
      <c r="C211" s="1085"/>
      <c r="D211" s="1081"/>
      <c r="E211" s="1105"/>
      <c r="F211" s="1112"/>
    </row>
    <row r="212" spans="1:6" ht="15.5">
      <c r="A212" s="1404" t="s">
        <v>701</v>
      </c>
      <c r="B212" s="1405"/>
      <c r="C212" s="1087"/>
      <c r="D212" s="1083">
        <f>SUM(D195:D211)</f>
        <v>0</v>
      </c>
      <c r="E212" s="1111">
        <f>SUM(E195:E211)</f>
        <v>0</v>
      </c>
      <c r="F212" s="1117">
        <f>SUM(F195:F211)</f>
        <v>403701</v>
      </c>
    </row>
    <row r="213" spans="1:6" ht="15.5">
      <c r="A213" s="1125"/>
      <c r="B213" s="1126"/>
      <c r="C213" s="1127"/>
      <c r="D213" s="1128"/>
      <c r="E213" s="1131"/>
      <c r="F213" s="1112"/>
    </row>
    <row r="214" spans="1:6" ht="15.5">
      <c r="A214" s="1132" t="s">
        <v>705</v>
      </c>
      <c r="B214" s="1068"/>
      <c r="C214" s="1065"/>
      <c r="D214" s="1066"/>
      <c r="E214" s="1065"/>
      <c r="F214" s="1112"/>
    </row>
    <row r="215" spans="1:6" ht="15.5">
      <c r="A215" s="1069" t="s">
        <v>690</v>
      </c>
      <c r="B215" s="1070" t="s">
        <v>691</v>
      </c>
      <c r="C215" s="1070" t="s">
        <v>692</v>
      </c>
      <c r="D215" s="1071">
        <v>2019</v>
      </c>
      <c r="E215" s="1116">
        <v>2015</v>
      </c>
      <c r="F215" s="1112">
        <v>2018</v>
      </c>
    </row>
    <row r="216" spans="1:6" ht="15.75" customHeight="1">
      <c r="A216" s="1135"/>
      <c r="B216" s="1073" t="s">
        <v>713</v>
      </c>
      <c r="C216" s="1089"/>
      <c r="D216" s="1075">
        <f>D310</f>
        <v>0</v>
      </c>
      <c r="E216" s="1098"/>
      <c r="F216" s="1117">
        <v>120000</v>
      </c>
    </row>
    <row r="217" spans="1:6" ht="15.75" customHeight="1">
      <c r="A217" s="1136"/>
      <c r="B217" s="1073" t="s">
        <v>714</v>
      </c>
      <c r="C217" s="1089"/>
      <c r="D217" s="1075">
        <f>D270</f>
        <v>-0.34</v>
      </c>
      <c r="E217" s="1098"/>
      <c r="F217" s="1117">
        <v>138576</v>
      </c>
    </row>
    <row r="218" spans="1:6" ht="15.5">
      <c r="A218" s="1134" t="s">
        <v>384</v>
      </c>
      <c r="B218" s="1073" t="s">
        <v>715</v>
      </c>
      <c r="C218" s="1089"/>
      <c r="D218" s="1075">
        <f>D290</f>
        <v>0</v>
      </c>
      <c r="E218" s="1098"/>
      <c r="F218" s="1117">
        <v>258386</v>
      </c>
    </row>
    <row r="219" spans="1:6" ht="15.5">
      <c r="A219" s="1134"/>
      <c r="B219" s="1137"/>
      <c r="C219" s="1089"/>
      <c r="D219" s="1075"/>
      <c r="E219" s="1098"/>
      <c r="F219" s="1112"/>
    </row>
    <row r="220" spans="1:6" ht="15.5">
      <c r="A220" s="1134"/>
      <c r="B220" s="1137"/>
      <c r="C220" s="1089"/>
      <c r="D220" s="1075"/>
      <c r="E220" s="1098"/>
      <c r="F220" s="1112"/>
    </row>
    <row r="221" spans="1:6" ht="15.5">
      <c r="A221" s="1134"/>
      <c r="B221" s="1137"/>
      <c r="C221" s="1089"/>
      <c r="D221" s="1075"/>
      <c r="E221" s="1098"/>
      <c r="F221" s="1112"/>
    </row>
    <row r="222" spans="1:6" ht="15.5">
      <c r="A222" s="1134"/>
      <c r="B222" s="1137"/>
      <c r="C222" s="1089"/>
      <c r="D222" s="1075"/>
      <c r="E222" s="1098"/>
      <c r="F222" s="1112"/>
    </row>
    <row r="223" spans="1:6" ht="15.5">
      <c r="A223" s="1134"/>
      <c r="B223" s="1137"/>
      <c r="C223" s="1089"/>
      <c r="D223" s="1075"/>
      <c r="E223" s="1098"/>
      <c r="F223" s="1112"/>
    </row>
    <row r="224" spans="1:6" ht="15.5">
      <c r="A224" s="1084"/>
      <c r="B224" s="1089"/>
      <c r="C224" s="1089"/>
      <c r="D224" s="1081"/>
      <c r="E224" s="1105"/>
      <c r="F224" s="1112"/>
    </row>
    <row r="225" spans="1:6" ht="15.5">
      <c r="A225" s="1084"/>
      <c r="B225" s="1089"/>
      <c r="C225" s="1089"/>
      <c r="D225" s="1081"/>
      <c r="E225" s="1105"/>
      <c r="F225" s="1112"/>
    </row>
    <row r="226" spans="1:6" ht="15.5">
      <c r="A226" s="1084"/>
      <c r="B226" s="1089"/>
      <c r="C226" s="1089"/>
      <c r="D226" s="1081"/>
      <c r="E226" s="1105"/>
      <c r="F226" s="1112"/>
    </row>
    <row r="227" spans="1:6" ht="15.5">
      <c r="A227" s="1084"/>
      <c r="B227" s="1089"/>
      <c r="C227" s="1089"/>
      <c r="D227" s="1081"/>
      <c r="E227" s="1105"/>
      <c r="F227" s="1112"/>
    </row>
    <row r="228" spans="1:6" ht="15.5">
      <c r="A228" s="1084"/>
      <c r="B228" s="1089"/>
      <c r="C228" s="1089"/>
      <c r="D228" s="1081"/>
      <c r="E228" s="1105"/>
      <c r="F228" s="1112"/>
    </row>
    <row r="229" spans="1:6" ht="15.5">
      <c r="A229" s="1084"/>
      <c r="B229" s="1089"/>
      <c r="C229" s="1089"/>
      <c r="D229" s="1081"/>
      <c r="E229" s="1105"/>
      <c r="F229" s="1112"/>
    </row>
    <row r="230" spans="1:6" ht="15.5">
      <c r="A230" s="1084"/>
      <c r="B230" s="1089"/>
      <c r="C230" s="1089"/>
      <c r="D230" s="1081"/>
      <c r="E230" s="1105"/>
      <c r="F230" s="1112"/>
    </row>
    <row r="231" spans="1:6" ht="15.5">
      <c r="A231" s="1084"/>
      <c r="B231" s="1089"/>
      <c r="C231" s="1089"/>
      <c r="D231" s="1081"/>
      <c r="E231" s="1105"/>
      <c r="F231" s="1112"/>
    </row>
    <row r="232" spans="1:6" ht="15.5">
      <c r="A232" s="1084"/>
      <c r="B232" s="1074"/>
      <c r="C232" s="1074"/>
      <c r="D232" s="1081"/>
      <c r="E232" s="1105"/>
      <c r="F232" s="1112"/>
    </row>
    <row r="233" spans="1:6" ht="15.5">
      <c r="A233" s="1084"/>
      <c r="B233" s="1074"/>
      <c r="C233" s="1074"/>
      <c r="D233" s="1081"/>
      <c r="E233" s="1105"/>
      <c r="F233" s="1112"/>
    </row>
    <row r="234" spans="1:6" ht="15.5">
      <c r="A234" s="1084"/>
      <c r="B234" s="1074"/>
      <c r="C234" s="1074"/>
      <c r="D234" s="1081"/>
      <c r="E234" s="1105"/>
      <c r="F234" s="1112"/>
    </row>
    <row r="235" spans="1:6" ht="15.5">
      <c r="A235" s="1084"/>
      <c r="B235" s="1074"/>
      <c r="C235" s="1074"/>
      <c r="D235" s="1081"/>
      <c r="E235" s="1105"/>
      <c r="F235" s="1112"/>
    </row>
    <row r="236" spans="1:6" ht="15.5">
      <c r="A236" s="1084"/>
      <c r="B236" s="1074"/>
      <c r="C236" s="1074"/>
      <c r="D236" s="1081"/>
      <c r="E236" s="1105"/>
      <c r="F236" s="1112"/>
    </row>
    <row r="237" spans="1:6" ht="15.5">
      <c r="A237" s="1084"/>
      <c r="B237" s="1074"/>
      <c r="C237" s="1074"/>
      <c r="D237" s="1081"/>
      <c r="E237" s="1105"/>
      <c r="F237" s="1112"/>
    </row>
    <row r="238" spans="1:6" ht="15.5">
      <c r="A238" s="1084"/>
      <c r="B238" s="1074"/>
      <c r="C238" s="1074"/>
      <c r="D238" s="1081"/>
      <c r="E238" s="1105"/>
      <c r="F238" s="1112"/>
    </row>
    <row r="239" spans="1:6" ht="15.5">
      <c r="A239" s="1084"/>
      <c r="B239" s="1074"/>
      <c r="C239" s="1074"/>
      <c r="D239" s="1081"/>
      <c r="E239" s="1105"/>
      <c r="F239" s="1112"/>
    </row>
    <row r="240" spans="1:6" ht="15.5">
      <c r="A240" s="1084"/>
      <c r="B240" s="1085"/>
      <c r="C240" s="1085"/>
      <c r="D240" s="1081"/>
      <c r="E240" s="1105"/>
      <c r="F240" s="1112"/>
    </row>
    <row r="241" spans="1:6" ht="15.5">
      <c r="A241" s="1404" t="s">
        <v>701</v>
      </c>
      <c r="B241" s="1405"/>
      <c r="C241" s="1087"/>
      <c r="D241" s="1083">
        <f>SUM(D216:D239)</f>
        <v>-0.34</v>
      </c>
      <c r="E241" s="1111">
        <f>SUM(E216:E239)</f>
        <v>0</v>
      </c>
      <c r="F241" s="1117">
        <f>SUM(F216:F239)</f>
        <v>516962</v>
      </c>
    </row>
    <row r="242" spans="1:6" ht="15.5">
      <c r="A242" s="1125"/>
      <c r="B242" s="1126"/>
      <c r="C242" s="1127"/>
      <c r="D242" s="1128"/>
      <c r="E242" s="1131"/>
      <c r="F242" s="1112"/>
    </row>
    <row r="243" spans="1:6" ht="15.5">
      <c r="A243" s="1132" t="s">
        <v>714</v>
      </c>
      <c r="B243" s="1068"/>
      <c r="C243" s="1065"/>
      <c r="D243" s="1066"/>
      <c r="E243" s="1065"/>
      <c r="F243" s="1112"/>
    </row>
    <row r="244" spans="1:6" ht="15.5">
      <c r="A244" s="1069" t="s">
        <v>690</v>
      </c>
      <c r="B244" s="1070" t="s">
        <v>691</v>
      </c>
      <c r="C244" s="1070" t="s">
        <v>692</v>
      </c>
      <c r="D244" s="1071">
        <v>2019</v>
      </c>
      <c r="E244" s="1116">
        <v>2015</v>
      </c>
      <c r="F244" s="1112">
        <v>2018</v>
      </c>
    </row>
    <row r="245" spans="1:6" ht="15.75" customHeight="1">
      <c r="A245" s="1135" t="s">
        <v>161</v>
      </c>
      <c r="B245" s="1073" t="s">
        <v>162</v>
      </c>
      <c r="C245" s="1089"/>
      <c r="D245" s="1075">
        <f>'Trial Combine 19'!I202</f>
        <v>0</v>
      </c>
      <c r="E245" s="1098"/>
      <c r="F245" s="1117">
        <v>138576</v>
      </c>
    </row>
    <row r="246" spans="1:6" ht="15.75" customHeight="1">
      <c r="A246" s="1136"/>
      <c r="B246" s="1073" t="s">
        <v>536</v>
      </c>
      <c r="C246" s="1089"/>
      <c r="D246" s="1075">
        <f>'Trial Combine 19'!I203</f>
        <v>0</v>
      </c>
      <c r="E246" s="1098"/>
      <c r="F246" s="1112"/>
    </row>
    <row r="247" spans="1:6" ht="15.5">
      <c r="A247" s="1134"/>
      <c r="B247" s="1137" t="s">
        <v>164</v>
      </c>
      <c r="C247" s="1089"/>
      <c r="D247" s="1075">
        <v>0</v>
      </c>
      <c r="E247" s="1098"/>
      <c r="F247" s="1112"/>
    </row>
    <row r="248" spans="1:6" ht="15.5">
      <c r="A248" s="1134"/>
      <c r="B248" s="1137" t="s">
        <v>356</v>
      </c>
      <c r="C248" s="1089"/>
      <c r="D248" s="1075">
        <v>0</v>
      </c>
      <c r="E248" s="1098"/>
      <c r="F248" s="1112"/>
    </row>
    <row r="249" spans="1:6" ht="15.5">
      <c r="A249" s="1134"/>
      <c r="B249" s="1137"/>
      <c r="C249" s="1089"/>
      <c r="D249" s="1075"/>
      <c r="E249" s="1098"/>
      <c r="F249" s="1112"/>
    </row>
    <row r="250" spans="1:6" ht="15.5">
      <c r="A250" s="1134"/>
      <c r="B250" s="1137"/>
      <c r="C250" s="1089"/>
      <c r="D250" s="1075"/>
      <c r="E250" s="1098"/>
      <c r="F250" s="1112"/>
    </row>
    <row r="251" spans="1:6" ht="15.5">
      <c r="A251" s="1134"/>
      <c r="B251" s="1137"/>
      <c r="C251" s="1089"/>
      <c r="D251" s="1075"/>
      <c r="E251" s="1098"/>
      <c r="F251" s="1112"/>
    </row>
    <row r="252" spans="1:6" ht="15.5">
      <c r="A252" s="1134"/>
      <c r="B252" s="1137"/>
      <c r="C252" s="1089"/>
      <c r="D252" s="1075"/>
      <c r="E252" s="1098"/>
      <c r="F252" s="1112"/>
    </row>
    <row r="253" spans="1:6" ht="15.5">
      <c r="A253" s="1084"/>
      <c r="B253" s="1089"/>
      <c r="C253" s="1089"/>
      <c r="D253" s="1081"/>
      <c r="E253" s="1105"/>
      <c r="F253" s="1112"/>
    </row>
    <row r="254" spans="1:6" ht="15.5">
      <c r="A254" s="1084"/>
      <c r="B254" s="1089"/>
      <c r="C254" s="1089"/>
      <c r="D254" s="1081"/>
      <c r="E254" s="1105"/>
      <c r="F254" s="1112"/>
    </row>
    <row r="255" spans="1:6" ht="15.5">
      <c r="A255" s="1084"/>
      <c r="B255" s="1089"/>
      <c r="C255" s="1089"/>
      <c r="D255" s="1081"/>
      <c r="E255" s="1105"/>
      <c r="F255" s="1112"/>
    </row>
    <row r="256" spans="1:6" ht="15.5">
      <c r="A256" s="1084"/>
      <c r="B256" s="1089"/>
      <c r="C256" s="1089"/>
      <c r="D256" s="1081"/>
      <c r="E256" s="1105"/>
      <c r="F256" s="1112"/>
    </row>
    <row r="257" spans="1:6" ht="15.5">
      <c r="A257" s="1084"/>
      <c r="B257" s="1089"/>
      <c r="C257" s="1089"/>
      <c r="D257" s="1081"/>
      <c r="E257" s="1105"/>
      <c r="F257" s="1112"/>
    </row>
    <row r="258" spans="1:6" ht="15.5">
      <c r="A258" s="1084"/>
      <c r="B258" s="1089"/>
      <c r="C258" s="1089"/>
      <c r="D258" s="1081"/>
      <c r="E258" s="1105"/>
      <c r="F258" s="1112"/>
    </row>
    <row r="259" spans="1:6" ht="15.5">
      <c r="A259" s="1084"/>
      <c r="B259" s="1089"/>
      <c r="C259" s="1089"/>
      <c r="D259" s="1081"/>
      <c r="E259" s="1105"/>
      <c r="F259" s="1112"/>
    </row>
    <row r="260" spans="1:6" ht="15.5">
      <c r="A260" s="1084"/>
      <c r="B260" s="1089"/>
      <c r="C260" s="1089"/>
      <c r="D260" s="1081"/>
      <c r="E260" s="1105"/>
      <c r="F260" s="1112"/>
    </row>
    <row r="261" spans="1:6" ht="15.5">
      <c r="A261" s="1084"/>
      <c r="B261" s="1074"/>
      <c r="C261" s="1074"/>
      <c r="D261" s="1081"/>
      <c r="E261" s="1105"/>
      <c r="F261" s="1112"/>
    </row>
    <row r="262" spans="1:6" ht="15.5">
      <c r="A262" s="1084"/>
      <c r="B262" s="1074"/>
      <c r="C262" s="1074"/>
      <c r="D262" s="1081"/>
      <c r="E262" s="1105"/>
      <c r="F262" s="1112"/>
    </row>
    <row r="263" spans="1:6" ht="15.5">
      <c r="A263" s="1084"/>
      <c r="B263" s="1074"/>
      <c r="C263" s="1074"/>
      <c r="D263" s="1081"/>
      <c r="E263" s="1105"/>
      <c r="F263" s="1112"/>
    </row>
    <row r="264" spans="1:6" ht="15.5">
      <c r="A264" s="1084"/>
      <c r="B264" s="1074"/>
      <c r="C264" s="1074"/>
      <c r="D264" s="1081"/>
      <c r="E264" s="1105"/>
      <c r="F264" s="1112"/>
    </row>
    <row r="265" spans="1:6" ht="15.5">
      <c r="A265" s="1084"/>
      <c r="B265" s="1074"/>
      <c r="C265" s="1074"/>
      <c r="D265" s="1081"/>
      <c r="E265" s="1105"/>
      <c r="F265" s="1112"/>
    </row>
    <row r="266" spans="1:6" ht="15.5">
      <c r="A266" s="1084"/>
      <c r="B266" s="1074"/>
      <c r="C266" s="1074"/>
      <c r="D266" s="1081"/>
      <c r="E266" s="1105"/>
      <c r="F266" s="1112"/>
    </row>
    <row r="267" spans="1:6" ht="15.5">
      <c r="A267" s="1084"/>
      <c r="B267" s="1074"/>
      <c r="C267" s="1074"/>
      <c r="D267" s="1081"/>
      <c r="E267" s="1105"/>
      <c r="F267" s="1112"/>
    </row>
    <row r="268" spans="1:6" ht="15.5">
      <c r="A268" s="1084"/>
      <c r="B268" s="1074"/>
      <c r="C268" s="1074"/>
      <c r="D268" s="1081"/>
      <c r="E268" s="1105"/>
      <c r="F268" s="1112"/>
    </row>
    <row r="269" spans="1:6" ht="15.5">
      <c r="A269" s="1084"/>
      <c r="B269" s="1085"/>
      <c r="C269" s="1085"/>
      <c r="D269" s="1081"/>
      <c r="E269" s="1105"/>
      <c r="F269" s="1112"/>
    </row>
    <row r="270" spans="1:6" ht="15.5">
      <c r="A270" s="1404" t="s">
        <v>701</v>
      </c>
      <c r="B270" s="1405"/>
      <c r="C270" s="1087"/>
      <c r="D270" s="1083">
        <f>SUM(D245:D268)-0.34</f>
        <v>-0.34</v>
      </c>
      <c r="E270" s="1111">
        <f>SUM(E245:E268)</f>
        <v>0</v>
      </c>
      <c r="F270" s="1117">
        <f>SUM(F245:F268)-0.34</f>
        <v>138575.66</v>
      </c>
    </row>
    <row r="271" spans="1:6" ht="15.5">
      <c r="A271" s="1125"/>
      <c r="B271" s="1126"/>
      <c r="C271" s="1127"/>
      <c r="D271" s="1128"/>
      <c r="E271" s="1131"/>
      <c r="F271" s="1112"/>
    </row>
    <row r="272" spans="1:6" ht="15.5">
      <c r="A272" s="1132" t="s">
        <v>715</v>
      </c>
      <c r="B272" s="1068"/>
      <c r="C272" s="1065"/>
      <c r="D272" s="1066"/>
      <c r="E272" s="1065"/>
      <c r="F272" s="1112"/>
    </row>
    <row r="273" spans="1:6" ht="15.5">
      <c r="A273" s="1069" t="s">
        <v>690</v>
      </c>
      <c r="B273" s="1070" t="s">
        <v>691</v>
      </c>
      <c r="C273" s="1070" t="s">
        <v>692</v>
      </c>
      <c r="D273" s="1071">
        <v>2019</v>
      </c>
      <c r="E273" s="1116">
        <v>2015</v>
      </c>
      <c r="F273" s="1112">
        <v>2018</v>
      </c>
    </row>
    <row r="274" spans="1:6" ht="15.5">
      <c r="A274" s="1139"/>
      <c r="B274" s="1140" t="s">
        <v>549</v>
      </c>
      <c r="C274" s="1085"/>
      <c r="D274" s="1141">
        <f>'Trial Combine 19'!I227</f>
        <v>0</v>
      </c>
      <c r="E274" s="1142"/>
      <c r="F274" s="1117">
        <v>69225</v>
      </c>
    </row>
    <row r="275" spans="1:6" ht="15.5">
      <c r="A275" s="1139"/>
      <c r="B275" s="1140" t="s">
        <v>555</v>
      </c>
      <c r="C275" s="1085"/>
      <c r="D275" s="1141">
        <f>'Trial Combine 19'!I233</f>
        <v>0</v>
      </c>
      <c r="E275" s="1142"/>
      <c r="F275" s="1117"/>
    </row>
    <row r="276" spans="1:6" ht="15.5">
      <c r="A276" s="1139"/>
      <c r="B276" s="1140" t="str">
        <f>'Trial Combine 19'!B237</f>
        <v>HAPPY MOVERS</v>
      </c>
      <c r="C276" s="1085"/>
      <c r="D276" s="1141">
        <f>'Trial Combine 19'!I237</f>
        <v>0</v>
      </c>
      <c r="E276" s="1142"/>
      <c r="F276" s="1117"/>
    </row>
    <row r="277" spans="1:6" ht="15.5">
      <c r="A277" s="1139"/>
      <c r="B277" s="1140" t="s">
        <v>564</v>
      </c>
      <c r="C277" s="1085"/>
      <c r="D277" s="1141">
        <f>'Trial Combine 19'!I243</f>
        <v>0</v>
      </c>
      <c r="E277" s="1142"/>
      <c r="F277" s="1117">
        <v>11947</v>
      </c>
    </row>
    <row r="278" spans="1:6" ht="15.5">
      <c r="A278" s="1139"/>
      <c r="B278" s="1140" t="s">
        <v>565</v>
      </c>
      <c r="C278" s="1085"/>
      <c r="D278" s="1141">
        <f>'Trial Combine 19'!I244</f>
        <v>0</v>
      </c>
      <c r="E278" s="1142"/>
      <c r="F278" s="1117"/>
    </row>
    <row r="279" spans="1:6" ht="15.5">
      <c r="A279" s="1139"/>
      <c r="B279" s="1140" t="str">
        <f>'Trial Combine 19'!B250</f>
        <v>METRO FREIGHT GROUP INC.</v>
      </c>
      <c r="C279" s="1085"/>
      <c r="D279" s="1141">
        <f>'Trial Combine 19'!I250</f>
        <v>0</v>
      </c>
      <c r="E279" s="1142"/>
      <c r="F279" s="1117"/>
    </row>
    <row r="280" spans="1:6" ht="15.5">
      <c r="A280" s="1139"/>
      <c r="B280" s="1122" t="s">
        <v>550</v>
      </c>
      <c r="C280" s="1085"/>
      <c r="D280" s="1141"/>
      <c r="E280" s="1142"/>
      <c r="F280" s="1117">
        <v>54783</v>
      </c>
    </row>
    <row r="281" spans="1:6" ht="15.5">
      <c r="A281" s="1139"/>
      <c r="B281" s="1122" t="s">
        <v>556</v>
      </c>
      <c r="C281" s="1085"/>
      <c r="D281" s="1141"/>
      <c r="E281" s="1142"/>
      <c r="F281" s="1117">
        <f>44931+4916</f>
        <v>49847</v>
      </c>
    </row>
    <row r="282" spans="1:6" ht="15.5">
      <c r="A282" s="1139"/>
      <c r="B282" s="1122" t="s">
        <v>571</v>
      </c>
      <c r="C282" s="1085"/>
      <c r="D282" s="1141"/>
      <c r="E282" s="1142"/>
      <c r="F282" s="1117">
        <v>72584</v>
      </c>
    </row>
    <row r="283" spans="1:6" ht="15.5">
      <c r="A283" s="1139"/>
      <c r="B283" s="1139"/>
      <c r="C283" s="1085"/>
      <c r="D283" s="1141"/>
      <c r="E283" s="1142"/>
      <c r="F283" s="1117"/>
    </row>
    <row r="284" spans="1:6" ht="15.5">
      <c r="A284" s="1139"/>
      <c r="B284" s="1139"/>
      <c r="C284" s="1085"/>
      <c r="D284" s="1141"/>
      <c r="E284" s="1142"/>
      <c r="F284" s="1117"/>
    </row>
    <row r="285" spans="1:6" ht="15.5">
      <c r="A285" s="1139"/>
      <c r="B285" s="1139"/>
      <c r="C285" s="1085"/>
      <c r="D285" s="1141"/>
      <c r="E285" s="1142"/>
      <c r="F285" s="1117"/>
    </row>
    <row r="286" spans="1:6" ht="15.5">
      <c r="A286" s="1139"/>
      <c r="B286" s="1139"/>
      <c r="C286" s="1085"/>
      <c r="D286" s="1141"/>
      <c r="E286" s="1142"/>
      <c r="F286" s="1117"/>
    </row>
    <row r="287" spans="1:6" ht="15.5">
      <c r="A287" s="1139"/>
      <c r="B287" s="1139"/>
      <c r="C287" s="1085"/>
      <c r="D287" s="1141"/>
      <c r="E287" s="1142"/>
      <c r="F287" s="1117"/>
    </row>
    <row r="288" spans="1:6" ht="15.5">
      <c r="A288" s="1139"/>
      <c r="B288" s="1139"/>
      <c r="C288" s="1085"/>
      <c r="D288" s="1141"/>
      <c r="E288" s="1142"/>
      <c r="F288" s="1117"/>
    </row>
    <row r="289" spans="1:6" ht="15.5">
      <c r="A289" s="1139"/>
      <c r="B289" s="1139"/>
      <c r="C289" s="1085"/>
      <c r="D289" s="1141"/>
      <c r="E289" s="1142"/>
      <c r="F289" s="1117"/>
    </row>
    <row r="290" spans="1:6" ht="15.5">
      <c r="A290" s="1139"/>
      <c r="B290" s="1139"/>
      <c r="C290" s="1085"/>
      <c r="D290" s="1141">
        <f>SUM(D274:D289)</f>
        <v>0</v>
      </c>
      <c r="E290" s="1142"/>
      <c r="F290" s="1129">
        <f>SUM(F274:F289)</f>
        <v>258386</v>
      </c>
    </row>
    <row r="291" spans="1:6" ht="15.5">
      <c r="A291" s="1125"/>
      <c r="B291" s="1126"/>
      <c r="C291" s="1127"/>
      <c r="D291" s="1128"/>
      <c r="E291" s="1131"/>
      <c r="F291" s="1112"/>
    </row>
    <row r="292" spans="1:6" ht="15.5">
      <c r="A292" s="1132" t="s">
        <v>713</v>
      </c>
      <c r="B292" s="1068"/>
      <c r="C292" s="1065"/>
      <c r="D292" s="1066"/>
      <c r="E292" s="1065"/>
      <c r="F292" s="1112"/>
    </row>
    <row r="293" spans="1:6" ht="15.5">
      <c r="A293" s="1069" t="s">
        <v>690</v>
      </c>
      <c r="B293" s="1070" t="s">
        <v>691</v>
      </c>
      <c r="C293" s="1070" t="s">
        <v>692</v>
      </c>
      <c r="D293" s="1071">
        <v>2019</v>
      </c>
      <c r="E293" s="1116">
        <v>2015</v>
      </c>
      <c r="F293" s="1112">
        <v>2018</v>
      </c>
    </row>
    <row r="294" spans="1:6" ht="15.75" customHeight="1">
      <c r="A294" s="1135" t="s">
        <v>49</v>
      </c>
      <c r="B294" s="1073" t="s">
        <v>50</v>
      </c>
      <c r="C294" s="1089"/>
      <c r="D294" s="1075">
        <f>'Trial Combine 19'!$C$39</f>
        <v>0</v>
      </c>
      <c r="E294" s="1098"/>
      <c r="F294" s="1117">
        <v>50000</v>
      </c>
    </row>
    <row r="295" spans="1:6" ht="15.75" customHeight="1">
      <c r="A295" s="1136" t="s">
        <v>53</v>
      </c>
      <c r="B295" s="1073" t="s">
        <v>54</v>
      </c>
      <c r="C295" s="1089"/>
      <c r="D295" s="1075">
        <f>'Trial Combine 19'!$C$40</f>
        <v>0</v>
      </c>
      <c r="E295" s="1098"/>
      <c r="F295" s="1117">
        <v>0</v>
      </c>
    </row>
    <row r="296" spans="1:6" ht="15.5">
      <c r="A296" s="1134" t="s">
        <v>45</v>
      </c>
      <c r="B296" s="1137" t="s">
        <v>46</v>
      </c>
      <c r="C296" s="1089"/>
      <c r="D296" s="1075">
        <f>'Trial Combine 19'!$C$38</f>
        <v>0</v>
      </c>
      <c r="E296" s="1098"/>
      <c r="F296" s="1117">
        <v>70000</v>
      </c>
    </row>
    <row r="297" spans="1:6" ht="15.5">
      <c r="A297" s="1134" t="s">
        <v>380</v>
      </c>
      <c r="B297" s="1137" t="s">
        <v>381</v>
      </c>
      <c r="C297" s="1089"/>
      <c r="D297" s="1075">
        <f>'Trial Combine 19'!$C$42</f>
        <v>0</v>
      </c>
      <c r="E297" s="1098"/>
      <c r="F297" s="1117">
        <v>0</v>
      </c>
    </row>
    <row r="298" spans="1:6" ht="15.5">
      <c r="A298" s="1134"/>
      <c r="B298" s="1137"/>
      <c r="C298" s="1089"/>
      <c r="D298" s="1075"/>
      <c r="E298" s="1098"/>
      <c r="F298" s="1112"/>
    </row>
    <row r="299" spans="1:6" ht="15.5">
      <c r="A299" s="1134"/>
      <c r="B299" s="1137"/>
      <c r="C299" s="1089"/>
      <c r="D299" s="1075"/>
      <c r="E299" s="1098"/>
      <c r="F299" s="1112"/>
    </row>
    <row r="300" spans="1:6" ht="15.5">
      <c r="A300" s="1134"/>
      <c r="B300" s="1137"/>
      <c r="C300" s="1089"/>
      <c r="D300" s="1075"/>
      <c r="E300" s="1098"/>
      <c r="F300" s="1112"/>
    </row>
    <row r="301" spans="1:6" ht="15.5">
      <c r="A301" s="1134"/>
      <c r="B301" s="1137"/>
      <c r="C301" s="1089"/>
      <c r="D301" s="1075"/>
      <c r="E301" s="1098"/>
      <c r="F301" s="1112"/>
    </row>
    <row r="302" spans="1:6" ht="15.5">
      <c r="A302" s="1084"/>
      <c r="B302" s="1089"/>
      <c r="C302" s="1089"/>
      <c r="D302" s="1081"/>
      <c r="E302" s="1105"/>
      <c r="F302" s="1112"/>
    </row>
    <row r="303" spans="1:6" ht="15.5">
      <c r="A303" s="1084"/>
      <c r="B303" s="1089"/>
      <c r="C303" s="1089"/>
      <c r="D303" s="1081"/>
      <c r="E303" s="1105"/>
      <c r="F303" s="1112"/>
    </row>
    <row r="304" spans="1:6" ht="15.5">
      <c r="A304" s="1084"/>
      <c r="B304" s="1089"/>
      <c r="C304" s="1089"/>
      <c r="D304" s="1081"/>
      <c r="E304" s="1105"/>
      <c r="F304" s="1112"/>
    </row>
    <row r="305" spans="1:8" ht="15.5">
      <c r="A305" s="1084"/>
      <c r="B305" s="1089"/>
      <c r="C305" s="1089"/>
      <c r="D305" s="1081"/>
      <c r="E305" s="1105"/>
      <c r="F305" s="1112"/>
    </row>
    <row r="306" spans="1:8" ht="15.5">
      <c r="A306" s="1084"/>
      <c r="B306" s="1089"/>
      <c r="C306" s="1089"/>
      <c r="D306" s="1081"/>
      <c r="E306" s="1105"/>
      <c r="F306" s="1112"/>
    </row>
    <row r="307" spans="1:8" ht="15.5">
      <c r="A307" s="1084"/>
      <c r="B307" s="1089"/>
      <c r="C307" s="1089"/>
      <c r="D307" s="1081"/>
      <c r="E307" s="1105"/>
      <c r="F307" s="1112"/>
    </row>
    <row r="308" spans="1:8" ht="15.5">
      <c r="A308" s="1084"/>
      <c r="B308" s="1089"/>
      <c r="C308" s="1089"/>
      <c r="D308" s="1081"/>
      <c r="E308" s="1105"/>
      <c r="F308" s="1112"/>
    </row>
    <row r="309" spans="1:8" ht="15.5">
      <c r="A309" s="1084"/>
      <c r="B309" s="1085"/>
      <c r="C309" s="1085"/>
      <c r="D309" s="1081"/>
      <c r="E309" s="1105"/>
      <c r="F309" s="1112"/>
    </row>
    <row r="310" spans="1:8" ht="15.5">
      <c r="A310" s="1404" t="s">
        <v>701</v>
      </c>
      <c r="B310" s="1405"/>
      <c r="C310" s="1087"/>
      <c r="D310" s="1083">
        <f>SUM(D294:D308)</f>
        <v>0</v>
      </c>
      <c r="E310" s="1111">
        <f>SUM(E294:E308)</f>
        <v>0</v>
      </c>
      <c r="F310" s="1117">
        <f>SUM(F294:F308)</f>
        <v>120000</v>
      </c>
    </row>
    <row r="311" spans="1:8" ht="15.5">
      <c r="A311" s="1125"/>
      <c r="B311" s="1126"/>
      <c r="C311" s="1127"/>
      <c r="D311" s="1128"/>
      <c r="E311" s="1131"/>
      <c r="F311" s="1112"/>
    </row>
    <row r="312" spans="1:8" ht="15.5">
      <c r="A312" s="1406" t="s">
        <v>706</v>
      </c>
      <c r="B312" s="1406"/>
      <c r="C312" s="1065"/>
      <c r="D312" s="1066"/>
      <c r="E312" s="1065"/>
      <c r="F312" s="1112"/>
    </row>
    <row r="313" spans="1:8" ht="15.5">
      <c r="A313" s="1069" t="s">
        <v>690</v>
      </c>
      <c r="B313" s="1070" t="s">
        <v>691</v>
      </c>
      <c r="C313" s="1070" t="s">
        <v>692</v>
      </c>
      <c r="D313" s="1071">
        <v>2019</v>
      </c>
      <c r="E313" s="1116">
        <v>2015</v>
      </c>
      <c r="F313" s="1112">
        <v>2018</v>
      </c>
    </row>
    <row r="314" spans="1:8" ht="15.5">
      <c r="A314" s="1090"/>
      <c r="B314" s="1073"/>
      <c r="C314" s="1089"/>
      <c r="D314" s="1075"/>
      <c r="E314" s="1098"/>
      <c r="F314" s="1112"/>
    </row>
    <row r="315" spans="1:8" ht="15.5">
      <c r="A315" s="1090"/>
      <c r="B315" s="1073" t="s">
        <v>716</v>
      </c>
      <c r="C315" s="1089"/>
      <c r="D315" s="1075">
        <f>'Trial Combine 19'!I32</f>
        <v>0</v>
      </c>
      <c r="E315" s="1098"/>
      <c r="F315" s="1112"/>
    </row>
    <row r="316" spans="1:8" ht="15.5">
      <c r="A316" s="1134"/>
      <c r="B316" s="1089" t="str">
        <f>'Trial Combine 19'!B22</f>
        <v>ADVANCE INCOME TAX</v>
      </c>
      <c r="C316" s="1089"/>
      <c r="D316" s="1075">
        <f>'Trial Combine 19'!I22</f>
        <v>0</v>
      </c>
      <c r="E316" s="1098"/>
      <c r="F316" s="1117">
        <v>185880</v>
      </c>
    </row>
    <row r="317" spans="1:8" ht="15.5">
      <c r="A317" s="1084"/>
      <c r="B317" s="1089" t="str">
        <f>'Trial Combine 19'!B23</f>
        <v>ADVANCE INCOME TAX ELECTRIC</v>
      </c>
      <c r="C317" s="1089"/>
      <c r="D317" s="1075">
        <f>'Trial Combine 19'!I23</f>
        <v>0</v>
      </c>
      <c r="E317" s="1098"/>
      <c r="F317" s="1117">
        <v>42632</v>
      </c>
      <c r="H317">
        <f>42632-3077</f>
        <v>39555</v>
      </c>
    </row>
    <row r="318" spans="1:8" ht="15.75" customHeight="1">
      <c r="A318" s="1084"/>
      <c r="B318" s="1089" t="str">
        <f>'Trial Combine 19'!B24</f>
        <v>ADVANCE INCOME TAX MOBILE</v>
      </c>
      <c r="C318" s="1089"/>
      <c r="D318" s="1075">
        <f>'Trial Combine 19'!I24</f>
        <v>0</v>
      </c>
      <c r="E318" s="1098"/>
      <c r="F318" s="1117"/>
    </row>
    <row r="319" spans="1:8" ht="31">
      <c r="A319" s="1084"/>
      <c r="B319" s="1089" t="str">
        <f>'Trial Combine 19'!B25</f>
        <v>ADVANCE INCOME TAX ON CASH WITHDRAWAL</v>
      </c>
      <c r="C319" s="1089"/>
      <c r="D319" s="1081">
        <f>'Trial Combine 19'!I25</f>
        <v>0</v>
      </c>
      <c r="E319" s="1105"/>
      <c r="F319" s="1117">
        <v>10070</v>
      </c>
    </row>
    <row r="320" spans="1:8" ht="31">
      <c r="A320" s="1084"/>
      <c r="B320" s="1089" t="str">
        <f>'Trial Combine 19'!B27</f>
        <v>ADVANCE INCOME TAX TELEPHONE</v>
      </c>
      <c r="C320" s="1089"/>
      <c r="D320" s="1081">
        <f>'Trial Combine 19'!I27</f>
        <v>0</v>
      </c>
      <c r="E320" s="1098"/>
      <c r="F320" s="1117">
        <v>20838</v>
      </c>
    </row>
    <row r="321" spans="1:7" ht="15.75" customHeight="1">
      <c r="A321" s="1084"/>
      <c r="B321" s="1085" t="str">
        <f>'Trial Combine 19'!B28</f>
        <v>ADVANCE INCOME TAX VEHICLE</v>
      </c>
      <c r="C321" s="1089"/>
      <c r="D321" s="1081">
        <f>'Trial Combine 19'!I28</f>
        <v>0</v>
      </c>
      <c r="E321" s="1105"/>
      <c r="F321" s="1117">
        <v>3077</v>
      </c>
    </row>
    <row r="322" spans="1:7" ht="15.5">
      <c r="A322" s="1084"/>
      <c r="B322" s="1089"/>
      <c r="C322" s="1089"/>
      <c r="D322" s="1081"/>
      <c r="E322" s="1105"/>
      <c r="F322" s="1117"/>
      <c r="G322">
        <v>3475</v>
      </c>
    </row>
    <row r="323" spans="1:7" ht="15.5">
      <c r="A323" s="1084"/>
      <c r="B323" s="1089" t="s">
        <v>717</v>
      </c>
      <c r="C323" s="1089"/>
      <c r="D323" s="1081" t="e">
        <f>-'Adj entry 19'!D7</f>
        <v>#REF!</v>
      </c>
      <c r="E323" s="1105"/>
      <c r="F323" s="1117">
        <v>-193528</v>
      </c>
      <c r="G323">
        <v>4492</v>
      </c>
    </row>
    <row r="324" spans="1:7" ht="15.5">
      <c r="A324" s="1084"/>
      <c r="B324" s="1089"/>
      <c r="C324" s="1089"/>
      <c r="D324" s="1081"/>
      <c r="E324" s="1105"/>
      <c r="F324" s="1117"/>
      <c r="G324">
        <v>1544</v>
      </c>
    </row>
    <row r="325" spans="1:7" ht="15.5">
      <c r="A325" s="1084"/>
      <c r="B325" s="1089"/>
      <c r="C325" s="1089"/>
      <c r="D325" s="1081"/>
      <c r="E325" s="1105"/>
      <c r="F325" s="1117"/>
      <c r="G325">
        <v>1084</v>
      </c>
    </row>
    <row r="326" spans="1:7" ht="15.5">
      <c r="A326" s="1084"/>
      <c r="B326" s="1089"/>
      <c r="C326" s="1089"/>
      <c r="D326" s="1081"/>
      <c r="E326" s="1105"/>
      <c r="F326" s="1117"/>
      <c r="G326">
        <f>SUM(G322:G325)</f>
        <v>10595</v>
      </c>
    </row>
    <row r="327" spans="1:7" ht="15.5">
      <c r="A327" s="1084"/>
      <c r="B327" s="1089"/>
      <c r="C327" s="1089"/>
      <c r="D327" s="1081"/>
      <c r="E327" s="1105"/>
      <c r="F327" s="1117"/>
    </row>
    <row r="328" spans="1:7" ht="15.5">
      <c r="A328" s="1084"/>
      <c r="B328" s="1085"/>
      <c r="C328" s="1089"/>
      <c r="D328" s="1081"/>
      <c r="E328" s="1105"/>
      <c r="F328" s="1117"/>
    </row>
    <row r="329" spans="1:7" ht="15.5">
      <c r="A329" s="1084"/>
      <c r="B329" s="1089"/>
      <c r="C329" s="1089"/>
      <c r="D329" s="1081"/>
      <c r="E329" s="1105"/>
      <c r="F329" s="1117"/>
    </row>
    <row r="330" spans="1:7" ht="15.5">
      <c r="A330" s="1084"/>
      <c r="B330" s="1089"/>
      <c r="C330" s="1089"/>
      <c r="D330" s="1081"/>
      <c r="E330" s="1105"/>
      <c r="F330" s="1117"/>
    </row>
    <row r="331" spans="1:7" ht="15.5">
      <c r="A331" s="1084"/>
      <c r="B331" s="1074"/>
      <c r="C331" s="1074"/>
      <c r="D331" s="1081"/>
      <c r="E331" s="1105"/>
      <c r="F331" s="1117"/>
    </row>
    <row r="332" spans="1:7" ht="15.5">
      <c r="A332" s="1084"/>
      <c r="B332" s="1074"/>
      <c r="C332" s="1074"/>
      <c r="D332" s="1081"/>
      <c r="E332" s="1105"/>
      <c r="F332" s="1117"/>
    </row>
    <row r="333" spans="1:7" ht="15.5">
      <c r="A333" s="1084"/>
      <c r="B333" s="1074"/>
      <c r="C333" s="1074"/>
      <c r="D333" s="1081"/>
      <c r="E333" s="1105"/>
      <c r="F333" s="1117"/>
    </row>
    <row r="334" spans="1:7" ht="15.5">
      <c r="A334" s="1084"/>
      <c r="B334" s="1074"/>
      <c r="C334" s="1074"/>
      <c r="D334" s="1081"/>
      <c r="E334" s="1105"/>
      <c r="F334" s="1117"/>
    </row>
    <row r="335" spans="1:7" ht="15.5">
      <c r="A335" s="1084"/>
      <c r="B335" s="1074"/>
      <c r="C335" s="1074"/>
      <c r="D335" s="1081"/>
      <c r="E335" s="1105"/>
      <c r="F335" s="1117"/>
    </row>
    <row r="336" spans="1:7" ht="15.5">
      <c r="A336" s="1084"/>
      <c r="B336" s="1085"/>
      <c r="C336" s="1085"/>
      <c r="D336" s="1081"/>
      <c r="E336" s="1105"/>
      <c r="F336" s="1117"/>
    </row>
    <row r="337" spans="1:6" ht="15.5">
      <c r="A337" s="1404" t="s">
        <v>701</v>
      </c>
      <c r="B337" s="1405"/>
      <c r="C337" s="1087"/>
      <c r="D337" s="1083" t="e">
        <f>SUM(D314:D332)</f>
        <v>#REF!</v>
      </c>
      <c r="E337" s="1111">
        <f>SUM(E314:E332)</f>
        <v>0</v>
      </c>
      <c r="F337" s="1117">
        <f>SUM(F314:F332)</f>
        <v>68969</v>
      </c>
    </row>
    <row r="338" spans="1:6" ht="15.5">
      <c r="A338" s="1125"/>
      <c r="B338" s="1126"/>
      <c r="C338" s="1127"/>
      <c r="D338" s="1128"/>
      <c r="E338" s="1131"/>
      <c r="F338" s="1112"/>
    </row>
    <row r="339" spans="1:6" ht="15.5">
      <c r="A339" s="1406" t="s">
        <v>707</v>
      </c>
      <c r="B339" s="1406"/>
      <c r="C339" s="1065"/>
      <c r="D339" s="1066"/>
      <c r="E339" s="1065"/>
      <c r="F339" s="1112"/>
    </row>
    <row r="340" spans="1:6" ht="15.5">
      <c r="A340" s="1069" t="s">
        <v>690</v>
      </c>
      <c r="B340" s="1070" t="s">
        <v>691</v>
      </c>
      <c r="C340" s="1070" t="s">
        <v>692</v>
      </c>
      <c r="D340" s="1071">
        <v>2018</v>
      </c>
      <c r="E340" s="1116">
        <v>2015</v>
      </c>
      <c r="F340" s="1112"/>
    </row>
    <row r="341" spans="1:6" ht="15.5">
      <c r="A341" s="1143"/>
      <c r="B341" s="1073" t="s">
        <v>718</v>
      </c>
      <c r="C341" s="1089"/>
      <c r="D341" s="1075">
        <f>D377</f>
        <v>8925</v>
      </c>
      <c r="E341" s="1098"/>
      <c r="F341" s="1112"/>
    </row>
    <row r="342" spans="1:6" ht="15.5">
      <c r="A342" s="1143"/>
      <c r="B342" s="1073" t="s">
        <v>719</v>
      </c>
      <c r="C342" s="1089"/>
      <c r="D342" s="1075">
        <f>D397</f>
        <v>0</v>
      </c>
      <c r="E342" s="1098"/>
      <c r="F342" s="1112"/>
    </row>
    <row r="343" spans="1:6" ht="15.5">
      <c r="A343" s="1121"/>
      <c r="B343" s="1144"/>
      <c r="C343" s="1089"/>
      <c r="D343" s="1075"/>
      <c r="E343" s="1098"/>
      <c r="F343" s="1112"/>
    </row>
    <row r="344" spans="1:6" ht="15.5">
      <c r="A344" s="1121"/>
      <c r="B344" s="1144"/>
      <c r="C344" s="1089"/>
      <c r="D344" s="1075"/>
      <c r="E344" s="1098"/>
      <c r="F344" s="1112"/>
    </row>
    <row r="345" spans="1:6" ht="15.5">
      <c r="A345" s="1121"/>
      <c r="B345" s="1144"/>
      <c r="C345" s="1089"/>
      <c r="D345" s="1075"/>
      <c r="E345" s="1098"/>
      <c r="F345" s="1112"/>
    </row>
    <row r="346" spans="1:6" ht="15.5">
      <c r="A346" s="1084"/>
      <c r="B346" s="1144"/>
      <c r="C346" s="1089"/>
      <c r="D346" s="1075"/>
      <c r="E346" s="1098"/>
      <c r="F346" s="1112"/>
    </row>
    <row r="347" spans="1:6" ht="15.5">
      <c r="A347" s="1084"/>
      <c r="B347" s="1089"/>
      <c r="C347" s="1089"/>
      <c r="D347" s="1081"/>
      <c r="E347" s="1105"/>
      <c r="F347" s="1112"/>
    </row>
    <row r="348" spans="1:6" ht="15.5">
      <c r="A348" s="1084"/>
      <c r="B348" s="1089"/>
      <c r="C348" s="1089"/>
      <c r="D348" s="1081"/>
      <c r="E348" s="1105"/>
      <c r="F348" s="1112"/>
    </row>
    <row r="349" spans="1:6" ht="15.5">
      <c r="A349" s="1084"/>
      <c r="B349" s="1089"/>
      <c r="C349" s="1089"/>
      <c r="D349" s="1081"/>
      <c r="E349" s="1105"/>
      <c r="F349" s="1112"/>
    </row>
    <row r="350" spans="1:6" ht="15.5">
      <c r="A350" s="1084"/>
      <c r="B350" s="1089"/>
      <c r="C350" s="1089"/>
      <c r="D350" s="1081"/>
      <c r="E350" s="1105"/>
      <c r="F350" s="1112"/>
    </row>
    <row r="351" spans="1:6" ht="15.5">
      <c r="A351" s="1084"/>
      <c r="B351" s="1089"/>
      <c r="C351" s="1089"/>
      <c r="D351" s="1081"/>
      <c r="E351" s="1105"/>
      <c r="F351" s="1112"/>
    </row>
    <row r="352" spans="1:6" ht="15.5">
      <c r="A352" s="1084"/>
      <c r="B352" s="1074"/>
      <c r="C352" s="1074"/>
      <c r="D352" s="1081"/>
      <c r="E352" s="1105"/>
      <c r="F352" s="1112"/>
    </row>
    <row r="353" spans="1:6" ht="15.5">
      <c r="A353" s="1084"/>
      <c r="B353" s="1074"/>
      <c r="C353" s="1074"/>
      <c r="D353" s="1081"/>
      <c r="E353" s="1105"/>
      <c r="F353" s="1112"/>
    </row>
    <row r="354" spans="1:6" ht="15.5">
      <c r="A354" s="1084"/>
      <c r="B354" s="1074"/>
      <c r="C354" s="1074"/>
      <c r="D354" s="1081"/>
      <c r="E354" s="1105"/>
      <c r="F354" s="1112"/>
    </row>
    <row r="355" spans="1:6" ht="15.5">
      <c r="A355" s="1084"/>
      <c r="B355" s="1074"/>
      <c r="C355" s="1074"/>
      <c r="D355" s="1081"/>
      <c r="E355" s="1105"/>
      <c r="F355" s="1112"/>
    </row>
    <row r="356" spans="1:6" ht="15.5">
      <c r="A356" s="1084"/>
      <c r="B356" s="1085"/>
      <c r="C356" s="1085"/>
      <c r="D356" s="1081"/>
      <c r="E356" s="1105"/>
      <c r="F356" s="1112"/>
    </row>
    <row r="357" spans="1:6" ht="15.5">
      <c r="A357" s="1404" t="s">
        <v>701</v>
      </c>
      <c r="B357" s="1405"/>
      <c r="C357" s="1087"/>
      <c r="D357" s="1083">
        <f>SUM(D341:D356)</f>
        <v>8925</v>
      </c>
      <c r="E357" s="1111">
        <f>SUM(E341:E356)</f>
        <v>0</v>
      </c>
      <c r="F357" s="1112"/>
    </row>
    <row r="358" spans="1:6" ht="15.5">
      <c r="A358" s="1125"/>
      <c r="B358" s="1126"/>
      <c r="C358" s="1127"/>
      <c r="D358" s="1128"/>
      <c r="E358" s="1131"/>
      <c r="F358" s="1112"/>
    </row>
    <row r="359" spans="1:6" ht="15.5">
      <c r="A359" s="1406" t="s">
        <v>720</v>
      </c>
      <c r="B359" s="1406"/>
      <c r="C359" s="1065"/>
      <c r="D359" s="1066"/>
      <c r="E359" s="1065"/>
      <c r="F359" s="1112"/>
    </row>
    <row r="360" spans="1:6" ht="15.5">
      <c r="A360" s="1069" t="s">
        <v>690</v>
      </c>
      <c r="B360" s="1070" t="s">
        <v>691</v>
      </c>
      <c r="C360" s="1070" t="s">
        <v>692</v>
      </c>
      <c r="D360" s="1071">
        <v>2019</v>
      </c>
      <c r="E360" s="1116">
        <v>2015</v>
      </c>
      <c r="F360" s="1112">
        <v>2018</v>
      </c>
    </row>
    <row r="361" spans="1:6" ht="15.5">
      <c r="A361" s="1143" t="s">
        <v>12</v>
      </c>
      <c r="B361" s="1073" t="s">
        <v>13</v>
      </c>
      <c r="C361" s="1089"/>
      <c r="D361" s="1075">
        <f>'Trial Combine 19'!$I$9</f>
        <v>8925</v>
      </c>
      <c r="E361" s="1098"/>
      <c r="F361" s="1112">
        <v>8799</v>
      </c>
    </row>
    <row r="362" spans="1:6" ht="15.5">
      <c r="A362" s="1143" t="s">
        <v>28</v>
      </c>
      <c r="B362" s="1073" t="s">
        <v>13</v>
      </c>
      <c r="C362" s="1089"/>
      <c r="D362" s="1075">
        <f>'Trial Combine 19'!$I$10</f>
        <v>0</v>
      </c>
      <c r="E362" s="1098"/>
      <c r="F362" s="1112"/>
    </row>
    <row r="363" spans="1:6" ht="15.5">
      <c r="A363" s="1121"/>
      <c r="B363" s="1144"/>
      <c r="C363" s="1089"/>
      <c r="D363" s="1075"/>
      <c r="E363" s="1098"/>
      <c r="F363" s="1112"/>
    </row>
    <row r="364" spans="1:6" ht="15.5">
      <c r="A364" s="1121"/>
      <c r="B364" s="1144"/>
      <c r="C364" s="1089"/>
      <c r="D364" s="1075"/>
      <c r="E364" s="1098"/>
      <c r="F364" s="1112"/>
    </row>
    <row r="365" spans="1:6" ht="15.5">
      <c r="A365" s="1121"/>
      <c r="B365" s="1144"/>
      <c r="C365" s="1089"/>
      <c r="D365" s="1075"/>
      <c r="E365" s="1098"/>
      <c r="F365" s="1112"/>
    </row>
    <row r="366" spans="1:6" ht="15.5">
      <c r="A366" s="1084"/>
      <c r="B366" s="1144"/>
      <c r="C366" s="1089"/>
      <c r="D366" s="1075"/>
      <c r="E366" s="1098"/>
      <c r="F366" s="1112"/>
    </row>
    <row r="367" spans="1:6" ht="15.5">
      <c r="A367" s="1084"/>
      <c r="B367" s="1089"/>
      <c r="C367" s="1089"/>
      <c r="D367" s="1081"/>
      <c r="E367" s="1105"/>
      <c r="F367" s="1112"/>
    </row>
    <row r="368" spans="1:6" ht="15.5">
      <c r="A368" s="1084"/>
      <c r="B368" s="1089"/>
      <c r="C368" s="1089"/>
      <c r="D368" s="1081"/>
      <c r="E368" s="1105"/>
      <c r="F368" s="1112"/>
    </row>
    <row r="369" spans="1:9" ht="15.5">
      <c r="A369" s="1084"/>
      <c r="B369" s="1089"/>
      <c r="C369" s="1089"/>
      <c r="D369" s="1081"/>
      <c r="E369" s="1105"/>
      <c r="F369" s="1112"/>
    </row>
    <row r="370" spans="1:9" ht="15.5">
      <c r="A370" s="1084"/>
      <c r="B370" s="1089"/>
      <c r="C370" s="1089"/>
      <c r="D370" s="1081"/>
      <c r="E370" s="1105"/>
      <c r="F370" s="1112"/>
    </row>
    <row r="371" spans="1:9" ht="15.5">
      <c r="A371" s="1084"/>
      <c r="B371" s="1089"/>
      <c r="C371" s="1089"/>
      <c r="D371" s="1081"/>
      <c r="E371" s="1105"/>
      <c r="F371" s="1112"/>
    </row>
    <row r="372" spans="1:9" ht="15.5">
      <c r="A372" s="1084"/>
      <c r="B372" s="1074"/>
      <c r="C372" s="1074"/>
      <c r="D372" s="1081"/>
      <c r="E372" s="1105"/>
      <c r="F372" s="1112"/>
    </row>
    <row r="373" spans="1:9" ht="15.5">
      <c r="A373" s="1084"/>
      <c r="B373" s="1074"/>
      <c r="C373" s="1074"/>
      <c r="D373" s="1081"/>
      <c r="E373" s="1105"/>
      <c r="F373" s="1112"/>
    </row>
    <row r="374" spans="1:9" ht="15.5">
      <c r="A374" s="1084"/>
      <c r="B374" s="1074"/>
      <c r="C374" s="1074"/>
      <c r="D374" s="1081"/>
      <c r="E374" s="1105"/>
      <c r="F374" s="1112"/>
    </row>
    <row r="375" spans="1:9" ht="15.5">
      <c r="A375" s="1084"/>
      <c r="B375" s="1074"/>
      <c r="C375" s="1074"/>
      <c r="D375" s="1081"/>
      <c r="E375" s="1105"/>
      <c r="F375" s="1112"/>
    </row>
    <row r="376" spans="1:9" ht="15.5">
      <c r="A376" s="1084"/>
      <c r="B376" s="1085"/>
      <c r="C376" s="1085"/>
      <c r="D376" s="1081"/>
      <c r="E376" s="1105"/>
      <c r="F376" s="1112"/>
    </row>
    <row r="377" spans="1:9" ht="15.5">
      <c r="A377" s="1404" t="s">
        <v>701</v>
      </c>
      <c r="B377" s="1405"/>
      <c r="C377" s="1087"/>
      <c r="D377" s="1083">
        <f>SUM(D361:D376)</f>
        <v>8925</v>
      </c>
      <c r="E377" s="1111">
        <f>SUM(E361:E376)</f>
        <v>0</v>
      </c>
      <c r="F377" s="1117">
        <f>SUM(F361:F376)</f>
        <v>8799</v>
      </c>
    </row>
    <row r="378" spans="1:9" ht="15.5">
      <c r="A378" s="1125"/>
      <c r="B378" s="1126"/>
      <c r="C378" s="1127"/>
      <c r="D378" s="1128"/>
      <c r="E378" s="1131"/>
      <c r="F378" s="1112"/>
    </row>
    <row r="379" spans="1:9" ht="15.5">
      <c r="A379" s="1406" t="s">
        <v>721</v>
      </c>
      <c r="B379" s="1406"/>
      <c r="C379" s="1065"/>
      <c r="D379" s="1066"/>
      <c r="E379" s="1065"/>
      <c r="F379" s="1112"/>
    </row>
    <row r="380" spans="1:9" ht="15.5">
      <c r="A380" s="1069" t="s">
        <v>690</v>
      </c>
      <c r="B380" s="1070" t="s">
        <v>691</v>
      </c>
      <c r="C380" s="1070" t="s">
        <v>692</v>
      </c>
      <c r="D380" s="1071">
        <v>2018</v>
      </c>
      <c r="E380" s="1116">
        <v>2015</v>
      </c>
      <c r="F380" s="1112">
        <v>2018</v>
      </c>
    </row>
    <row r="381" spans="1:9" ht="15.5">
      <c r="A381" s="1143" t="s">
        <v>17</v>
      </c>
      <c r="B381" s="1073" t="s">
        <v>18</v>
      </c>
      <c r="C381" s="1089"/>
      <c r="D381" s="1075">
        <f>'Trial Combine 19'!I13</f>
        <v>0</v>
      </c>
      <c r="E381" s="1098"/>
      <c r="F381" s="1117">
        <v>312602.78999999998</v>
      </c>
    </row>
    <row r="382" spans="1:9" ht="15.5">
      <c r="A382" s="1143" t="s">
        <v>19</v>
      </c>
      <c r="B382" s="1073" t="s">
        <v>20</v>
      </c>
      <c r="C382" s="1089"/>
      <c r="D382" s="1075">
        <f>'Trial Combine 19'!I15</f>
        <v>0</v>
      </c>
      <c r="E382" s="1098"/>
      <c r="F382" s="1117">
        <v>1435947</v>
      </c>
      <c r="I382" s="392">
        <f>D382-1227463</f>
        <v>-1227463</v>
      </c>
    </row>
    <row r="383" spans="1:9" ht="15.5">
      <c r="A383" s="1121" t="s">
        <v>21</v>
      </c>
      <c r="B383" s="1144" t="s">
        <v>22</v>
      </c>
      <c r="C383" s="1089"/>
      <c r="D383" s="1075">
        <f>'Trial Combine 19'!I16</f>
        <v>0</v>
      </c>
      <c r="E383" s="1098"/>
      <c r="F383" s="1117">
        <v>73253.009999999995</v>
      </c>
    </row>
    <row r="384" spans="1:9" ht="15.5">
      <c r="A384" s="1121" t="s">
        <v>23</v>
      </c>
      <c r="B384" s="1144" t="s">
        <v>24</v>
      </c>
      <c r="C384" s="1089"/>
      <c r="D384" s="1075">
        <f>'Trial Combine 19'!I17</f>
        <v>0</v>
      </c>
      <c r="E384" s="1098"/>
      <c r="F384" s="1117">
        <v>22544.95</v>
      </c>
    </row>
    <row r="385" spans="1:6" ht="15.5">
      <c r="A385" s="1121" t="s">
        <v>12</v>
      </c>
      <c r="B385" s="1144" t="s">
        <v>360</v>
      </c>
      <c r="C385" s="1089"/>
      <c r="D385" s="1075">
        <f>'Trial Combine 19'!I18</f>
        <v>0</v>
      </c>
      <c r="E385" s="1098"/>
      <c r="F385" s="1117">
        <v>42784.12</v>
      </c>
    </row>
    <row r="386" spans="1:6" ht="15.5">
      <c r="A386" s="1084"/>
      <c r="B386" s="1144"/>
      <c r="C386" s="1089"/>
      <c r="D386" s="1075"/>
      <c r="E386" s="1098"/>
      <c r="F386" s="1112"/>
    </row>
    <row r="387" spans="1:6" ht="15.5">
      <c r="A387" s="1084"/>
      <c r="B387" s="1089"/>
      <c r="C387" s="1089"/>
      <c r="D387" s="1081"/>
      <c r="E387" s="1105"/>
      <c r="F387" s="1112"/>
    </row>
    <row r="388" spans="1:6" ht="15.5">
      <c r="A388" s="1084"/>
      <c r="B388" s="1089"/>
      <c r="C388" s="1089"/>
      <c r="D388" s="1081"/>
      <c r="E388" s="1105"/>
      <c r="F388" s="1112"/>
    </row>
    <row r="389" spans="1:6" ht="15.5">
      <c r="A389" s="1084"/>
      <c r="B389" s="1089"/>
      <c r="C389" s="1089"/>
      <c r="D389" s="1081"/>
      <c r="E389" s="1105"/>
      <c r="F389" s="1112"/>
    </row>
    <row r="390" spans="1:6" ht="15.5">
      <c r="A390" s="1084"/>
      <c r="B390" s="1089"/>
      <c r="C390" s="1089"/>
      <c r="D390" s="1081"/>
      <c r="E390" s="1105"/>
      <c r="F390" s="1112"/>
    </row>
    <row r="391" spans="1:6" ht="15.5">
      <c r="A391" s="1084"/>
      <c r="B391" s="1089"/>
      <c r="C391" s="1089"/>
      <c r="D391" s="1081"/>
      <c r="E391" s="1105"/>
      <c r="F391" s="1112"/>
    </row>
    <row r="392" spans="1:6" ht="15.5">
      <c r="A392" s="1084"/>
      <c r="B392" s="1074"/>
      <c r="C392" s="1074"/>
      <c r="D392" s="1081"/>
      <c r="E392" s="1105"/>
      <c r="F392" s="1112"/>
    </row>
    <row r="393" spans="1:6" ht="15.5">
      <c r="A393" s="1084"/>
      <c r="B393" s="1074"/>
      <c r="C393" s="1074"/>
      <c r="D393" s="1081"/>
      <c r="E393" s="1105"/>
      <c r="F393" s="1112"/>
    </row>
    <row r="394" spans="1:6" ht="15.5">
      <c r="A394" s="1084"/>
      <c r="B394" s="1074"/>
      <c r="C394" s="1074"/>
      <c r="D394" s="1081"/>
      <c r="E394" s="1105"/>
      <c r="F394" s="1112"/>
    </row>
    <row r="395" spans="1:6" ht="15.5">
      <c r="A395" s="1084"/>
      <c r="B395" s="1074"/>
      <c r="C395" s="1074"/>
      <c r="D395" s="1081"/>
      <c r="E395" s="1105"/>
      <c r="F395" s="1112"/>
    </row>
    <row r="396" spans="1:6" ht="15.5">
      <c r="A396" s="1084"/>
      <c r="B396" s="1085"/>
      <c r="C396" s="1085"/>
      <c r="D396" s="1081"/>
      <c r="E396" s="1105"/>
      <c r="F396" s="1112"/>
    </row>
    <row r="397" spans="1:6" ht="15.5">
      <c r="A397" s="1404" t="s">
        <v>701</v>
      </c>
      <c r="B397" s="1405"/>
      <c r="C397" s="1087"/>
      <c r="D397" s="1083">
        <f>SUM(D381:D396)</f>
        <v>0</v>
      </c>
      <c r="E397" s="1111">
        <f>SUM(E381:E396)</f>
        <v>0</v>
      </c>
      <c r="F397" s="1117">
        <f>SUM(F381:F396)</f>
        <v>1887131.87</v>
      </c>
    </row>
    <row r="398" spans="1:6" ht="15.5">
      <c r="A398" s="1125"/>
      <c r="B398" s="1126"/>
      <c r="C398" s="1127"/>
      <c r="D398" s="1128"/>
      <c r="E398" s="1131"/>
      <c r="F398" s="1112"/>
    </row>
    <row r="399" spans="1:6" ht="15.5">
      <c r="A399" s="1406" t="s">
        <v>722</v>
      </c>
      <c r="B399" s="1406"/>
      <c r="C399" s="1065"/>
      <c r="D399" s="1066"/>
      <c r="E399" s="1065"/>
      <c r="F399" s="1112"/>
    </row>
    <row r="400" spans="1:6" ht="15.5">
      <c r="A400" s="1069" t="s">
        <v>690</v>
      </c>
      <c r="B400" s="1070" t="s">
        <v>691</v>
      </c>
      <c r="C400" s="1070" t="s">
        <v>692</v>
      </c>
      <c r="D400" s="1071">
        <v>2019</v>
      </c>
      <c r="E400" s="1116">
        <v>2015</v>
      </c>
      <c r="F400" s="1112">
        <v>2018</v>
      </c>
    </row>
    <row r="401" spans="1:6" ht="15.75" customHeight="1">
      <c r="A401" s="1084" t="s">
        <v>603</v>
      </c>
      <c r="B401" s="1073" t="s">
        <v>723</v>
      </c>
      <c r="C401" s="1089"/>
      <c r="D401" s="1075">
        <f>'Trial Combine 19'!$F$285</f>
        <v>0</v>
      </c>
      <c r="E401" s="1098"/>
      <c r="F401" s="1117">
        <v>20000</v>
      </c>
    </row>
    <row r="402" spans="1:6" ht="15.75" customHeight="1">
      <c r="A402" s="1084" t="s">
        <v>601</v>
      </c>
      <c r="B402" s="1145" t="s">
        <v>724</v>
      </c>
      <c r="C402" s="1089"/>
      <c r="D402" s="1081" t="e">
        <f>#REF!</f>
        <v>#REF!</v>
      </c>
      <c r="E402" s="1105"/>
      <c r="F402" s="1117">
        <v>2131863</v>
      </c>
    </row>
    <row r="403" spans="1:6" ht="15.5">
      <c r="A403" s="1084"/>
      <c r="B403" s="1089"/>
      <c r="C403" s="1089"/>
      <c r="D403" s="1081"/>
      <c r="E403" s="1105"/>
      <c r="F403" s="1112"/>
    </row>
    <row r="404" spans="1:6" ht="15.5">
      <c r="A404" s="1084"/>
      <c r="B404" s="1089"/>
      <c r="C404" s="1089"/>
      <c r="D404" s="1081"/>
      <c r="E404" s="1105"/>
      <c r="F404" s="1112"/>
    </row>
    <row r="405" spans="1:6" ht="15.5">
      <c r="A405" s="1146"/>
      <c r="B405" s="1089"/>
      <c r="C405" s="1089"/>
      <c r="D405" s="1081"/>
      <c r="E405" s="1105"/>
      <c r="F405" s="1112"/>
    </row>
    <row r="406" spans="1:6" ht="15.5">
      <c r="A406" s="1084"/>
      <c r="B406" s="1089"/>
      <c r="C406" s="1089"/>
      <c r="D406" s="1081"/>
      <c r="E406" s="1105"/>
      <c r="F406" s="1112"/>
    </row>
    <row r="407" spans="1:6" ht="15.5">
      <c r="A407" s="1084"/>
      <c r="B407" s="1089"/>
      <c r="C407" s="1089"/>
      <c r="D407" s="1081"/>
      <c r="E407" s="1105"/>
      <c r="F407" s="1112"/>
    </row>
    <row r="408" spans="1:6" ht="15.5">
      <c r="A408" s="1084"/>
      <c r="B408" s="1089"/>
      <c r="C408" s="1089"/>
      <c r="D408" s="1081"/>
      <c r="E408" s="1105"/>
      <c r="F408" s="1112"/>
    </row>
    <row r="409" spans="1:6" ht="15.5">
      <c r="A409" s="1084"/>
      <c r="B409" s="1089"/>
      <c r="C409" s="1089"/>
      <c r="D409" s="1081"/>
      <c r="E409" s="1105"/>
      <c r="F409" s="1112"/>
    </row>
    <row r="410" spans="1:6" ht="15.5">
      <c r="A410" s="1084"/>
      <c r="B410" s="1089"/>
      <c r="C410" s="1089"/>
      <c r="D410" s="1081"/>
      <c r="E410" s="1105"/>
      <c r="F410" s="1112"/>
    </row>
    <row r="411" spans="1:6" ht="15.5">
      <c r="A411" s="1084"/>
      <c r="B411" s="1089"/>
      <c r="C411" s="1089"/>
      <c r="D411" s="1081"/>
      <c r="E411" s="1105"/>
      <c r="F411" s="1112"/>
    </row>
    <row r="412" spans="1:6" ht="15.5">
      <c r="A412" s="1084"/>
      <c r="B412" s="1089"/>
      <c r="C412" s="1089"/>
      <c r="D412" s="1081"/>
      <c r="E412" s="1105"/>
      <c r="F412" s="1112"/>
    </row>
    <row r="413" spans="1:6" ht="15.5">
      <c r="A413" s="1084"/>
      <c r="B413" s="1089"/>
      <c r="C413" s="1089"/>
      <c r="D413" s="1081"/>
      <c r="E413" s="1105"/>
      <c r="F413" s="1112"/>
    </row>
    <row r="414" spans="1:6" ht="15.5">
      <c r="A414" s="1084"/>
      <c r="B414" s="1089"/>
      <c r="C414" s="1089"/>
      <c r="D414" s="1081"/>
      <c r="E414" s="1105"/>
      <c r="F414" s="1112"/>
    </row>
    <row r="415" spans="1:6" ht="15.5">
      <c r="A415" s="1084"/>
      <c r="B415" s="1085"/>
      <c r="C415" s="1085"/>
      <c r="D415" s="1081"/>
      <c r="E415" s="1105"/>
      <c r="F415" s="1112"/>
    </row>
    <row r="416" spans="1:6" ht="15.5">
      <c r="A416" s="1404" t="s">
        <v>701</v>
      </c>
      <c r="B416" s="1405"/>
      <c r="C416" s="1087"/>
      <c r="D416" s="1083" t="e">
        <f>SUM(D401:D414)</f>
        <v>#REF!</v>
      </c>
      <c r="E416" s="1111">
        <f>SUM(E401:E414)</f>
        <v>0</v>
      </c>
      <c r="F416" s="1117">
        <f>SUM(F401:F414)</f>
        <v>2151863</v>
      </c>
    </row>
    <row r="417" spans="1:7" ht="15.5">
      <c r="A417" s="1125"/>
      <c r="B417" s="1126"/>
      <c r="C417" s="1127"/>
      <c r="D417" s="1128"/>
      <c r="E417" s="1131"/>
      <c r="F417" s="1112"/>
    </row>
    <row r="418" spans="1:7" ht="15.5">
      <c r="A418" s="1147" t="s">
        <v>725</v>
      </c>
      <c r="B418" s="1068"/>
      <c r="C418" s="1133"/>
      <c r="D418" s="1066"/>
      <c r="E418" s="1065"/>
      <c r="F418" s="1112"/>
    </row>
    <row r="419" spans="1:7" ht="15.5">
      <c r="A419" s="1069" t="s">
        <v>690</v>
      </c>
      <c r="B419" s="1070" t="s">
        <v>691</v>
      </c>
      <c r="C419" s="1070" t="s">
        <v>692</v>
      </c>
      <c r="D419" s="1071">
        <v>2019</v>
      </c>
      <c r="E419" s="1116">
        <v>2015</v>
      </c>
      <c r="F419" s="1088">
        <v>2018</v>
      </c>
      <c r="G419" s="1095"/>
    </row>
    <row r="420" spans="1:7" ht="15.75" customHeight="1">
      <c r="A420" s="1135" t="s">
        <v>604</v>
      </c>
      <c r="B420" s="1148" t="s">
        <v>726</v>
      </c>
      <c r="C420" s="1089"/>
      <c r="D420" s="1075">
        <f>'Trial Combine 19'!$F$286</f>
        <v>0</v>
      </c>
      <c r="E420" s="1098"/>
      <c r="F420" s="1104">
        <v>500000</v>
      </c>
      <c r="G420" s="1095"/>
    </row>
    <row r="421" spans="1:7" ht="15.5">
      <c r="A421" s="1088"/>
      <c r="B421" s="1149"/>
      <c r="C421" s="1089"/>
      <c r="D421" s="1075">
        <v>0</v>
      </c>
      <c r="E421" s="1098"/>
      <c r="F421" s="1104">
        <v>0</v>
      </c>
      <c r="G421" s="1095"/>
    </row>
    <row r="422" spans="1:7" ht="15.5">
      <c r="A422" s="1088"/>
      <c r="B422" s="1150"/>
      <c r="C422" s="1089"/>
      <c r="D422" s="1075"/>
      <c r="E422" s="1142"/>
      <c r="F422" s="1099"/>
      <c r="G422" s="1095"/>
    </row>
    <row r="423" spans="1:7" ht="15.5">
      <c r="A423" s="1088"/>
      <c r="B423" s="1150"/>
      <c r="C423" s="1089"/>
      <c r="D423" s="1075"/>
      <c r="E423" s="1098"/>
      <c r="F423" s="1099"/>
      <c r="G423" s="1095"/>
    </row>
    <row r="424" spans="1:7" ht="15.5">
      <c r="A424" s="1088"/>
      <c r="B424" s="1150"/>
      <c r="C424" s="1089"/>
      <c r="D424" s="1075"/>
      <c r="E424" s="1098"/>
      <c r="F424" s="1099"/>
      <c r="G424" s="1095">
        <v>-3501493</v>
      </c>
    </row>
    <row r="425" spans="1:7" ht="15.5">
      <c r="A425" s="1088"/>
      <c r="B425" s="1089"/>
      <c r="C425" s="1089"/>
      <c r="D425" s="1081"/>
      <c r="E425" s="1098"/>
      <c r="F425" s="1099"/>
      <c r="G425" s="1095"/>
    </row>
    <row r="426" spans="1:7" ht="15.5">
      <c r="A426" s="1088"/>
      <c r="B426" s="1089"/>
      <c r="C426" s="1089"/>
      <c r="D426" s="1081"/>
      <c r="E426" s="1098"/>
      <c r="F426" s="1099"/>
      <c r="G426" s="1095"/>
    </row>
    <row r="427" spans="1:7" ht="15.5">
      <c r="A427" s="1088"/>
      <c r="B427" s="1089"/>
      <c r="C427" s="1089"/>
      <c r="D427" s="1081"/>
      <c r="E427" s="1098"/>
      <c r="F427" s="1099"/>
      <c r="G427" s="1095">
        <v>95918</v>
      </c>
    </row>
    <row r="428" spans="1:7" ht="15.5">
      <c r="A428" s="1084"/>
      <c r="B428" s="1089"/>
      <c r="C428" s="1089"/>
      <c r="D428" s="1081"/>
      <c r="E428" s="1105"/>
      <c r="F428" s="1099"/>
      <c r="G428" s="1095"/>
    </row>
    <row r="429" spans="1:7" ht="15.5">
      <c r="A429" s="1084"/>
      <c r="B429" s="1089"/>
      <c r="C429" s="1074"/>
      <c r="D429" s="1081"/>
      <c r="E429" s="1105"/>
      <c r="F429" s="1099"/>
      <c r="G429" s="1095"/>
    </row>
    <row r="430" spans="1:7" ht="15.5">
      <c r="A430" s="1084"/>
      <c r="B430" s="1074"/>
      <c r="C430" s="1074"/>
      <c r="D430" s="1081"/>
      <c r="E430" s="1105"/>
      <c r="F430" s="1099"/>
      <c r="G430" s="1095"/>
    </row>
    <row r="431" spans="1:7" ht="15.5">
      <c r="A431" s="1084"/>
      <c r="B431" s="1074"/>
      <c r="C431" s="1074"/>
      <c r="D431" s="1081"/>
      <c r="E431" s="1105"/>
      <c r="F431" s="1099"/>
      <c r="G431" s="1095"/>
    </row>
    <row r="432" spans="1:7" ht="15.5">
      <c r="A432" s="1084"/>
      <c r="B432" s="1074"/>
      <c r="C432" s="1074"/>
      <c r="D432" s="1081"/>
      <c r="E432" s="1105"/>
      <c r="F432" s="1099"/>
      <c r="G432" s="1095"/>
    </row>
    <row r="433" spans="1:7" ht="15.5">
      <c r="A433" s="1084"/>
      <c r="B433" s="1074"/>
      <c r="C433" s="1074"/>
      <c r="D433" s="1081"/>
      <c r="E433" s="1105"/>
      <c r="F433" s="1099"/>
      <c r="G433" s="1095"/>
    </row>
    <row r="434" spans="1:7" ht="15.5">
      <c r="A434" s="1084"/>
      <c r="B434" s="1074"/>
      <c r="C434" s="1074"/>
      <c r="D434" s="1081"/>
      <c r="E434" s="1105"/>
      <c r="F434" s="1099"/>
      <c r="G434" s="1095"/>
    </row>
    <row r="435" spans="1:7" ht="15.5">
      <c r="A435" s="1084"/>
      <c r="B435" s="1085"/>
      <c r="C435" s="1085"/>
      <c r="D435" s="1081"/>
      <c r="E435" s="1105"/>
      <c r="F435" s="1099"/>
      <c r="G435" s="1095"/>
    </row>
    <row r="436" spans="1:7" ht="15.5">
      <c r="A436" s="1404" t="s">
        <v>701</v>
      </c>
      <c r="B436" s="1405"/>
      <c r="C436" s="1087"/>
      <c r="D436" s="1083">
        <f>SUM(D420:D434)</f>
        <v>0</v>
      </c>
      <c r="E436" s="1111">
        <f>SUM(E420:E434)</f>
        <v>0</v>
      </c>
      <c r="F436" s="1104">
        <f>SUM(F420:F434)</f>
        <v>500000</v>
      </c>
      <c r="G436" s="1095">
        <v>-20893352</v>
      </c>
    </row>
    <row r="437" spans="1:7" ht="15.5">
      <c r="A437" s="1125"/>
      <c r="B437" s="1126"/>
      <c r="C437" s="1127"/>
      <c r="D437" s="1128"/>
      <c r="E437" s="1131"/>
      <c r="F437" s="1099"/>
      <c r="G437" s="1095"/>
    </row>
    <row r="438" spans="1:7" ht="15.5">
      <c r="A438" s="1406" t="s">
        <v>727</v>
      </c>
      <c r="B438" s="1406"/>
      <c r="C438" s="1151"/>
      <c r="D438" s="1151"/>
      <c r="E438" s="1152"/>
      <c r="F438" s="1099"/>
      <c r="G438" s="1095"/>
    </row>
    <row r="439" spans="1:7" ht="15.5">
      <c r="A439" s="1069" t="s">
        <v>690</v>
      </c>
      <c r="B439" s="1119" t="s">
        <v>691</v>
      </c>
      <c r="C439" s="1070" t="s">
        <v>692</v>
      </c>
      <c r="D439" s="1071">
        <v>2019</v>
      </c>
      <c r="E439" s="1116">
        <v>2015</v>
      </c>
      <c r="F439" s="1363" t="s">
        <v>728</v>
      </c>
      <c r="G439" s="1095"/>
    </row>
    <row r="440" spans="1:7" ht="15.75" customHeight="1">
      <c r="A440" s="1135"/>
      <c r="B440" s="1145" t="s">
        <v>729</v>
      </c>
      <c r="C440" s="1089"/>
      <c r="D440" s="1075">
        <f>D502</f>
        <v>0</v>
      </c>
      <c r="E440" s="1098"/>
      <c r="F440" s="1154">
        <v>2743819</v>
      </c>
      <c r="G440" s="1095"/>
    </row>
    <row r="441" spans="1:7" ht="15.75" customHeight="1">
      <c r="A441" s="1135"/>
      <c r="B441" s="1145" t="s">
        <v>110</v>
      </c>
      <c r="C441" s="1089"/>
      <c r="D441" s="1075">
        <f>D523</f>
        <v>0</v>
      </c>
      <c r="E441" s="1105"/>
      <c r="F441" s="1154">
        <v>1253150</v>
      </c>
      <c r="G441" s="1095"/>
    </row>
    <row r="442" spans="1:7" ht="15.75" customHeight="1">
      <c r="A442" s="1135" t="s">
        <v>174</v>
      </c>
      <c r="B442" s="1145" t="s">
        <v>730</v>
      </c>
      <c r="C442" s="1089"/>
      <c r="D442" s="1075">
        <f>'Trial Combine 19'!$J$219+'Trial Combine 19'!J222</f>
        <v>1140805.07</v>
      </c>
      <c r="E442" s="1105"/>
      <c r="F442" s="1154">
        <v>521683</v>
      </c>
      <c r="G442" s="1095"/>
    </row>
    <row r="443" spans="1:7" ht="15.5">
      <c r="A443" s="1135" t="s">
        <v>176</v>
      </c>
      <c r="B443" s="1145" t="s">
        <v>677</v>
      </c>
      <c r="C443" s="1089"/>
      <c r="D443" s="1075">
        <f>'Trial Combine 19'!$J$221</f>
        <v>0</v>
      </c>
      <c r="E443" s="1105"/>
      <c r="F443" s="1155">
        <v>1438063</v>
      </c>
      <c r="G443" s="1095"/>
    </row>
    <row r="444" spans="1:7" ht="15.5">
      <c r="A444" s="1135"/>
      <c r="B444" s="1145"/>
      <c r="C444" s="1089"/>
      <c r="D444" s="1075"/>
      <c r="E444" s="1105"/>
      <c r="F444" s="1153"/>
      <c r="G444" s="1095"/>
    </row>
    <row r="445" spans="1:7" ht="15.75" customHeight="1">
      <c r="A445" s="1135"/>
      <c r="B445" s="1145"/>
      <c r="C445" s="1089"/>
      <c r="D445" s="1075"/>
      <c r="E445" s="1105"/>
      <c r="F445" s="1153"/>
      <c r="G445" s="1095"/>
    </row>
    <row r="446" spans="1:7" ht="15.5">
      <c r="A446" s="1084"/>
      <c r="B446" s="1089"/>
      <c r="C446" s="1089"/>
      <c r="D446" s="1081"/>
      <c r="E446" s="1105"/>
      <c r="F446" s="1153"/>
      <c r="G446" s="1095"/>
    </row>
    <row r="447" spans="1:7" ht="15.5">
      <c r="A447" s="1084"/>
      <c r="B447" s="1089"/>
      <c r="C447" s="1089"/>
      <c r="D447" s="1081"/>
      <c r="E447" s="1105"/>
      <c r="F447" s="1156"/>
    </row>
    <row r="448" spans="1:7" ht="15.5">
      <c r="A448" s="1084"/>
      <c r="B448" s="1089"/>
      <c r="C448" s="1089"/>
      <c r="D448" s="1081"/>
      <c r="E448" s="1105"/>
      <c r="F448" s="1156"/>
    </row>
    <row r="449" spans="1:7" ht="15.5">
      <c r="A449" s="1084"/>
      <c r="B449" s="1089"/>
      <c r="C449" s="1089"/>
      <c r="D449" s="1081"/>
      <c r="E449" s="1105"/>
      <c r="F449" s="1156"/>
    </row>
    <row r="450" spans="1:7" ht="15.5">
      <c r="A450" s="1084"/>
      <c r="B450" s="1089"/>
      <c r="C450" s="1089"/>
      <c r="D450" s="1082"/>
      <c r="E450" s="1105"/>
      <c r="F450" s="1156"/>
    </row>
    <row r="451" spans="1:7" ht="15.5">
      <c r="A451" s="1084"/>
      <c r="B451" s="1089"/>
      <c r="C451" s="1089"/>
      <c r="D451" s="1082"/>
      <c r="E451" s="1105"/>
      <c r="F451" s="1156"/>
    </row>
    <row r="452" spans="1:7" ht="15.5">
      <c r="A452" s="1135"/>
      <c r="B452" s="1145"/>
      <c r="C452" s="1089"/>
      <c r="D452" s="1075"/>
      <c r="E452" s="1098"/>
      <c r="F452" s="1156"/>
    </row>
    <row r="453" spans="1:7" ht="15.5">
      <c r="A453" s="1084"/>
      <c r="B453" s="1089"/>
      <c r="C453" s="1089"/>
      <c r="D453" s="1081"/>
      <c r="E453" s="1105"/>
      <c r="F453" s="1156"/>
    </row>
    <row r="454" spans="1:7" ht="15.5">
      <c r="A454" s="1084"/>
      <c r="B454" s="1089"/>
      <c r="C454" s="1089"/>
      <c r="D454" s="1081"/>
      <c r="E454" s="1105"/>
      <c r="F454" s="1156"/>
    </row>
    <row r="455" spans="1:7" ht="15.5">
      <c r="A455" s="1084"/>
      <c r="B455" s="1089"/>
      <c r="C455" s="1074"/>
      <c r="D455" s="1081"/>
      <c r="E455" s="1105"/>
      <c r="F455" s="1156"/>
    </row>
    <row r="456" spans="1:7" ht="15.5">
      <c r="A456" s="1084"/>
      <c r="B456" s="1074"/>
      <c r="C456" s="1074"/>
      <c r="D456" s="1081"/>
      <c r="E456" s="1105"/>
      <c r="F456" s="1153"/>
      <c r="G456" s="1095"/>
    </row>
    <row r="457" spans="1:7" ht="15.5">
      <c r="A457" s="1084"/>
      <c r="B457" s="1074"/>
      <c r="C457" s="1074"/>
      <c r="D457" s="1081"/>
      <c r="E457" s="1105"/>
      <c r="F457" s="1153"/>
      <c r="G457" s="1095"/>
    </row>
    <row r="458" spans="1:7" ht="15.5">
      <c r="A458" s="1084"/>
      <c r="B458" s="1074"/>
      <c r="C458" s="1074"/>
      <c r="D458" s="1081"/>
      <c r="E458" s="1105"/>
      <c r="F458" s="1153"/>
      <c r="G458" s="1095"/>
    </row>
    <row r="459" spans="1:7" ht="15.5">
      <c r="A459" s="1084"/>
      <c r="B459" s="1085"/>
      <c r="C459" s="1085"/>
      <c r="D459" s="1081"/>
      <c r="E459" s="1105"/>
      <c r="F459" s="1153"/>
      <c r="G459" s="1095"/>
    </row>
    <row r="460" spans="1:7" ht="15.5">
      <c r="A460" s="1404" t="s">
        <v>701</v>
      </c>
      <c r="B460" s="1405"/>
      <c r="C460" s="1087"/>
      <c r="D460" s="1083">
        <f>SUM(D440:D458)</f>
        <v>1140805.07</v>
      </c>
      <c r="E460" s="1111">
        <f>SUM(E440:E458)</f>
        <v>0</v>
      </c>
      <c r="F460" s="1153"/>
      <c r="G460" s="1095"/>
    </row>
    <row r="461" spans="1:7" ht="15.5">
      <c r="A461" s="1125"/>
      <c r="B461" s="1126"/>
      <c r="C461" s="1127"/>
      <c r="D461" s="1128"/>
      <c r="E461" s="1131"/>
      <c r="F461" s="1099"/>
      <c r="G461" s="1095"/>
    </row>
    <row r="462" spans="1:7" ht="15.75" customHeight="1">
      <c r="A462" s="1406" t="s">
        <v>731</v>
      </c>
      <c r="B462" s="1406"/>
      <c r="C462" s="1157"/>
      <c r="D462" s="1157"/>
      <c r="E462" s="1166"/>
      <c r="F462" s="1099"/>
      <c r="G462" s="1095" t="s">
        <v>732</v>
      </c>
    </row>
    <row r="463" spans="1:7" ht="15.5">
      <c r="A463" s="1069" t="s">
        <v>690</v>
      </c>
      <c r="B463" s="1070" t="s">
        <v>691</v>
      </c>
      <c r="C463" s="1070" t="s">
        <v>692</v>
      </c>
      <c r="D463" s="1071">
        <v>2019</v>
      </c>
      <c r="E463" s="1116">
        <v>2015</v>
      </c>
      <c r="F463" s="1088">
        <v>2018</v>
      </c>
      <c r="G463" s="1095"/>
    </row>
    <row r="464" spans="1:7" ht="15.5">
      <c r="A464" s="1069"/>
      <c r="B464" s="1120" t="s">
        <v>708</v>
      </c>
      <c r="C464" s="1070"/>
      <c r="D464" s="1071"/>
      <c r="E464" s="1116"/>
      <c r="F464" s="1099"/>
      <c r="G464" s="1095"/>
    </row>
    <row r="465" spans="1:7" ht="15.5">
      <c r="A465" s="1069"/>
      <c r="B465" s="1120"/>
      <c r="C465" s="1070"/>
      <c r="D465" s="1071"/>
      <c r="E465" s="1116"/>
      <c r="F465" s="1099"/>
      <c r="G465" s="1095"/>
    </row>
    <row r="466" spans="1:7" ht="15.5">
      <c r="A466" s="1135" t="s">
        <v>183</v>
      </c>
      <c r="B466" s="1073" t="s">
        <v>184</v>
      </c>
      <c r="C466" s="1089"/>
      <c r="D466" s="1075">
        <f>'Trial Combine 19'!J227</f>
        <v>0</v>
      </c>
      <c r="E466" s="1098"/>
      <c r="F466" s="1104"/>
      <c r="G466" s="1095"/>
    </row>
    <row r="467" spans="1:7" ht="15.5">
      <c r="A467" s="1135"/>
      <c r="B467" s="1073" t="s">
        <v>553</v>
      </c>
      <c r="C467" s="1089"/>
      <c r="D467" s="1075">
        <f>'Trial Combine 19'!J231</f>
        <v>0</v>
      </c>
      <c r="E467" s="1098"/>
      <c r="F467" s="1104"/>
      <c r="G467" s="1095"/>
    </row>
    <row r="468" spans="1:7" ht="15.5">
      <c r="A468" s="1135"/>
      <c r="B468" s="1073" t="s">
        <v>560</v>
      </c>
      <c r="C468" s="1089"/>
      <c r="D468" s="1075">
        <v>0</v>
      </c>
      <c r="E468" s="1098"/>
      <c r="F468" s="1104">
        <v>189645</v>
      </c>
      <c r="G468" s="1095"/>
    </row>
    <row r="469" spans="1:7" ht="15.5">
      <c r="A469" s="1135"/>
      <c r="B469" s="1073" t="s">
        <v>561</v>
      </c>
      <c r="C469" s="1089"/>
      <c r="D469" s="1075">
        <v>0</v>
      </c>
      <c r="E469" s="1098"/>
      <c r="F469" s="1104"/>
      <c r="G469" s="1095"/>
    </row>
    <row r="470" spans="1:7" ht="15.5">
      <c r="A470" s="1135"/>
      <c r="B470" s="1073" t="s">
        <v>194</v>
      </c>
      <c r="C470" s="1089"/>
      <c r="D470" s="1075">
        <v>0</v>
      </c>
      <c r="E470" s="1098"/>
      <c r="F470" s="1104"/>
      <c r="G470" s="1095"/>
    </row>
    <row r="471" spans="1:7" ht="15.5">
      <c r="A471" s="1135"/>
      <c r="B471" s="1073" t="str">
        <f>'Trial Combine 19'!B229</f>
        <v>LASANI GOODS</v>
      </c>
      <c r="C471" s="1089"/>
      <c r="D471" s="1075">
        <f>'Trial Combine 19'!J229</f>
        <v>0</v>
      </c>
      <c r="E471" s="1098"/>
      <c r="F471" s="1104">
        <v>45000</v>
      </c>
      <c r="G471" s="1095"/>
    </row>
    <row r="472" spans="1:7" ht="15.5">
      <c r="A472" s="1135"/>
      <c r="B472" s="1073" t="str">
        <f>'Trial Combine 19'!B230</f>
        <v>MIP LOAN A/C</v>
      </c>
      <c r="C472" s="1089"/>
      <c r="D472" s="1075">
        <f>'Trial Combine 19'!J230</f>
        <v>0</v>
      </c>
      <c r="E472" s="1098"/>
      <c r="F472" s="1104"/>
      <c r="G472" s="1095"/>
    </row>
    <row r="473" spans="1:7" ht="15.5">
      <c r="A473" s="1135"/>
      <c r="B473" s="1073" t="str">
        <f>'Trial Combine 19'!B254</f>
        <v>MAERSK PAKISTAN PVT LTD</v>
      </c>
      <c r="C473" s="1089"/>
      <c r="D473" s="1075">
        <f>'Trial Combine 19'!J254</f>
        <v>0</v>
      </c>
      <c r="E473" s="1098"/>
      <c r="F473" s="1104"/>
      <c r="G473" s="1095"/>
    </row>
    <row r="474" spans="1:7" ht="15.5">
      <c r="A474" s="1135"/>
      <c r="B474" s="1120" t="s">
        <v>712</v>
      </c>
      <c r="C474" s="1089"/>
      <c r="D474" s="1075"/>
      <c r="E474" s="1098"/>
      <c r="F474" s="1104"/>
      <c r="G474" s="1095"/>
    </row>
    <row r="475" spans="1:7" ht="15.5">
      <c r="A475" s="1135"/>
      <c r="B475" s="1073" t="str">
        <f>'Trial Combine 19'!B251</f>
        <v>Action air logistics</v>
      </c>
      <c r="C475" s="1089"/>
      <c r="D475" s="1075">
        <f>'Trial Combine 19'!J251</f>
        <v>0</v>
      </c>
      <c r="E475" s="1098"/>
      <c r="F475" s="1104"/>
      <c r="G475" s="1095"/>
    </row>
    <row r="476" spans="1:7" ht="15.5">
      <c r="A476" s="1135"/>
      <c r="B476" s="1073" t="str">
        <f>'Trial Combine 19'!B247</f>
        <v>DELMAR CHINA INC</v>
      </c>
      <c r="C476" s="1089"/>
      <c r="D476" s="1075">
        <f>'Trial Combine 19'!J247</f>
        <v>0</v>
      </c>
      <c r="E476" s="1098"/>
      <c r="F476" s="1104"/>
      <c r="G476" s="1095"/>
    </row>
    <row r="477" spans="1:7" ht="15.5">
      <c r="A477" s="1088" t="s">
        <v>569</v>
      </c>
      <c r="B477" s="1073" t="s">
        <v>570</v>
      </c>
      <c r="C477" s="1089"/>
      <c r="D477" s="1075">
        <f>'Trial Combine 19'!J249</f>
        <v>0</v>
      </c>
      <c r="E477" s="1098"/>
      <c r="F477" s="1104">
        <v>77222</v>
      </c>
      <c r="G477" s="1095"/>
    </row>
    <row r="478" spans="1:7" ht="15.5">
      <c r="A478" s="1088"/>
      <c r="B478" s="1073" t="s">
        <v>550</v>
      </c>
      <c r="C478" s="1089"/>
      <c r="D478" s="1075">
        <v>0</v>
      </c>
      <c r="E478" s="1098"/>
      <c r="F478" s="1104"/>
    </row>
    <row r="479" spans="1:7" ht="31">
      <c r="A479" s="1088"/>
      <c r="B479" s="1073" t="str">
        <f>'Trial Combine 19'!B248</f>
        <v>LINK BRIDGE (BEIJING) INTERNATIONAL LOGISTICS CO.,</v>
      </c>
      <c r="C479" s="1089"/>
      <c r="D479" s="1075">
        <f>'Trial Combine 19'!J248</f>
        <v>0</v>
      </c>
      <c r="E479" s="1098"/>
      <c r="F479" s="1104">
        <v>1568597</v>
      </c>
    </row>
    <row r="480" spans="1:7" ht="15.5">
      <c r="A480" s="1088"/>
      <c r="B480" s="1073" t="s">
        <v>554</v>
      </c>
      <c r="C480" s="1089"/>
      <c r="D480" s="1075">
        <v>0</v>
      </c>
      <c r="E480" s="1098"/>
      <c r="F480" s="1104">
        <v>121849</v>
      </c>
    </row>
    <row r="481" spans="1:6" ht="15.5">
      <c r="A481" s="1088"/>
      <c r="B481" s="1073" t="s">
        <v>733</v>
      </c>
      <c r="C481" s="1089"/>
      <c r="D481" s="1075"/>
      <c r="E481" s="1098"/>
      <c r="F481" s="1104">
        <v>41436</v>
      </c>
    </row>
    <row r="482" spans="1:6" ht="15.75" customHeight="1">
      <c r="A482" s="1088"/>
      <c r="B482" s="1073" t="s">
        <v>556</v>
      </c>
      <c r="C482" s="1089"/>
      <c r="D482" s="1075">
        <v>0</v>
      </c>
      <c r="E482" s="1098"/>
      <c r="F482" s="1104"/>
    </row>
    <row r="483" spans="1:6" ht="15.75" customHeight="1">
      <c r="A483" s="1088"/>
      <c r="B483" s="1073" t="s">
        <v>557</v>
      </c>
      <c r="C483" s="1089"/>
      <c r="D483" s="1075">
        <f>'Trial Combine 19'!J235</f>
        <v>0</v>
      </c>
      <c r="E483" s="1098"/>
      <c r="F483" s="1104"/>
    </row>
    <row r="484" spans="1:6" ht="15.5">
      <c r="A484" s="1088"/>
      <c r="B484" s="1073" t="s">
        <v>562</v>
      </c>
      <c r="C484" s="1089"/>
      <c r="D484" s="1075">
        <f>'Trial Combine 19'!J241</f>
        <v>0</v>
      </c>
      <c r="E484" s="1098"/>
      <c r="F484" s="1104">
        <v>388194</v>
      </c>
    </row>
    <row r="485" spans="1:6" ht="15.5">
      <c r="A485" s="1088"/>
      <c r="B485" s="1073" t="s">
        <v>564</v>
      </c>
      <c r="C485" s="1089"/>
      <c r="D485" s="1075">
        <v>0</v>
      </c>
      <c r="E485" s="1098"/>
      <c r="F485" s="1104"/>
    </row>
    <row r="486" spans="1:6" ht="15.75" customHeight="1">
      <c r="A486" s="1088"/>
      <c r="B486" s="1073" t="s">
        <v>573</v>
      </c>
      <c r="C486" s="1089"/>
      <c r="D486" s="1075">
        <f>'Trial Combine 19'!J252</f>
        <v>0</v>
      </c>
      <c r="E486" s="1098"/>
      <c r="F486" s="1104"/>
    </row>
    <row r="487" spans="1:6" ht="15.5">
      <c r="A487" s="1088"/>
      <c r="B487" s="1073" t="s">
        <v>574</v>
      </c>
      <c r="C487" s="1089"/>
      <c r="D487" s="1075">
        <f>'Trial Combine 19'!J253</f>
        <v>0</v>
      </c>
      <c r="E487" s="1098"/>
      <c r="F487" s="1104"/>
    </row>
    <row r="488" spans="1:6" ht="15.75" customHeight="1">
      <c r="A488" s="1088"/>
      <c r="B488" s="1158" t="str">
        <f>'Trial Combine 19'!B236</f>
        <v>INTERTRANS</v>
      </c>
      <c r="C488" s="1089"/>
      <c r="D488" s="1075">
        <f>'Trial Combine 19'!J236</f>
        <v>0</v>
      </c>
      <c r="E488" s="1098"/>
      <c r="F488" s="1104"/>
    </row>
    <row r="489" spans="1:6" ht="15.75" customHeight="1">
      <c r="A489" s="1088"/>
      <c r="B489" s="1073" t="str">
        <f>'Trial Combine 19'!B258</f>
        <v>clear freight international</v>
      </c>
      <c r="C489" s="1089"/>
      <c r="D489" s="1075">
        <f>'Trial Combine 19'!J258</f>
        <v>0</v>
      </c>
      <c r="E489" s="1098"/>
      <c r="F489" s="1104"/>
    </row>
    <row r="490" spans="1:6" ht="15.75" customHeight="1">
      <c r="A490" s="1088"/>
      <c r="B490" s="1073" t="str">
        <f>'Trial Combine 19'!B259</f>
        <v>GLS INTERNATIONAL</v>
      </c>
      <c r="C490" s="1089"/>
      <c r="D490" s="1075">
        <f>'Trial Combine 19'!J259</f>
        <v>0</v>
      </c>
      <c r="E490" s="1098"/>
      <c r="F490" s="1104"/>
    </row>
    <row r="491" spans="1:6" ht="15.5">
      <c r="A491" s="1088"/>
      <c r="B491" s="1073" t="str">
        <f>'Trial Combine 19'!B260</f>
        <v>NAYAB DECONSOLIDATION</v>
      </c>
      <c r="C491" s="1089"/>
      <c r="D491" s="1075">
        <f>'Trial Combine 19'!J260</f>
        <v>0</v>
      </c>
      <c r="E491" s="1098"/>
      <c r="F491" s="1104">
        <v>40475</v>
      </c>
    </row>
    <row r="492" spans="1:6" ht="15.75" customHeight="1">
      <c r="A492" s="1088"/>
      <c r="B492" s="1073" t="str">
        <f>'Trial Combine 19'!B261</f>
        <v>UNITED MARINE AGENCY</v>
      </c>
      <c r="C492" s="1089"/>
      <c r="D492" s="1075">
        <f>'Trial Combine 19'!J261</f>
        <v>0</v>
      </c>
      <c r="E492" s="1098"/>
      <c r="F492" s="1104"/>
    </row>
    <row r="493" spans="1:6" ht="15.75" customHeight="1">
      <c r="A493" s="1088"/>
      <c r="B493" s="1073" t="str">
        <f>'Trial Combine 19'!B263</f>
        <v>CMA CGM PAKISTAN PVT LTD</v>
      </c>
      <c r="C493" s="1089"/>
      <c r="D493" s="1075">
        <f>'Trial Combine 19'!J263</f>
        <v>0</v>
      </c>
      <c r="E493" s="1098"/>
      <c r="F493" s="1104"/>
    </row>
    <row r="494" spans="1:6" ht="15.5">
      <c r="A494" s="1088"/>
      <c r="B494" s="1073" t="str">
        <f>'Trial Combine 19'!B264</f>
        <v>HAPAG-LLOYD PAKISTAN PVT LTD</v>
      </c>
      <c r="C494" s="1089"/>
      <c r="D494" s="1075">
        <f>'Trial Combine 19'!J264</f>
        <v>0</v>
      </c>
      <c r="E494" s="1098"/>
      <c r="F494" s="1104"/>
    </row>
    <row r="495" spans="1:6" ht="15.5">
      <c r="A495" s="1088"/>
      <c r="B495" s="1073" t="str">
        <f>'Trial Combine 19'!B265</f>
        <v>PCI LOGISTICS</v>
      </c>
      <c r="C495" s="1089"/>
      <c r="D495" s="1075">
        <f>'Trial Combine 19'!J265</f>
        <v>0</v>
      </c>
      <c r="E495" s="1098"/>
      <c r="F495" s="1104"/>
    </row>
    <row r="496" spans="1:6" ht="15.5">
      <c r="A496" s="1159"/>
      <c r="B496" s="1160" t="s">
        <v>566</v>
      </c>
      <c r="C496" s="1161"/>
      <c r="D496" s="1162"/>
      <c r="E496" s="1167"/>
      <c r="F496" s="1104">
        <v>80960</v>
      </c>
    </row>
    <row r="497" spans="1:7" ht="15.5">
      <c r="A497" s="1159"/>
      <c r="B497" s="1160" t="s">
        <v>734</v>
      </c>
      <c r="C497" s="1161"/>
      <c r="D497" s="1162"/>
      <c r="E497" s="1167"/>
      <c r="F497" s="1104">
        <v>190440</v>
      </c>
    </row>
    <row r="498" spans="1:7" ht="15.5">
      <c r="A498" s="1159"/>
      <c r="B498" s="1163" t="str">
        <f>'Trial Combine 19'!B265</f>
        <v>PCI LOGISTICS</v>
      </c>
      <c r="C498" s="1161"/>
      <c r="D498" s="1162"/>
      <c r="E498" s="1167"/>
      <c r="F498" s="1104"/>
    </row>
    <row r="499" spans="1:7" ht="15.5">
      <c r="A499" s="1159"/>
      <c r="B499" s="1122" t="s">
        <v>594</v>
      </c>
      <c r="C499" s="1161"/>
      <c r="D499" s="1162">
        <f>'Trial Combine 19'!J269</f>
        <v>0</v>
      </c>
      <c r="E499" s="1167"/>
      <c r="F499" s="1104"/>
    </row>
    <row r="500" spans="1:7" ht="15.5">
      <c r="A500" s="1159"/>
      <c r="B500" s="1160"/>
      <c r="C500" s="1161"/>
      <c r="D500" s="1162"/>
      <c r="E500" s="1167"/>
      <c r="F500" s="1104"/>
    </row>
    <row r="501" spans="1:7" ht="15.5">
      <c r="A501" s="1164"/>
      <c r="B501" s="1163"/>
      <c r="C501" s="1165"/>
      <c r="D501" s="1082">
        <v>0</v>
      </c>
      <c r="E501" s="1106"/>
      <c r="F501" s="1104"/>
    </row>
    <row r="502" spans="1:7" ht="15.5">
      <c r="A502" s="1404" t="s">
        <v>701</v>
      </c>
      <c r="B502" s="1405"/>
      <c r="C502" s="1087"/>
      <c r="D502" s="1083">
        <f>SUM(D465:D501)</f>
        <v>0</v>
      </c>
      <c r="E502" s="1111"/>
      <c r="F502" s="1104">
        <f>SUM(F465:F501)</f>
        <v>2743818</v>
      </c>
      <c r="G502" s="1168" t="e">
        <f>#REF!/D502</f>
        <v>#REF!</v>
      </c>
    </row>
    <row r="503" spans="1:7" ht="15.5">
      <c r="A503" s="1125"/>
      <c r="B503" s="1126"/>
      <c r="C503" s="1127"/>
      <c r="D503" s="1128"/>
      <c r="E503" s="1131"/>
      <c r="F503" s="1099"/>
      <c r="G503" s="1095"/>
    </row>
    <row r="504" spans="1:7" ht="15.75" customHeight="1">
      <c r="A504" s="1406" t="s">
        <v>735</v>
      </c>
      <c r="B504" s="1406"/>
      <c r="C504" s="1157"/>
      <c r="D504" s="1157"/>
      <c r="E504" s="1166"/>
      <c r="F504" s="1099"/>
      <c r="G504" s="1095" t="s">
        <v>732</v>
      </c>
    </row>
    <row r="505" spans="1:7" ht="15.5">
      <c r="A505" s="1069" t="s">
        <v>690</v>
      </c>
      <c r="B505" s="1070" t="s">
        <v>691</v>
      </c>
      <c r="C505" s="1070" t="s">
        <v>692</v>
      </c>
      <c r="D505" s="1071">
        <v>2019</v>
      </c>
      <c r="E505" s="1116">
        <v>2015</v>
      </c>
      <c r="F505" s="1364" t="s">
        <v>728</v>
      </c>
      <c r="G505" s="1095"/>
    </row>
    <row r="506" spans="1:7" ht="15.5">
      <c r="A506" s="1135" t="s">
        <v>410</v>
      </c>
      <c r="B506" s="1073" t="s">
        <v>411</v>
      </c>
      <c r="C506" s="1089"/>
      <c r="D506" s="1075">
        <f>'Trial Combine 19'!J87</f>
        <v>0</v>
      </c>
      <c r="E506" s="1098"/>
      <c r="F506" s="1169"/>
      <c r="G506" s="1095"/>
    </row>
    <row r="507" spans="1:7" ht="15.5">
      <c r="A507" s="1088" t="s">
        <v>425</v>
      </c>
      <c r="B507" s="1073" t="s">
        <v>426</v>
      </c>
      <c r="C507" s="1089"/>
      <c r="D507" s="1075">
        <f>'Trial Combine 19'!J100</f>
        <v>0</v>
      </c>
      <c r="E507" s="1098"/>
      <c r="F507" s="1169"/>
      <c r="G507" s="1095"/>
    </row>
    <row r="508" spans="1:7" ht="15.5">
      <c r="A508" s="1088" t="s">
        <v>89</v>
      </c>
      <c r="B508" s="1073" t="s">
        <v>90</v>
      </c>
      <c r="C508" s="1089"/>
      <c r="D508" s="1075">
        <f>'Trial Combine 19'!J105</f>
        <v>0</v>
      </c>
      <c r="E508" s="1098"/>
      <c r="F508" s="1169"/>
    </row>
    <row r="509" spans="1:7" ht="15.5">
      <c r="A509" s="1088" t="s">
        <v>461</v>
      </c>
      <c r="B509" s="1073" t="s">
        <v>462</v>
      </c>
      <c r="C509" s="1089"/>
      <c r="D509" s="1075">
        <f>'Trial Combine 19'!J128</f>
        <v>0</v>
      </c>
      <c r="E509" s="1098"/>
      <c r="F509" s="1169"/>
    </row>
    <row r="510" spans="1:7" ht="31">
      <c r="A510" s="1088"/>
      <c r="B510" s="1073" t="str">
        <f>'Trial Combine 19'!B150</f>
        <v>MIQ LOGISTICS (SHA) LTD SHENZEN</v>
      </c>
      <c r="C510" s="1089"/>
      <c r="D510" s="1075">
        <f>'Trial Combine 19'!J150</f>
        <v>0</v>
      </c>
      <c r="E510" s="1098"/>
      <c r="F510" s="1169"/>
    </row>
    <row r="511" spans="1:7" ht="15.5">
      <c r="A511" s="1088" t="s">
        <v>109</v>
      </c>
      <c r="B511" s="1073" t="s">
        <v>111</v>
      </c>
      <c r="C511" s="1089"/>
      <c r="D511" s="1075">
        <f>'Trial Combine 19'!J129</f>
        <v>0</v>
      </c>
      <c r="E511" s="1098"/>
      <c r="F511" s="1169"/>
    </row>
    <row r="512" spans="1:7" ht="15.75" customHeight="1">
      <c r="A512" s="1088" t="s">
        <v>474</v>
      </c>
      <c r="B512" s="1073" t="s">
        <v>475</v>
      </c>
      <c r="C512" s="1089"/>
      <c r="D512" s="1075">
        <f>'Trial Combine 19'!J137</f>
        <v>0</v>
      </c>
      <c r="E512" s="1098"/>
      <c r="F512" s="1169"/>
    </row>
    <row r="513" spans="1:8" ht="15.5">
      <c r="A513" s="1088" t="s">
        <v>505</v>
      </c>
      <c r="B513" s="1073" t="s">
        <v>506</v>
      </c>
      <c r="C513" s="1089"/>
      <c r="D513" s="1075">
        <f>'Trial Combine 19'!J168</f>
        <v>0</v>
      </c>
      <c r="E513" s="1098"/>
      <c r="F513" s="1169"/>
    </row>
    <row r="514" spans="1:8" ht="15.75" customHeight="1">
      <c r="A514" s="1088"/>
      <c r="B514" s="1073" t="s">
        <v>487</v>
      </c>
      <c r="C514" s="1089"/>
      <c r="D514" s="1075">
        <f>'Trial Combine 19'!J151</f>
        <v>0</v>
      </c>
      <c r="E514" s="1098"/>
      <c r="F514" s="1169"/>
    </row>
    <row r="515" spans="1:8" ht="15.5">
      <c r="A515" s="1088"/>
      <c r="B515" s="1073" t="s">
        <v>488</v>
      </c>
      <c r="C515" s="1089"/>
      <c r="D515" s="1075">
        <f>'Trial Combine 19'!J152</f>
        <v>0</v>
      </c>
      <c r="E515" s="1098"/>
      <c r="F515" s="1169"/>
    </row>
    <row r="516" spans="1:8" ht="15.5">
      <c r="A516" s="1088"/>
      <c r="B516" s="1073" t="s">
        <v>498</v>
      </c>
      <c r="C516" s="1089"/>
      <c r="D516" s="1075">
        <f>'Trial Combine 19'!J159</f>
        <v>0</v>
      </c>
      <c r="E516" s="1098"/>
      <c r="F516" s="1169"/>
    </row>
    <row r="517" spans="1:8" ht="15.75" customHeight="1">
      <c r="A517" s="1088"/>
      <c r="B517" s="1073" t="s">
        <v>401</v>
      </c>
      <c r="C517" s="1089"/>
      <c r="D517" s="1075">
        <f>'Trial Combine 19'!J82</f>
        <v>0</v>
      </c>
      <c r="E517" s="1098"/>
      <c r="F517" s="1169">
        <v>135355</v>
      </c>
    </row>
    <row r="518" spans="1:8" ht="15.5">
      <c r="A518" s="1088"/>
      <c r="B518" s="1073" t="s">
        <v>500</v>
      </c>
      <c r="C518" s="1089"/>
      <c r="D518" s="1075">
        <f>'Trial Combine 19'!J161</f>
        <v>0</v>
      </c>
      <c r="E518" s="1098"/>
      <c r="F518" s="1169">
        <v>6042</v>
      </c>
      <c r="G518" s="392">
        <f>D519+D521</f>
        <v>0</v>
      </c>
    </row>
    <row r="519" spans="1:8" ht="15.5">
      <c r="A519" s="1088"/>
      <c r="B519" s="1073" t="s">
        <v>527</v>
      </c>
      <c r="C519" s="1089"/>
      <c r="D519" s="1075">
        <f>'Trial Combine 19'!J185</f>
        <v>0</v>
      </c>
      <c r="E519" s="1098"/>
      <c r="F519" s="1169">
        <v>1111752.57</v>
      </c>
    </row>
    <row r="520" spans="1:8" ht="15.75" customHeight="1">
      <c r="A520" s="1088"/>
      <c r="B520" s="1073" t="s">
        <v>545</v>
      </c>
      <c r="C520" s="1089"/>
      <c r="D520" s="1075">
        <f>'Trial Combine 19'!J215</f>
        <v>0</v>
      </c>
      <c r="E520" s="1098"/>
      <c r="F520" s="1169">
        <v>0</v>
      </c>
      <c r="G520" s="1168" t="e">
        <f>G518/D523</f>
        <v>#DIV/0!</v>
      </c>
    </row>
    <row r="521" spans="1:8" ht="15.5">
      <c r="A521" s="1088"/>
      <c r="B521" s="1073" t="s">
        <v>545</v>
      </c>
      <c r="C521" s="1089"/>
      <c r="D521" s="1075">
        <v>0</v>
      </c>
      <c r="E521" s="1098"/>
      <c r="F521" s="1169">
        <v>0</v>
      </c>
    </row>
    <row r="522" spans="1:8" ht="15.5">
      <c r="A522" s="1164"/>
      <c r="B522" s="1170"/>
      <c r="C522" s="1165"/>
      <c r="D522" s="1082"/>
      <c r="E522" s="1106"/>
      <c r="F522" s="1169"/>
    </row>
    <row r="523" spans="1:8" ht="15.5">
      <c r="A523" s="1404" t="s">
        <v>701</v>
      </c>
      <c r="B523" s="1405"/>
      <c r="C523" s="1087"/>
      <c r="D523" s="1083">
        <f>SUM(D506:D521)</f>
        <v>0</v>
      </c>
      <c r="E523" s="1111"/>
      <c r="F523" s="1169">
        <f>SUM(F506:F521)</f>
        <v>1253149.57</v>
      </c>
      <c r="G523">
        <v>7486927</v>
      </c>
      <c r="H523" s="1130">
        <f>D523-G523</f>
        <v>-7486927</v>
      </c>
    </row>
    <row r="524" spans="1:8" ht="15.5">
      <c r="A524" s="1125"/>
      <c r="B524" s="1126"/>
      <c r="C524" s="1127"/>
      <c r="D524" s="1128"/>
      <c r="E524" s="1131"/>
      <c r="F524" s="1099"/>
    </row>
    <row r="525" spans="1:8" ht="15.5">
      <c r="A525" s="1068" t="s">
        <v>736</v>
      </c>
      <c r="B525" s="1068"/>
      <c r="C525" s="1065"/>
      <c r="D525" s="1066"/>
      <c r="E525" s="1065"/>
      <c r="F525" s="1099"/>
    </row>
    <row r="526" spans="1:8" ht="15.5">
      <c r="A526" s="1069" t="s">
        <v>690</v>
      </c>
      <c r="B526" s="1070" t="s">
        <v>691</v>
      </c>
      <c r="C526" s="1070" t="s">
        <v>692</v>
      </c>
      <c r="D526" s="1071">
        <v>2019</v>
      </c>
      <c r="E526" s="1116">
        <v>2015</v>
      </c>
      <c r="F526" s="1365" t="s">
        <v>728</v>
      </c>
    </row>
    <row r="527" spans="1:8" ht="15.75" customHeight="1">
      <c r="A527" s="1088" t="s">
        <v>607</v>
      </c>
      <c r="B527" s="1094" t="s">
        <v>737</v>
      </c>
      <c r="C527" s="1094"/>
      <c r="D527" s="1075">
        <f>'Trial Combine 19'!$D$296</f>
        <v>144306.22</v>
      </c>
      <c r="E527" s="1098"/>
      <c r="F527" s="1099"/>
    </row>
    <row r="528" spans="1:8" ht="15.5">
      <c r="A528" s="1088" t="s">
        <v>238</v>
      </c>
      <c r="B528" s="1094" t="s">
        <v>239</v>
      </c>
      <c r="C528" s="1094"/>
      <c r="D528" s="1075">
        <f>'Trial Combine 19'!J308</f>
        <v>0</v>
      </c>
      <c r="E528" s="1098"/>
      <c r="F528" s="1104">
        <v>1387274</v>
      </c>
    </row>
    <row r="529" spans="1:9" ht="15.5">
      <c r="A529" s="1088" t="s">
        <v>241</v>
      </c>
      <c r="B529" s="1094" t="s">
        <v>242</v>
      </c>
      <c r="C529" s="1094"/>
      <c r="D529" s="1075">
        <f>'Trial Combine 19'!J311</f>
        <v>0</v>
      </c>
      <c r="E529" s="1098"/>
      <c r="F529" s="1104">
        <v>10429018</v>
      </c>
      <c r="G529" s="1095"/>
      <c r="H529" s="1095">
        <v>44</v>
      </c>
      <c r="I529" s="1095"/>
    </row>
    <row r="530" spans="1:9" ht="15.5">
      <c r="A530" s="1088" t="s">
        <v>244</v>
      </c>
      <c r="B530" s="1089" t="s">
        <v>243</v>
      </c>
      <c r="C530" s="1089"/>
      <c r="D530" s="1081">
        <f>'Trial Combine 19'!$D$316</f>
        <v>0</v>
      </c>
      <c r="E530" s="1105"/>
      <c r="F530" s="1104">
        <v>856968</v>
      </c>
      <c r="G530" s="1095"/>
      <c r="H530" s="1095"/>
      <c r="I530" s="1178">
        <v>24</v>
      </c>
    </row>
    <row r="531" spans="1:9" ht="15.5">
      <c r="A531" s="1088" t="s">
        <v>614</v>
      </c>
      <c r="B531" s="1089" t="s">
        <v>615</v>
      </c>
      <c r="C531" s="1089"/>
      <c r="D531" s="1081">
        <f>'Trial Combine 19'!$D$319</f>
        <v>0</v>
      </c>
      <c r="E531" s="1105"/>
      <c r="F531" s="1104"/>
      <c r="G531" s="1095"/>
      <c r="H531" s="1095"/>
      <c r="I531" s="1095"/>
    </row>
    <row r="532" spans="1:9" ht="15.5">
      <c r="A532" s="1088"/>
      <c r="B532" s="1089" t="s">
        <v>612</v>
      </c>
      <c r="C532" s="1089"/>
      <c r="D532" s="1081">
        <f>'Trial Combine 19'!J314</f>
        <v>0</v>
      </c>
      <c r="E532" s="1105"/>
      <c r="F532" s="1104">
        <v>2868959</v>
      </c>
      <c r="G532" s="1095"/>
      <c r="H532" s="1095"/>
      <c r="I532" s="1095"/>
    </row>
    <row r="533" spans="1:9" ht="15.5">
      <c r="A533" s="1088"/>
      <c r="B533" s="1089"/>
      <c r="C533" s="1089"/>
      <c r="D533" s="1081"/>
      <c r="E533" s="1105"/>
      <c r="F533" s="1099"/>
      <c r="G533" s="1095"/>
      <c r="H533" s="1095"/>
      <c r="I533" s="1095"/>
    </row>
    <row r="534" spans="1:9" ht="15.5">
      <c r="A534" s="1088"/>
      <c r="B534" s="1089"/>
      <c r="C534" s="1089"/>
      <c r="D534" s="1081"/>
      <c r="E534" s="1105"/>
      <c r="F534" s="1099"/>
      <c r="G534" s="1095"/>
      <c r="H534" s="1095"/>
      <c r="I534" s="1095"/>
    </row>
    <row r="535" spans="1:9" ht="15.5">
      <c r="A535" s="1088"/>
      <c r="B535" s="1089"/>
      <c r="C535" s="1089"/>
      <c r="D535" s="1081"/>
      <c r="E535" s="1105"/>
      <c r="F535" s="1099"/>
      <c r="G535" s="1095"/>
      <c r="H535" s="1095"/>
      <c r="I535" s="1095"/>
    </row>
    <row r="536" spans="1:9" ht="15.5">
      <c r="A536" s="1088"/>
      <c r="B536" s="1089"/>
      <c r="C536" s="1089"/>
      <c r="D536" s="1081"/>
      <c r="E536" s="1105"/>
      <c r="F536" s="1099"/>
      <c r="G536" s="1095">
        <v>8860690.1400000006</v>
      </c>
      <c r="H536" s="1095"/>
      <c r="I536" s="1095"/>
    </row>
    <row r="537" spans="1:9" ht="15.5">
      <c r="A537" s="1088"/>
      <c r="B537" s="1089"/>
      <c r="C537" s="1089"/>
      <c r="D537" s="1081"/>
      <c r="E537" s="1105"/>
      <c r="F537" s="1099"/>
      <c r="G537" s="1095"/>
      <c r="H537" s="1095"/>
      <c r="I537" s="1095"/>
    </row>
    <row r="538" spans="1:9" ht="15.5">
      <c r="A538" s="1088"/>
      <c r="B538" s="1089"/>
      <c r="C538" s="1089"/>
      <c r="D538" s="1081"/>
      <c r="E538" s="1105"/>
      <c r="F538" s="1099"/>
      <c r="G538" s="1095"/>
      <c r="H538" s="1095"/>
      <c r="I538" s="1095"/>
    </row>
    <row r="539" spans="1:9" ht="15.5">
      <c r="A539" s="1088"/>
      <c r="B539" s="1089"/>
      <c r="C539" s="1089"/>
      <c r="D539" s="1081"/>
      <c r="E539" s="1105"/>
      <c r="F539" s="1099"/>
      <c r="G539" s="1095">
        <v>13538024.32</v>
      </c>
      <c r="H539" s="1095"/>
      <c r="I539" s="1095"/>
    </row>
    <row r="540" spans="1:9" ht="15.5">
      <c r="A540" s="1088"/>
      <c r="B540" s="1089"/>
      <c r="C540" s="1089"/>
      <c r="D540" s="1081"/>
      <c r="E540" s="1105"/>
      <c r="F540" s="1099"/>
      <c r="G540" s="1095"/>
      <c r="H540" s="1095"/>
      <c r="I540" s="1095"/>
    </row>
    <row r="541" spans="1:9" ht="15.5">
      <c r="A541" s="1088"/>
      <c r="B541" s="1089"/>
      <c r="C541" s="1089"/>
      <c r="D541" s="1081"/>
      <c r="E541" s="1105"/>
      <c r="F541" s="1099"/>
      <c r="G541" s="1095"/>
      <c r="H541" s="1095"/>
      <c r="I541" s="1095"/>
    </row>
    <row r="542" spans="1:9" ht="15.5">
      <c r="A542" s="1088"/>
      <c r="B542" s="1092"/>
      <c r="C542" s="1089"/>
      <c r="D542" s="1066"/>
      <c r="E542" s="1105"/>
      <c r="F542" s="1099"/>
      <c r="G542" s="1095">
        <v>1601109.77</v>
      </c>
      <c r="H542" s="1095"/>
      <c r="I542" s="1095"/>
    </row>
    <row r="543" spans="1:9" ht="15.5">
      <c r="A543" s="1084"/>
      <c r="B543" s="1089"/>
      <c r="C543" s="1089"/>
      <c r="D543" s="1081"/>
      <c r="E543" s="1105"/>
      <c r="F543" s="1099"/>
      <c r="G543" s="1095"/>
      <c r="H543" s="1095"/>
      <c r="I543" s="1095"/>
    </row>
    <row r="544" spans="1:9" ht="15.5">
      <c r="A544" s="1084"/>
      <c r="B544" s="1089"/>
      <c r="C544" s="1089"/>
      <c r="D544" s="1081"/>
      <c r="E544" s="1105"/>
      <c r="F544" s="1099"/>
      <c r="G544" s="1095">
        <v>852538</v>
      </c>
      <c r="H544" s="1095"/>
      <c r="I544" s="1095"/>
    </row>
    <row r="545" spans="1:9" ht="15.5">
      <c r="A545" s="1084"/>
      <c r="B545" s="1089"/>
      <c r="C545" s="1089"/>
      <c r="D545" s="1066"/>
      <c r="E545" s="1105"/>
      <c r="F545" s="1112"/>
    </row>
    <row r="546" spans="1:9" ht="15.5">
      <c r="A546" s="1084"/>
      <c r="B546" s="1089"/>
      <c r="C546" s="1089"/>
      <c r="D546" s="1081"/>
      <c r="E546" s="1105"/>
      <c r="F546" s="1112"/>
    </row>
    <row r="547" spans="1:9" ht="15.5">
      <c r="A547" s="1084"/>
      <c r="B547" s="1089"/>
      <c r="C547" s="1089"/>
      <c r="D547" s="1081"/>
      <c r="E547" s="1105"/>
      <c r="F547" s="1112"/>
      <c r="G547">
        <v>462403</v>
      </c>
    </row>
    <row r="548" spans="1:9" ht="15.5">
      <c r="A548" s="1084"/>
      <c r="B548" s="1089"/>
      <c r="C548" s="1089"/>
      <c r="D548" s="1081"/>
      <c r="E548" s="1105"/>
      <c r="F548" s="1112"/>
    </row>
    <row r="549" spans="1:9" ht="15.5">
      <c r="A549" s="1084"/>
      <c r="B549" s="1089"/>
      <c r="C549" s="1089"/>
      <c r="D549" s="1081"/>
      <c r="E549" s="1105"/>
      <c r="F549" s="1112"/>
    </row>
    <row r="550" spans="1:9" ht="15.5">
      <c r="A550" s="1084"/>
      <c r="B550" s="1074"/>
      <c r="C550" s="1074"/>
      <c r="D550" s="1081"/>
      <c r="E550" s="1105"/>
      <c r="F550" s="1112"/>
    </row>
    <row r="551" spans="1:9" ht="15.5">
      <c r="A551" s="1084"/>
      <c r="B551" s="1085"/>
      <c r="C551" s="1085"/>
      <c r="D551" s="1081"/>
      <c r="E551" s="1105"/>
      <c r="F551" s="1112"/>
    </row>
    <row r="552" spans="1:9" ht="15.5">
      <c r="A552" s="1404" t="s">
        <v>701</v>
      </c>
      <c r="B552" s="1405"/>
      <c r="C552" s="1087"/>
      <c r="D552" s="1083">
        <f>SUM(D527:D550)</f>
        <v>144306.22</v>
      </c>
      <c r="E552" s="1111">
        <f>SUM(E527:E550)</f>
        <v>0</v>
      </c>
      <c r="F552" s="1117">
        <f>SUM(F527:F550)</f>
        <v>15542219</v>
      </c>
      <c r="G552" s="1176">
        <f>SUM(G536:G547)</f>
        <v>25314765.23</v>
      </c>
      <c r="I552" s="1176">
        <f>D552-G552</f>
        <v>-25170459.010000002</v>
      </c>
    </row>
    <row r="553" spans="1:9" ht="15.5">
      <c r="A553" s="1125"/>
      <c r="B553" s="1126"/>
      <c r="C553" s="1127"/>
      <c r="D553" s="1128"/>
      <c r="E553" s="1131"/>
      <c r="F553" s="1112"/>
    </row>
    <row r="554" spans="1:9" ht="15.5">
      <c r="A554" s="1406" t="s">
        <v>738</v>
      </c>
      <c r="B554" s="1406"/>
      <c r="C554" s="1065"/>
      <c r="D554" s="1066"/>
      <c r="E554" s="1065"/>
      <c r="F554" s="1112"/>
    </row>
    <row r="555" spans="1:9" ht="15.5">
      <c r="A555" s="1069" t="s">
        <v>690</v>
      </c>
      <c r="B555" s="1070" t="s">
        <v>691</v>
      </c>
      <c r="C555" s="1070" t="s">
        <v>692</v>
      </c>
      <c r="D555" s="1071">
        <v>2019</v>
      </c>
      <c r="E555" s="1116">
        <v>2015</v>
      </c>
      <c r="F555" s="1112">
        <v>2018</v>
      </c>
    </row>
    <row r="556" spans="1:9" ht="15.75" customHeight="1">
      <c r="A556" s="1135"/>
      <c r="B556" s="1145" t="s">
        <v>739</v>
      </c>
      <c r="C556" s="1089"/>
      <c r="D556" s="1075">
        <f>D598</f>
        <v>624614.19999999995</v>
      </c>
      <c r="E556" s="1105"/>
      <c r="F556" s="1117">
        <v>8598161.6300000008</v>
      </c>
    </row>
    <row r="557" spans="1:9" ht="15.75" customHeight="1">
      <c r="A557" s="1121" t="s">
        <v>306</v>
      </c>
      <c r="B557" s="1171"/>
      <c r="C557" s="1172"/>
      <c r="D557" s="1075">
        <f>'Trial Combine 19'!I398</f>
        <v>0</v>
      </c>
      <c r="E557" s="1105"/>
      <c r="F557" s="1117">
        <v>1173156</v>
      </c>
    </row>
    <row r="558" spans="1:9" ht="15.75" customHeight="1">
      <c r="A558" s="1121" t="s">
        <v>308</v>
      </c>
      <c r="B558" s="1171"/>
      <c r="C558" s="1172"/>
      <c r="D558" s="1075">
        <f>'Trial Combine 19'!I399</f>
        <v>0</v>
      </c>
      <c r="E558" s="1105"/>
      <c r="F558" s="1117">
        <v>116540</v>
      </c>
    </row>
    <row r="559" spans="1:9" ht="15.5">
      <c r="A559" s="1121"/>
      <c r="B559" s="1171"/>
      <c r="C559" s="1172"/>
      <c r="D559" s="1173"/>
      <c r="E559" s="1177"/>
      <c r="F559" s="1112"/>
    </row>
    <row r="560" spans="1:9" ht="15.5">
      <c r="A560" s="1121"/>
      <c r="B560" s="1171"/>
      <c r="C560" s="1172"/>
      <c r="D560" s="1173"/>
      <c r="E560" s="1177"/>
      <c r="F560" s="1112"/>
    </row>
    <row r="561" spans="1:6" ht="15.5">
      <c r="A561" s="1121"/>
      <c r="B561" s="1171"/>
      <c r="C561" s="1172"/>
      <c r="D561" s="1173"/>
      <c r="E561" s="1177"/>
      <c r="F561" s="1112"/>
    </row>
    <row r="562" spans="1:6" ht="15.5">
      <c r="A562" s="1174"/>
      <c r="B562" s="1171"/>
      <c r="C562" s="1172"/>
      <c r="D562" s="1075"/>
      <c r="E562" s="1098"/>
      <c r="F562" s="1112"/>
    </row>
    <row r="563" spans="1:6" ht="15.5">
      <c r="A563" s="1121"/>
      <c r="B563" s="1171"/>
      <c r="C563" s="1172"/>
      <c r="D563" s="1173"/>
      <c r="E563" s="1177"/>
      <c r="F563" s="1112"/>
    </row>
    <row r="564" spans="1:6" ht="15.5">
      <c r="A564" s="1121"/>
      <c r="B564" s="1171"/>
      <c r="C564" s="1172"/>
      <c r="D564" s="1173"/>
      <c r="E564" s="1177"/>
      <c r="F564" s="1112"/>
    </row>
    <row r="565" spans="1:6" ht="15.5">
      <c r="A565" s="1121"/>
      <c r="B565" s="1172"/>
      <c r="C565" s="1172"/>
      <c r="D565" s="1173"/>
      <c r="E565" s="1177"/>
      <c r="F565" s="1112"/>
    </row>
    <row r="566" spans="1:6" ht="15.5">
      <c r="A566" s="1121"/>
      <c r="B566" s="1172"/>
      <c r="C566" s="1172"/>
      <c r="D566" s="1173"/>
      <c r="E566" s="1177"/>
      <c r="F566" s="1112"/>
    </row>
    <row r="567" spans="1:6" ht="15.5">
      <c r="A567" s="1121"/>
      <c r="B567" s="1172"/>
      <c r="C567" s="1172"/>
      <c r="D567" s="1173"/>
      <c r="E567" s="1177"/>
      <c r="F567" s="1112"/>
    </row>
    <row r="568" spans="1:6" ht="15.5">
      <c r="A568" s="1084"/>
      <c r="B568" s="1089"/>
      <c r="C568" s="1089"/>
      <c r="D568" s="1081"/>
      <c r="E568" s="1105"/>
      <c r="F568" s="1112"/>
    </row>
    <row r="569" spans="1:6" ht="15.5">
      <c r="A569" s="1084"/>
      <c r="B569" s="1074"/>
      <c r="C569" s="1074"/>
      <c r="D569" s="1081"/>
      <c r="E569" s="1105"/>
      <c r="F569" s="1112"/>
    </row>
    <row r="570" spans="1:6" ht="15.5">
      <c r="A570" s="1084"/>
      <c r="B570" s="1074"/>
      <c r="C570" s="1074"/>
      <c r="D570" s="1081"/>
      <c r="E570" s="1105"/>
      <c r="F570" s="1112"/>
    </row>
    <row r="571" spans="1:6" ht="15.5">
      <c r="A571" s="1084"/>
      <c r="B571" s="1074"/>
      <c r="C571" s="1074"/>
      <c r="D571" s="1081"/>
      <c r="E571" s="1105"/>
      <c r="F571" s="1112"/>
    </row>
    <row r="572" spans="1:6" ht="15.5">
      <c r="A572" s="1084"/>
      <c r="B572" s="1074"/>
      <c r="C572" s="1074"/>
      <c r="D572" s="1081"/>
      <c r="E572" s="1105"/>
      <c r="F572" s="1112"/>
    </row>
    <row r="573" spans="1:6" ht="15.5">
      <c r="A573" s="1084"/>
      <c r="B573" s="1074"/>
      <c r="C573" s="1074"/>
      <c r="D573" s="1081"/>
      <c r="E573" s="1105"/>
      <c r="F573" s="1112"/>
    </row>
    <row r="574" spans="1:6" ht="15.5">
      <c r="A574" s="1084"/>
      <c r="B574" s="1175"/>
      <c r="C574" s="1085"/>
      <c r="D574" s="1081"/>
      <c r="E574" s="1105"/>
      <c r="F574" s="1112"/>
    </row>
    <row r="575" spans="1:6" ht="15.5">
      <c r="A575" s="1404"/>
      <c r="B575" s="1405"/>
      <c r="C575" s="1087"/>
      <c r="D575" s="1083">
        <f>SUM(D556:D573)</f>
        <v>624614.19999999995</v>
      </c>
      <c r="E575" s="1111">
        <f>SUM(E556:E573)</f>
        <v>0</v>
      </c>
      <c r="F575" s="1117">
        <f>SUM(F556:F573)</f>
        <v>9887857.6300000008</v>
      </c>
    </row>
    <row r="576" spans="1:6" ht="15.5">
      <c r="A576" s="1125"/>
      <c r="B576" s="1126"/>
      <c r="C576" s="1127"/>
      <c r="D576" s="1128"/>
      <c r="E576" s="1131"/>
      <c r="F576" s="1112"/>
    </row>
    <row r="577" spans="1:10" ht="15.5">
      <c r="A577" s="1068" t="s">
        <v>740</v>
      </c>
      <c r="B577" s="1068"/>
      <c r="C577" s="1065"/>
      <c r="D577" s="1066"/>
      <c r="E577" s="1065"/>
      <c r="F577" s="1112"/>
    </row>
    <row r="578" spans="1:10" ht="15.5">
      <c r="A578" s="1069" t="s">
        <v>690</v>
      </c>
      <c r="B578" s="1070" t="s">
        <v>691</v>
      </c>
      <c r="C578" s="1070" t="s">
        <v>692</v>
      </c>
      <c r="D578" s="1071">
        <v>2019</v>
      </c>
      <c r="E578" s="1116">
        <v>2015</v>
      </c>
      <c r="F578" s="1156">
        <v>2018</v>
      </c>
    </row>
    <row r="579" spans="1:10" ht="15.5">
      <c r="A579" s="1088" t="s">
        <v>251</v>
      </c>
      <c r="B579" s="1089" t="s">
        <v>252</v>
      </c>
      <c r="C579" s="1089"/>
      <c r="D579" s="1075">
        <f>'Trial Combine 19'!I327</f>
        <v>624614.19999999995</v>
      </c>
      <c r="E579" s="1098"/>
      <c r="F579" s="1117">
        <v>157179</v>
      </c>
      <c r="J579">
        <v>7164189.79</v>
      </c>
    </row>
    <row r="580" spans="1:10" ht="15.75" customHeight="1">
      <c r="A580" s="1179" t="s">
        <v>254</v>
      </c>
      <c r="B580" s="1089" t="s">
        <v>255</v>
      </c>
      <c r="C580" s="1089"/>
      <c r="D580" s="1075">
        <f>'Trial Combine 19'!I330</f>
        <v>0</v>
      </c>
      <c r="E580" s="1098"/>
      <c r="F580" s="1117">
        <v>7011699</v>
      </c>
    </row>
    <row r="581" spans="1:10" ht="15.75" customHeight="1">
      <c r="A581" s="1179" t="s">
        <v>257</v>
      </c>
      <c r="B581" s="1089" t="s">
        <v>256</v>
      </c>
      <c r="C581" s="1089"/>
      <c r="D581" s="1075">
        <f>'Trial Combine 19'!I336</f>
        <v>0</v>
      </c>
      <c r="E581" s="1098"/>
      <c r="F581" s="1117">
        <v>562280</v>
      </c>
    </row>
    <row r="582" spans="1:10" ht="15.75" customHeight="1">
      <c r="A582" s="1174" t="s">
        <v>620</v>
      </c>
      <c r="B582" s="1089" t="s">
        <v>621</v>
      </c>
      <c r="C582" s="1089"/>
      <c r="D582" s="1141">
        <f>'Trial Combine 19'!$C$339</f>
        <v>0</v>
      </c>
      <c r="E582" s="1142"/>
      <c r="F582" s="1117"/>
      <c r="J582">
        <v>7800754.5</v>
      </c>
    </row>
    <row r="583" spans="1:10" ht="15.75" customHeight="1">
      <c r="A583" s="1174"/>
      <c r="B583" s="1089" t="s">
        <v>618</v>
      </c>
      <c r="C583" s="1089"/>
      <c r="D583" s="1081">
        <f>'Trial Combine 19'!I333</f>
        <v>0</v>
      </c>
      <c r="E583" s="1105"/>
      <c r="F583" s="1117">
        <v>867003</v>
      </c>
    </row>
    <row r="584" spans="1:10" ht="15.75" customHeight="1">
      <c r="A584" s="1174"/>
      <c r="B584" s="1089"/>
      <c r="C584" s="1089"/>
      <c r="D584" s="1081"/>
      <c r="E584" s="1105"/>
      <c r="F584" s="1112"/>
    </row>
    <row r="585" spans="1:10" ht="15.5">
      <c r="A585" s="1174"/>
      <c r="B585" s="1171"/>
      <c r="C585" s="1089"/>
      <c r="D585" s="1075"/>
      <c r="E585" s="1098"/>
      <c r="F585" s="1112"/>
      <c r="J585">
        <v>1239922</v>
      </c>
    </row>
    <row r="586" spans="1:10" ht="15.5">
      <c r="A586" s="1174"/>
      <c r="B586" s="1171"/>
      <c r="C586" s="1089"/>
      <c r="D586" s="1075"/>
      <c r="E586" s="1098"/>
      <c r="F586" s="1112"/>
    </row>
    <row r="587" spans="1:10" ht="15.5">
      <c r="A587" s="1174"/>
      <c r="B587" s="1171"/>
      <c r="C587" s="1089"/>
      <c r="D587" s="1075"/>
      <c r="E587" s="1098"/>
      <c r="F587" s="1112"/>
    </row>
    <row r="588" spans="1:10" ht="15.5">
      <c r="A588" s="1174"/>
      <c r="B588" s="1171"/>
      <c r="C588" s="1089"/>
      <c r="D588" s="1075"/>
      <c r="E588" s="1098"/>
      <c r="F588" s="1112"/>
      <c r="J588">
        <v>552369.32999999996</v>
      </c>
    </row>
    <row r="589" spans="1:10" ht="15.5">
      <c r="A589" s="1174"/>
      <c r="B589" s="1171"/>
      <c r="C589" s="1089"/>
      <c r="D589" s="1075"/>
      <c r="E589" s="1098"/>
      <c r="F589" s="1112"/>
    </row>
    <row r="590" spans="1:10" ht="15.5">
      <c r="A590" s="1174"/>
      <c r="B590" s="1171"/>
      <c r="C590" s="1089"/>
      <c r="D590" s="1075"/>
      <c r="E590" s="1098"/>
      <c r="F590" s="1112"/>
    </row>
    <row r="591" spans="1:10" ht="15.5">
      <c r="A591" s="1174"/>
      <c r="B591" s="1171"/>
      <c r="C591" s="1089"/>
      <c r="D591" s="1075"/>
      <c r="E591" s="1098"/>
      <c r="F591" s="1112"/>
      <c r="J591">
        <v>174876</v>
      </c>
    </row>
    <row r="592" spans="1:10" ht="15.5">
      <c r="A592" s="1174"/>
      <c r="B592" s="1180"/>
      <c r="C592" s="1089"/>
      <c r="D592" s="1081"/>
      <c r="E592" s="1105"/>
      <c r="F592" s="1112"/>
    </row>
    <row r="593" spans="1:11" ht="15.5">
      <c r="A593" s="1174"/>
      <c r="B593" s="1171"/>
      <c r="C593" s="1089"/>
      <c r="D593" s="1075"/>
      <c r="E593" s="1098"/>
      <c r="F593" s="1112"/>
      <c r="J593">
        <f>SUM(J579:J591)</f>
        <v>16932111.620000001</v>
      </c>
    </row>
    <row r="594" spans="1:11" ht="15.5">
      <c r="A594" s="1084"/>
      <c r="B594" s="1074"/>
      <c r="C594" s="1074"/>
      <c r="D594" s="1081"/>
      <c r="E594" s="1105"/>
      <c r="F594" s="1112"/>
      <c r="K594" s="1130">
        <f>J593-D598</f>
        <v>16307497.42</v>
      </c>
    </row>
    <row r="595" spans="1:11" ht="15.5">
      <c r="A595" s="1084"/>
      <c r="B595" s="1074"/>
      <c r="C595" s="1074"/>
      <c r="D595" s="1081"/>
      <c r="E595" s="1105"/>
      <c r="F595" s="1099"/>
      <c r="G595" s="1095"/>
    </row>
    <row r="596" spans="1:11" ht="15.5">
      <c r="A596" s="1084"/>
      <c r="B596" s="1074"/>
      <c r="C596" s="1074"/>
      <c r="D596" s="1081"/>
      <c r="E596" s="1105"/>
      <c r="F596" s="1099"/>
      <c r="G596" s="1095"/>
    </row>
    <row r="597" spans="1:11" ht="15.5">
      <c r="A597" s="1084"/>
      <c r="B597" s="1085"/>
      <c r="C597" s="1085"/>
      <c r="D597" s="1081"/>
      <c r="E597" s="1105"/>
      <c r="F597" s="1099"/>
      <c r="G597" s="1095"/>
    </row>
    <row r="598" spans="1:11" ht="15.5">
      <c r="A598" s="1404" t="s">
        <v>701</v>
      </c>
      <c r="B598" s="1405"/>
      <c r="C598" s="1087"/>
      <c r="D598" s="1083">
        <f>SUM(D579:D596)</f>
        <v>624614.19999999995</v>
      </c>
      <c r="E598" s="1111">
        <f>SUM(E579:E596)</f>
        <v>0</v>
      </c>
      <c r="F598" s="1104">
        <f>SUM(F579:F596)</f>
        <v>8598161</v>
      </c>
      <c r="G598" s="1095"/>
    </row>
    <row r="599" spans="1:11" ht="15.5">
      <c r="A599" s="1125"/>
      <c r="B599" s="1126"/>
      <c r="C599" s="1127"/>
      <c r="D599" s="1128"/>
      <c r="E599" s="1131"/>
      <c r="F599" s="1099"/>
      <c r="G599" s="1095" t="e">
        <v>#N/A</v>
      </c>
    </row>
    <row r="600" spans="1:11" ht="15.5">
      <c r="A600" s="1406" t="s">
        <v>741</v>
      </c>
      <c r="B600" s="1406"/>
      <c r="C600" s="1065"/>
      <c r="D600" s="1066"/>
      <c r="E600" s="1065"/>
      <c r="F600" s="1099"/>
      <c r="G600" s="1095"/>
    </row>
    <row r="601" spans="1:11" ht="15.5">
      <c r="A601" s="1069" t="s">
        <v>690</v>
      </c>
      <c r="B601" s="1070" t="s">
        <v>691</v>
      </c>
      <c r="C601" s="1070" t="s">
        <v>692</v>
      </c>
      <c r="D601" s="1071">
        <v>2019</v>
      </c>
      <c r="E601" s="1116">
        <v>2015</v>
      </c>
      <c r="F601" s="1071">
        <v>2018</v>
      </c>
      <c r="G601" s="1095"/>
    </row>
    <row r="602" spans="1:11" ht="15.75" customHeight="1">
      <c r="A602" s="1135"/>
      <c r="B602" s="1145" t="s">
        <v>742</v>
      </c>
      <c r="C602" s="1089"/>
      <c r="D602" s="1075">
        <f>D656</f>
        <v>4148758.45</v>
      </c>
      <c r="E602" s="1098"/>
      <c r="F602" s="1169"/>
      <c r="G602" s="1131"/>
      <c r="H602" s="1095"/>
    </row>
    <row r="603" spans="1:11" ht="15.75" customHeight="1">
      <c r="A603" s="1135"/>
      <c r="B603" s="1145" t="s">
        <v>743</v>
      </c>
      <c r="C603" s="1089"/>
      <c r="D603" s="1075">
        <f>'Trial Combine 19'!$I$403</f>
        <v>11838</v>
      </c>
      <c r="E603" s="1098"/>
      <c r="F603" s="1169">
        <v>1500000</v>
      </c>
      <c r="G603" s="1095"/>
      <c r="H603" s="1095"/>
    </row>
    <row r="604" spans="1:11" ht="15.5">
      <c r="A604" s="1135"/>
      <c r="B604" s="1181"/>
      <c r="C604" s="1089"/>
      <c r="D604" s="1075"/>
      <c r="E604" s="1098"/>
      <c r="F604" s="1169"/>
      <c r="G604" s="1095"/>
      <c r="H604" s="1095"/>
    </row>
    <row r="605" spans="1:11" ht="15.5">
      <c r="A605" s="1135"/>
      <c r="B605" s="1145"/>
      <c r="C605" s="1089"/>
      <c r="D605" s="1075"/>
      <c r="E605" s="1098"/>
      <c r="F605" s="1169"/>
      <c r="G605" s="1095"/>
      <c r="H605" s="1095"/>
    </row>
    <row r="606" spans="1:11" ht="15.5">
      <c r="A606" s="1135"/>
      <c r="B606" s="1145"/>
      <c r="C606" s="1089"/>
      <c r="D606" s="1075"/>
      <c r="E606" s="1098"/>
      <c r="F606" s="1169">
        <v>0</v>
      </c>
      <c r="G606" s="1095" t="e">
        <v>#DIV/0!</v>
      </c>
      <c r="H606" s="1095"/>
    </row>
    <row r="607" spans="1:11" ht="15.5">
      <c r="A607" s="1135"/>
      <c r="B607" s="1145"/>
      <c r="C607" s="1089"/>
      <c r="D607" s="1075"/>
      <c r="E607" s="1098"/>
      <c r="F607" s="1169">
        <v>0</v>
      </c>
      <c r="G607" s="1095" t="e">
        <v>#DIV/0!</v>
      </c>
      <c r="H607" s="1095"/>
    </row>
    <row r="608" spans="1:11" ht="15.5">
      <c r="A608" s="1135"/>
      <c r="B608" s="1145"/>
      <c r="C608" s="1089"/>
      <c r="D608" s="1075"/>
      <c r="E608" s="1098"/>
      <c r="F608" s="1169"/>
      <c r="G608" s="1095"/>
      <c r="H608" s="1095"/>
    </row>
    <row r="609" spans="1:9" ht="15.5">
      <c r="A609" s="1135"/>
      <c r="B609" s="1145"/>
      <c r="C609" s="1089"/>
      <c r="D609" s="1075"/>
      <c r="E609" s="1098"/>
      <c r="F609" s="1169">
        <v>80998375</v>
      </c>
      <c r="G609" s="1095"/>
      <c r="H609" s="1095"/>
    </row>
    <row r="610" spans="1:9" ht="15.5">
      <c r="A610" s="1135"/>
      <c r="B610" s="1145"/>
      <c r="C610" s="1089"/>
      <c r="D610" s="1075"/>
      <c r="E610" s="1098"/>
      <c r="F610" s="1169"/>
      <c r="G610" s="1095"/>
      <c r="H610" s="1095"/>
    </row>
    <row r="611" spans="1:9" ht="15.5">
      <c r="A611" s="1135"/>
      <c r="B611" s="1145"/>
      <c r="C611" s="1089"/>
      <c r="D611" s="1075"/>
      <c r="E611" s="1098"/>
      <c r="F611" s="1169"/>
      <c r="G611" s="1095"/>
      <c r="H611" s="1095"/>
    </row>
    <row r="612" spans="1:9" ht="15.5">
      <c r="A612" s="1135"/>
      <c r="B612" s="1145"/>
      <c r="C612" s="1089"/>
      <c r="D612" s="1075"/>
      <c r="E612" s="1098"/>
      <c r="F612" s="1169"/>
      <c r="G612" s="1095"/>
      <c r="H612" s="1095"/>
    </row>
    <row r="613" spans="1:9" ht="15.5">
      <c r="A613" s="1084"/>
      <c r="B613" s="1094"/>
      <c r="C613" s="1094"/>
      <c r="D613" s="1075"/>
      <c r="E613" s="1098"/>
      <c r="F613" s="1169">
        <v>18574215</v>
      </c>
      <c r="G613" s="1095"/>
      <c r="H613" s="1182">
        <v>-5375238</v>
      </c>
    </row>
    <row r="614" spans="1:9" ht="15.5">
      <c r="A614" s="1084"/>
      <c r="B614" s="1094"/>
      <c r="C614" s="1094"/>
      <c r="D614" s="1075"/>
      <c r="E614" s="1098"/>
      <c r="F614" s="1169"/>
      <c r="G614" s="1095"/>
      <c r="H614" s="1095"/>
    </row>
    <row r="615" spans="1:9" ht="15.5">
      <c r="A615" s="1084"/>
      <c r="B615" s="1094"/>
      <c r="C615" s="1094"/>
      <c r="D615" s="1075"/>
      <c r="E615" s="1098"/>
      <c r="F615" s="1169"/>
      <c r="G615" s="1095"/>
      <c r="H615" s="1095"/>
    </row>
    <row r="616" spans="1:9" ht="15.5">
      <c r="A616" s="1084"/>
      <c r="B616" s="1094"/>
      <c r="C616" s="1094"/>
      <c r="D616" s="1075"/>
      <c r="E616" s="1098"/>
      <c r="F616" s="1169"/>
      <c r="G616" s="1095"/>
      <c r="H616" s="1095"/>
    </row>
    <row r="617" spans="1:9" ht="15.5">
      <c r="A617" s="1084"/>
      <c r="B617" s="1094"/>
      <c r="C617" s="1094"/>
      <c r="D617" s="1075"/>
      <c r="E617" s="1098"/>
      <c r="F617" s="1169">
        <v>0</v>
      </c>
      <c r="G617" s="1095" t="e">
        <v>#DIV/0!</v>
      </c>
      <c r="H617" s="1095"/>
    </row>
    <row r="618" spans="1:9" ht="15.5">
      <c r="A618" s="1084"/>
      <c r="B618" s="1094"/>
      <c r="C618" s="1094"/>
      <c r="D618" s="1075"/>
      <c r="E618" s="1098"/>
      <c r="F618" s="1169"/>
      <c r="G618" s="1095"/>
      <c r="H618" s="1095"/>
    </row>
    <row r="619" spans="1:9" ht="15.5">
      <c r="A619" s="1084"/>
      <c r="B619" s="1094"/>
      <c r="C619" s="1094"/>
      <c r="D619" s="1075"/>
      <c r="E619" s="1098"/>
      <c r="F619" s="1169"/>
      <c r="G619" s="1095"/>
      <c r="H619" s="1095"/>
    </row>
    <row r="620" spans="1:9" ht="15.5">
      <c r="A620" s="1084"/>
      <c r="B620" s="1074"/>
      <c r="C620" s="1074"/>
      <c r="D620" s="1081"/>
      <c r="E620" s="1105"/>
      <c r="F620" s="1169">
        <v>6776388</v>
      </c>
      <c r="G620" s="1095"/>
      <c r="H620" s="1182">
        <v>-2097437</v>
      </c>
    </row>
    <row r="621" spans="1:9" ht="15.5">
      <c r="A621" s="1084"/>
      <c r="B621" s="1074"/>
      <c r="C621" s="1074"/>
      <c r="D621" s="1081"/>
      <c r="E621" s="1105"/>
      <c r="F621" s="1169"/>
      <c r="G621" s="1095"/>
      <c r="H621" s="1095"/>
    </row>
    <row r="622" spans="1:9" ht="15.5">
      <c r="A622" s="1404"/>
      <c r="B622" s="1405"/>
      <c r="C622" s="1087"/>
      <c r="D622" s="1083"/>
      <c r="E622" s="1111"/>
      <c r="F622" s="1169"/>
      <c r="G622" s="1095"/>
      <c r="H622" s="1095"/>
    </row>
    <row r="623" spans="1:9" ht="15.5">
      <c r="A623" s="1404" t="s">
        <v>701</v>
      </c>
      <c r="B623" s="1405"/>
      <c r="C623" s="1087"/>
      <c r="D623" s="1083">
        <f>SUM(D602:D621)</f>
        <v>4160596.45</v>
      </c>
      <c r="E623" s="1111">
        <f>SUM(E602:E621)</f>
        <v>0</v>
      </c>
      <c r="F623" s="1169">
        <v>550285.97</v>
      </c>
      <c r="G623" s="1095">
        <f>F623+D623</f>
        <v>4710882.42</v>
      </c>
      <c r="H623" s="1095">
        <v>284938</v>
      </c>
      <c r="I623" s="1176">
        <f>H623+G623</f>
        <v>4995820.42</v>
      </c>
    </row>
    <row r="624" spans="1:9" ht="15.5">
      <c r="A624" s="1125"/>
      <c r="B624" s="1126"/>
      <c r="C624" s="1127"/>
      <c r="D624" s="1128"/>
      <c r="E624" s="1131"/>
      <c r="F624" s="1099"/>
      <c r="G624" s="1095" t="e">
        <v>#N/A</v>
      </c>
    </row>
    <row r="625" spans="1:8" ht="15.5">
      <c r="A625" s="1406" t="s">
        <v>744</v>
      </c>
      <c r="B625" s="1406"/>
      <c r="C625" s="1065"/>
      <c r="D625" s="1066"/>
      <c r="E625" s="1065"/>
      <c r="F625" s="1099"/>
      <c r="G625" s="1095"/>
    </row>
    <row r="626" spans="1:8" ht="15.5">
      <c r="A626" s="1069" t="s">
        <v>690</v>
      </c>
      <c r="B626" s="1070" t="s">
        <v>691</v>
      </c>
      <c r="C626" s="1070" t="s">
        <v>692</v>
      </c>
      <c r="D626" s="1071">
        <v>2019</v>
      </c>
      <c r="E626" s="1116">
        <v>2015</v>
      </c>
      <c r="F626" s="1071">
        <v>2018</v>
      </c>
      <c r="G626" s="1095"/>
    </row>
    <row r="627" spans="1:8" ht="15.75" customHeight="1">
      <c r="A627" s="1135"/>
      <c r="B627" s="1145"/>
      <c r="C627" s="1089"/>
      <c r="D627" s="1075"/>
      <c r="E627" s="1098"/>
      <c r="F627" s="1154"/>
      <c r="G627" s="1095"/>
      <c r="H627" s="1095"/>
    </row>
    <row r="628" spans="1:8" ht="15.75" customHeight="1">
      <c r="A628" s="1135"/>
      <c r="B628" s="1145" t="s">
        <v>745</v>
      </c>
      <c r="C628" s="1089"/>
      <c r="D628" s="1075">
        <f>'Trial Combine 19'!$I$347</f>
        <v>0</v>
      </c>
      <c r="E628" s="1098"/>
      <c r="F628" s="1154">
        <v>1176000</v>
      </c>
      <c r="G628" s="1095"/>
      <c r="H628" s="1095"/>
    </row>
    <row r="629" spans="1:8" ht="15.75" customHeight="1">
      <c r="A629" s="1135"/>
      <c r="B629" s="1145" t="s">
        <v>746</v>
      </c>
      <c r="C629" s="1089"/>
      <c r="D629" s="1075">
        <f>D688</f>
        <v>0</v>
      </c>
      <c r="E629" s="1098"/>
      <c r="F629" s="1154">
        <v>3820546</v>
      </c>
      <c r="G629" s="1095"/>
      <c r="H629" s="1095"/>
    </row>
    <row r="630" spans="1:8" ht="15.75" customHeight="1">
      <c r="A630" s="1135"/>
      <c r="B630" s="1145" t="s">
        <v>747</v>
      </c>
      <c r="C630" s="1089"/>
      <c r="D630" s="1075">
        <f>D720</f>
        <v>23015</v>
      </c>
      <c r="E630" s="1098"/>
      <c r="F630" s="1154">
        <v>56070</v>
      </c>
      <c r="G630" s="1095"/>
      <c r="H630" s="1095"/>
    </row>
    <row r="631" spans="1:8" ht="15.75" customHeight="1">
      <c r="A631" s="1135"/>
      <c r="B631" s="1145" t="s">
        <v>748</v>
      </c>
      <c r="C631" s="1089"/>
      <c r="D631" s="1075">
        <f>D752</f>
        <v>64321</v>
      </c>
      <c r="E631" s="1098"/>
      <c r="F631" s="1154">
        <v>244212</v>
      </c>
      <c r="G631" s="1095"/>
      <c r="H631" s="1095"/>
    </row>
    <row r="632" spans="1:8" ht="15.75" customHeight="1">
      <c r="A632" s="1135"/>
      <c r="B632" s="1145" t="s">
        <v>749</v>
      </c>
      <c r="C632" s="1089"/>
      <c r="D632" s="1075">
        <f>'Trial Combine 19'!$I$376</f>
        <v>0</v>
      </c>
      <c r="E632" s="1098"/>
      <c r="F632" s="1154">
        <v>105437</v>
      </c>
      <c r="G632" s="1095"/>
      <c r="H632" s="1095"/>
    </row>
    <row r="633" spans="1:8" ht="15.75" customHeight="1">
      <c r="A633" s="1135"/>
      <c r="B633" s="1145" t="s">
        <v>750</v>
      </c>
      <c r="C633" s="1089"/>
      <c r="D633" s="1075">
        <f>'Trial Combine 19'!$I$359</f>
        <v>0</v>
      </c>
      <c r="E633" s="1098"/>
      <c r="F633" s="1154">
        <v>15912</v>
      </c>
      <c r="G633" s="1095"/>
      <c r="H633" s="1095"/>
    </row>
    <row r="634" spans="1:8" ht="15.75" customHeight="1">
      <c r="A634" s="1135"/>
      <c r="B634" s="1145" t="s">
        <v>751</v>
      </c>
      <c r="C634" s="1089"/>
      <c r="D634" s="1075">
        <f>D784</f>
        <v>327822</v>
      </c>
      <c r="E634" s="1098"/>
      <c r="F634" s="1154">
        <v>398218</v>
      </c>
      <c r="G634" s="1095"/>
      <c r="H634" s="1095"/>
    </row>
    <row r="635" spans="1:8" ht="15.75" customHeight="1">
      <c r="A635" s="1135"/>
      <c r="B635" s="1145" t="s">
        <v>752</v>
      </c>
      <c r="C635" s="1089"/>
      <c r="D635" s="1075">
        <f>D816</f>
        <v>1720000</v>
      </c>
      <c r="E635" s="1098"/>
      <c r="F635" s="1154">
        <v>645949</v>
      </c>
      <c r="G635" s="1095"/>
      <c r="H635" s="1095"/>
    </row>
    <row r="636" spans="1:8" ht="15.75" customHeight="1">
      <c r="A636" s="1135"/>
      <c r="B636" s="1145" t="s">
        <v>753</v>
      </c>
      <c r="C636" s="1089"/>
      <c r="D636" s="1075">
        <f>'Trial Combine 19'!$I$377</f>
        <v>47747</v>
      </c>
      <c r="E636" s="1098"/>
      <c r="F636" s="1154"/>
      <c r="G636" s="1095"/>
      <c r="H636" s="1095"/>
    </row>
    <row r="637" spans="1:8" ht="15.75" customHeight="1">
      <c r="A637" s="1135"/>
      <c r="B637" s="1145" t="s">
        <v>754</v>
      </c>
      <c r="C637" s="1089"/>
      <c r="D637" s="1075">
        <f>'Trial Combine 19'!$I$352</f>
        <v>655924</v>
      </c>
      <c r="E637" s="1098"/>
      <c r="F637" s="1154">
        <v>225324</v>
      </c>
      <c r="G637" s="1095"/>
      <c r="H637" s="1095"/>
    </row>
    <row r="638" spans="1:8" ht="15.75" customHeight="1">
      <c r="A638" s="1135"/>
      <c r="B638" s="1145" t="s">
        <v>755</v>
      </c>
      <c r="C638" s="1089"/>
      <c r="D638" s="1075">
        <f>'Trial Combine 19'!$I$380+'Trial Combine 19'!I388</f>
        <v>171074</v>
      </c>
      <c r="E638" s="1098"/>
      <c r="F638" s="1154">
        <v>89699</v>
      </c>
      <c r="G638" s="1095"/>
      <c r="H638" s="1095"/>
    </row>
    <row r="639" spans="1:8" ht="15.75" customHeight="1">
      <c r="A639" s="1135"/>
      <c r="B639" s="1145" t="s">
        <v>756</v>
      </c>
      <c r="C639" s="1089"/>
      <c r="D639" s="1075">
        <f>'Trial Combine 19'!$I$358</f>
        <v>168180</v>
      </c>
      <c r="E639" s="1098"/>
      <c r="F639" s="1154">
        <v>0</v>
      </c>
      <c r="G639" s="1095" t="e">
        <v>#DIV/0!</v>
      </c>
      <c r="H639" s="1095"/>
    </row>
    <row r="640" spans="1:8" ht="15.75" customHeight="1">
      <c r="A640" s="1135"/>
      <c r="B640" s="1145" t="s">
        <v>757</v>
      </c>
      <c r="C640" s="1089"/>
      <c r="D640" s="1075">
        <f>D844</f>
        <v>97000.45</v>
      </c>
      <c r="E640" s="1098"/>
      <c r="F640" s="1154">
        <v>165759</v>
      </c>
      <c r="G640" s="1095" t="e">
        <v>#DIV/0!</v>
      </c>
      <c r="H640" s="1095"/>
    </row>
    <row r="641" spans="1:8" ht="15.5">
      <c r="A641" s="1135"/>
      <c r="B641" s="1145" t="s">
        <v>669</v>
      </c>
      <c r="C641" s="1089"/>
      <c r="D641" s="1075">
        <f>'Trial Combine 19'!I344</f>
        <v>0</v>
      </c>
      <c r="E641" s="1098"/>
      <c r="F641" s="1154">
        <v>116000</v>
      </c>
      <c r="G641" s="1095"/>
      <c r="H641" s="1095"/>
    </row>
    <row r="642" spans="1:8" ht="15.75" customHeight="1">
      <c r="A642" s="1135"/>
      <c r="B642" s="1145" t="s">
        <v>685</v>
      </c>
      <c r="C642" s="1089"/>
      <c r="D642" s="1075">
        <f>'Trial Combine 19'!$I$351</f>
        <v>400</v>
      </c>
      <c r="E642" s="1098"/>
      <c r="F642" s="1154">
        <v>5905</v>
      </c>
      <c r="G642" s="1095"/>
      <c r="H642" s="1095"/>
    </row>
    <row r="643" spans="1:8" ht="15.75" customHeight="1">
      <c r="A643" s="1135"/>
      <c r="B643" s="1145" t="s">
        <v>758</v>
      </c>
      <c r="C643" s="1089"/>
      <c r="D643" s="1075">
        <f>'Trial Combine 19'!$I$374</f>
        <v>0</v>
      </c>
      <c r="E643" s="1098"/>
      <c r="F643" s="1154">
        <v>5540</v>
      </c>
      <c r="G643" s="1095"/>
      <c r="H643" s="1095"/>
    </row>
    <row r="644" spans="1:8" ht="15.75" customHeight="1">
      <c r="A644" s="1135"/>
      <c r="B644" s="1145" t="s">
        <v>759</v>
      </c>
      <c r="C644" s="1089"/>
      <c r="D644" s="1075">
        <f>'FIXED ASSETS'!V24</f>
        <v>861437</v>
      </c>
      <c r="E644" s="1098"/>
      <c r="F644" s="1154">
        <v>284938</v>
      </c>
      <c r="G644" s="1095"/>
      <c r="H644" s="1095"/>
    </row>
    <row r="645" spans="1:8" ht="15.75" customHeight="1">
      <c r="A645" s="1135"/>
      <c r="B645" s="1145" t="s">
        <v>760</v>
      </c>
      <c r="C645" s="1089"/>
      <c r="D645" s="1075">
        <f>'Trial Combine 19'!$I$379</f>
        <v>0</v>
      </c>
      <c r="E645" s="1098"/>
      <c r="F645" s="1154"/>
      <c r="G645" s="1095"/>
      <c r="H645" s="1095"/>
    </row>
    <row r="646" spans="1:8" ht="15.5">
      <c r="A646" s="1084"/>
      <c r="B646" s="1094" t="s">
        <v>649</v>
      </c>
      <c r="C646" s="1094"/>
      <c r="D646" s="1075">
        <f>'Trial Combine 19'!I388</f>
        <v>0</v>
      </c>
      <c r="E646" s="1098"/>
      <c r="F646" s="1154"/>
      <c r="G646" s="1095"/>
      <c r="H646" s="1182">
        <v>-5375238</v>
      </c>
    </row>
    <row r="647" spans="1:8" ht="15.5">
      <c r="A647" s="1084"/>
      <c r="B647" s="1094" t="s">
        <v>650</v>
      </c>
      <c r="C647" s="1094"/>
      <c r="D647" s="1075">
        <f>'Trial Combine 19'!I389</f>
        <v>0</v>
      </c>
      <c r="E647" s="1098"/>
      <c r="F647" s="1154"/>
      <c r="G647" s="1095"/>
      <c r="H647" s="1095"/>
    </row>
    <row r="648" spans="1:8" ht="15.5">
      <c r="A648" s="1084"/>
      <c r="B648" s="1094" t="str">
        <f>'Trial Combine 19'!B300</f>
        <v>FORIEGN EXCHANGE GAIN &amp; LOSS</v>
      </c>
      <c r="C648" s="1094"/>
      <c r="D648" s="1075">
        <f>'Trial Combine 19'!I300</f>
        <v>0</v>
      </c>
      <c r="E648" s="1098"/>
      <c r="F648" s="1154">
        <v>540088</v>
      </c>
      <c r="G648" s="1095"/>
      <c r="H648" s="1095"/>
    </row>
    <row r="649" spans="1:8" ht="15.5">
      <c r="A649" s="1084"/>
      <c r="B649" s="1094" t="s">
        <v>761</v>
      </c>
      <c r="C649" s="1094"/>
      <c r="D649" s="1075">
        <f>'Trial Combine 19'!I394</f>
        <v>0</v>
      </c>
      <c r="E649" s="1098"/>
      <c r="F649" s="1154"/>
      <c r="G649" s="1095"/>
      <c r="H649" s="1095"/>
    </row>
    <row r="650" spans="1:8" ht="15.5">
      <c r="A650" s="1084"/>
      <c r="B650" s="1094" t="s">
        <v>762</v>
      </c>
      <c r="C650" s="1094"/>
      <c r="D650" s="1075">
        <f>'Trial Combine 19'!I403</f>
        <v>11838</v>
      </c>
      <c r="E650" s="1098"/>
      <c r="F650" s="1154">
        <v>57933</v>
      </c>
      <c r="G650" s="1095" t="e">
        <v>#DIV/0!</v>
      </c>
      <c r="H650" s="1095"/>
    </row>
    <row r="651" spans="1:8" ht="15.5">
      <c r="A651" s="1084"/>
      <c r="B651" s="1094"/>
      <c r="C651" s="1094"/>
      <c r="D651" s="1075"/>
      <c r="E651" s="1098"/>
      <c r="F651" s="1154"/>
      <c r="G651" s="1095"/>
      <c r="H651" s="1095"/>
    </row>
    <row r="652" spans="1:8" ht="15.5">
      <c r="A652" s="1084"/>
      <c r="B652" s="1094"/>
      <c r="C652" s="1094"/>
      <c r="D652" s="1075"/>
      <c r="E652" s="1098"/>
      <c r="F652" s="1154"/>
      <c r="G652" s="1095"/>
      <c r="H652" s="1095"/>
    </row>
    <row r="653" spans="1:8" ht="15.5">
      <c r="A653" s="1084"/>
      <c r="B653" s="1074"/>
      <c r="C653" s="1074"/>
      <c r="D653" s="1075"/>
      <c r="E653" s="1105"/>
      <c r="F653" s="1154"/>
      <c r="G653" s="1095"/>
      <c r="H653" s="1182">
        <v>-2097437</v>
      </c>
    </row>
    <row r="654" spans="1:8" ht="15.5">
      <c r="A654" s="1084"/>
      <c r="B654" s="1074"/>
      <c r="C654" s="1074"/>
      <c r="D654" s="1081"/>
      <c r="E654" s="1105"/>
      <c r="F654" s="1154"/>
      <c r="G654" s="1095"/>
      <c r="H654" s="1095"/>
    </row>
    <row r="655" spans="1:8" ht="15.5">
      <c r="A655" s="1404"/>
      <c r="B655" s="1405"/>
      <c r="C655" s="1087"/>
      <c r="D655" s="1083"/>
      <c r="E655" s="1111"/>
      <c r="F655" s="1154"/>
      <c r="G655" s="1095"/>
      <c r="H655" s="1095"/>
    </row>
    <row r="656" spans="1:8" ht="15.5">
      <c r="A656" s="1404" t="s">
        <v>701</v>
      </c>
      <c r="B656" s="1405"/>
      <c r="C656" s="1087"/>
      <c r="D656" s="1083">
        <f>SUM(D628:D655)</f>
        <v>4148758.45</v>
      </c>
      <c r="E656" s="1111">
        <f>SUM(E627:E654)</f>
        <v>0</v>
      </c>
      <c r="F656" s="1154">
        <f>SUM(F628:F655)</f>
        <v>7953530</v>
      </c>
      <c r="G656" s="1095">
        <v>9256862</v>
      </c>
      <c r="H656" s="1183">
        <f>D656-G656</f>
        <v>-5108103.55</v>
      </c>
    </row>
    <row r="657" spans="1:9" ht="15.5">
      <c r="A657" s="1406" t="s">
        <v>746</v>
      </c>
      <c r="B657" s="1406"/>
      <c r="C657" s="1065"/>
      <c r="D657" s="1066"/>
      <c r="E657" s="1065"/>
      <c r="F657" s="1099"/>
      <c r="G657" s="1095"/>
    </row>
    <row r="658" spans="1:9" ht="15.5">
      <c r="A658" s="1069" t="s">
        <v>690</v>
      </c>
      <c r="B658" s="1070" t="s">
        <v>691</v>
      </c>
      <c r="C658" s="1070" t="s">
        <v>692</v>
      </c>
      <c r="D658" s="1071">
        <v>2019</v>
      </c>
      <c r="E658" s="1116">
        <v>2015</v>
      </c>
      <c r="F658" s="1088">
        <v>2018</v>
      </c>
      <c r="G658" s="1095"/>
    </row>
    <row r="659" spans="1:9" ht="15.75" customHeight="1">
      <c r="A659" s="1135" t="s">
        <v>297</v>
      </c>
      <c r="B659" s="1145" t="s">
        <v>298</v>
      </c>
      <c r="C659" s="1089"/>
      <c r="D659" s="1075">
        <f>'Trial Combine 19'!$I$383</f>
        <v>0</v>
      </c>
      <c r="E659" s="1098"/>
      <c r="F659" s="1104">
        <v>3272160</v>
      </c>
      <c r="G659" s="1095"/>
      <c r="H659" s="1095"/>
      <c r="I659">
        <v>3885769</v>
      </c>
    </row>
    <row r="660" spans="1:9" ht="15.75" customHeight="1">
      <c r="A660" s="1135" t="s">
        <v>646</v>
      </c>
      <c r="B660" s="1145" t="s">
        <v>647</v>
      </c>
      <c r="C660" s="1089"/>
      <c r="D660" s="1075">
        <f>'Trial Combine 19'!$I$382</f>
        <v>0</v>
      </c>
      <c r="E660" s="1098"/>
      <c r="F660" s="1104">
        <v>390092</v>
      </c>
      <c r="G660" s="1095"/>
      <c r="H660" s="1095"/>
      <c r="I660">
        <f>I659-1200000</f>
        <v>2685769</v>
      </c>
    </row>
    <row r="661" spans="1:9" ht="15.75" customHeight="1">
      <c r="A661" s="1135" t="s">
        <v>299</v>
      </c>
      <c r="B661" s="1145" t="s">
        <v>300</v>
      </c>
      <c r="C661" s="1089"/>
      <c r="D661" s="1075">
        <f>'Trial Combine 19'!$I$384</f>
        <v>0</v>
      </c>
      <c r="E661" s="1098"/>
      <c r="F661" s="1104">
        <v>112794</v>
      </c>
      <c r="G661" s="1095"/>
      <c r="H661" s="1095"/>
      <c r="I661" s="392">
        <f>I660-D659</f>
        <v>2685769</v>
      </c>
    </row>
    <row r="662" spans="1:9" ht="15.75" customHeight="1">
      <c r="A662" s="1135" t="s">
        <v>269</v>
      </c>
      <c r="B662" s="1145" t="s">
        <v>270</v>
      </c>
      <c r="C662" s="1089"/>
      <c r="D662" s="1075">
        <f>'Trial Combine 19'!$I$349</f>
        <v>0</v>
      </c>
      <c r="E662" s="1098"/>
      <c r="F662" s="1104">
        <v>45500</v>
      </c>
      <c r="G662" s="1095"/>
      <c r="H662" s="1095"/>
    </row>
    <row r="663" spans="1:9" ht="15.75" customHeight="1">
      <c r="A663" s="1135" t="s">
        <v>628</v>
      </c>
      <c r="B663" s="1145" t="s">
        <v>629</v>
      </c>
      <c r="C663" s="1089"/>
      <c r="D663" s="1075">
        <f>'Trial Combine 19'!$I$360</f>
        <v>0</v>
      </c>
      <c r="E663" s="1098"/>
      <c r="F663" s="1099"/>
      <c r="G663" s="1095"/>
      <c r="H663" s="1095"/>
      <c r="I663" s="392">
        <f>D659+1200000</f>
        <v>1200000</v>
      </c>
    </row>
    <row r="664" spans="1:9" ht="15.75" customHeight="1">
      <c r="A664" s="1135"/>
      <c r="B664" s="1145" t="s">
        <v>650</v>
      </c>
      <c r="C664" s="1089"/>
      <c r="D664" s="1075"/>
      <c r="E664" s="1098"/>
      <c r="F664" s="1099"/>
      <c r="G664" s="1095"/>
      <c r="H664" s="1095"/>
    </row>
    <row r="665" spans="1:9" ht="15.75" customHeight="1">
      <c r="A665" s="1135"/>
      <c r="B665" s="1145"/>
      <c r="C665" s="1089"/>
      <c r="D665" s="1075"/>
      <c r="E665" s="1098"/>
      <c r="F665" s="1099"/>
      <c r="G665" s="1095"/>
      <c r="H665" s="1095"/>
    </row>
    <row r="666" spans="1:9" ht="15.75" customHeight="1">
      <c r="A666" s="1135"/>
      <c r="B666" s="1145"/>
      <c r="C666" s="1089"/>
      <c r="D666" s="1075"/>
      <c r="E666" s="1098"/>
      <c r="F666" s="1099"/>
      <c r="G666" s="1095"/>
      <c r="H666" s="1095"/>
    </row>
    <row r="667" spans="1:9" ht="15.75" customHeight="1">
      <c r="A667" s="1135"/>
      <c r="B667" s="1145"/>
      <c r="C667" s="1089"/>
      <c r="D667" s="1075"/>
      <c r="E667" s="1098"/>
      <c r="F667" s="1099"/>
      <c r="G667" s="1095"/>
      <c r="H667" s="1095"/>
    </row>
    <row r="668" spans="1:9" ht="15.75" customHeight="1">
      <c r="A668" s="1135"/>
      <c r="B668" s="1145"/>
      <c r="C668" s="1089"/>
      <c r="D668" s="1075"/>
      <c r="E668" s="1098"/>
      <c r="F668" s="1099"/>
      <c r="G668" s="1095"/>
      <c r="H668" s="1095"/>
    </row>
    <row r="669" spans="1:9" ht="15.75" customHeight="1">
      <c r="A669" s="1135"/>
      <c r="B669" s="1145"/>
      <c r="C669" s="1089"/>
      <c r="D669" s="1075"/>
      <c r="E669" s="1098"/>
      <c r="F669" s="1099"/>
      <c r="G669" s="1095"/>
      <c r="H669" s="1095"/>
    </row>
    <row r="670" spans="1:9" ht="15.75" customHeight="1">
      <c r="A670" s="1135"/>
      <c r="B670" s="1145"/>
      <c r="C670" s="1089"/>
      <c r="D670" s="1075"/>
      <c r="E670" s="1098"/>
      <c r="F670" s="1099"/>
      <c r="G670" s="1095"/>
      <c r="H670" s="1095"/>
    </row>
    <row r="671" spans="1:9" ht="15.75" customHeight="1">
      <c r="A671" s="1135"/>
      <c r="B671" s="1145"/>
      <c r="C671" s="1089"/>
      <c r="D671" s="1075"/>
      <c r="E671" s="1098"/>
      <c r="F671" s="1099"/>
      <c r="G671" s="1095" t="e">
        <v>#DIV/0!</v>
      </c>
      <c r="H671" s="1095"/>
    </row>
    <row r="672" spans="1:9" ht="15.75" customHeight="1">
      <c r="A672" s="1135"/>
      <c r="B672" s="1145"/>
      <c r="C672" s="1089"/>
      <c r="D672" s="1075"/>
      <c r="E672" s="1098"/>
      <c r="F672" s="1099"/>
      <c r="G672" s="1095" t="e">
        <v>#DIV/0!</v>
      </c>
      <c r="H672" s="1095"/>
    </row>
    <row r="673" spans="1:8" ht="15.5">
      <c r="A673" s="1135"/>
      <c r="B673" s="1145"/>
      <c r="C673" s="1089"/>
      <c r="D673" s="1075"/>
      <c r="E673" s="1098"/>
      <c r="F673" s="1099"/>
      <c r="G673" s="1095"/>
      <c r="H673" s="1095"/>
    </row>
    <row r="674" spans="1:8" ht="15.75" customHeight="1">
      <c r="A674" s="1135"/>
      <c r="B674" s="1145"/>
      <c r="C674" s="1089"/>
      <c r="D674" s="1075"/>
      <c r="E674" s="1098"/>
      <c r="F674" s="1099"/>
      <c r="G674" s="1095"/>
      <c r="H674" s="1095"/>
    </row>
    <row r="675" spans="1:8" ht="15.75" customHeight="1">
      <c r="A675" s="1135"/>
      <c r="B675" s="1145"/>
      <c r="C675" s="1089"/>
      <c r="D675" s="1075"/>
      <c r="E675" s="1098"/>
      <c r="F675" s="1099"/>
      <c r="G675" s="1095"/>
      <c r="H675" s="1095"/>
    </row>
    <row r="676" spans="1:8" ht="15.75" customHeight="1">
      <c r="A676" s="1135"/>
      <c r="B676" s="1145"/>
      <c r="C676" s="1089"/>
      <c r="D676" s="1075"/>
      <c r="E676" s="1098"/>
      <c r="F676" s="1099"/>
      <c r="G676" s="1095"/>
      <c r="H676" s="1095"/>
    </row>
    <row r="677" spans="1:8" ht="15.75" customHeight="1">
      <c r="A677" s="1135"/>
      <c r="B677" s="1145"/>
      <c r="C677" s="1089"/>
      <c r="D677" s="1075"/>
      <c r="E677" s="1098"/>
      <c r="F677" s="1099"/>
      <c r="G677" s="1095"/>
      <c r="H677" s="1095"/>
    </row>
    <row r="678" spans="1:8" ht="15.5">
      <c r="A678" s="1084"/>
      <c r="B678" s="1094"/>
      <c r="C678" s="1094"/>
      <c r="D678" s="1075"/>
      <c r="E678" s="1098"/>
      <c r="F678" s="1099"/>
      <c r="G678" s="1095"/>
      <c r="H678" s="1182">
        <v>-5375238</v>
      </c>
    </row>
    <row r="679" spans="1:8" ht="15.5">
      <c r="A679" s="1084"/>
      <c r="B679" s="1094"/>
      <c r="C679" s="1094"/>
      <c r="D679" s="1075"/>
      <c r="E679" s="1098"/>
      <c r="F679" s="1099"/>
      <c r="G679" s="1095"/>
      <c r="H679" s="1095"/>
    </row>
    <row r="680" spans="1:8" ht="15.5">
      <c r="A680" s="1084"/>
      <c r="B680" s="1094"/>
      <c r="C680" s="1094"/>
      <c r="D680" s="1075"/>
      <c r="E680" s="1098"/>
      <c r="F680" s="1099"/>
      <c r="G680" s="1095"/>
      <c r="H680" s="1095"/>
    </row>
    <row r="681" spans="1:8" ht="15.5">
      <c r="A681" s="1084"/>
      <c r="B681" s="1094"/>
      <c r="C681" s="1094"/>
      <c r="D681" s="1075"/>
      <c r="E681" s="1098"/>
      <c r="F681" s="1099"/>
      <c r="G681" s="1095"/>
      <c r="H681" s="1095"/>
    </row>
    <row r="682" spans="1:8" ht="15.5">
      <c r="A682" s="1084"/>
      <c r="B682" s="1094"/>
      <c r="C682" s="1094"/>
      <c r="D682" s="1075"/>
      <c r="E682" s="1098"/>
      <c r="F682" s="1099"/>
      <c r="G682" s="1095" t="e">
        <v>#DIV/0!</v>
      </c>
      <c r="H682" s="1095"/>
    </row>
    <row r="683" spans="1:8" ht="15.5">
      <c r="A683" s="1084"/>
      <c r="B683" s="1094"/>
      <c r="C683" s="1094"/>
      <c r="D683" s="1075"/>
      <c r="E683" s="1098"/>
      <c r="F683" s="1099"/>
      <c r="G683" s="1095"/>
      <c r="H683" s="1095"/>
    </row>
    <row r="684" spans="1:8" ht="15.5">
      <c r="A684" s="1084"/>
      <c r="B684" s="1094"/>
      <c r="C684" s="1094"/>
      <c r="D684" s="1075"/>
      <c r="E684" s="1098"/>
      <c r="F684" s="1099"/>
      <c r="G684" s="1095"/>
      <c r="H684" s="1095"/>
    </row>
    <row r="685" spans="1:8" ht="15.5">
      <c r="A685" s="1084"/>
      <c r="B685" s="1074"/>
      <c r="C685" s="1074"/>
      <c r="D685" s="1075"/>
      <c r="E685" s="1105"/>
      <c r="F685" s="1099"/>
      <c r="G685" s="1095"/>
      <c r="H685" s="1182">
        <v>-2097437</v>
      </c>
    </row>
    <row r="686" spans="1:8" ht="15.5">
      <c r="A686" s="1084"/>
      <c r="B686" s="1074"/>
      <c r="C686" s="1074"/>
      <c r="D686" s="1081"/>
      <c r="E686" s="1105"/>
      <c r="F686" s="1099"/>
      <c r="G686" s="1095"/>
      <c r="H686" s="1095"/>
    </row>
    <row r="687" spans="1:8" ht="15.5">
      <c r="A687" s="1404"/>
      <c r="B687" s="1405"/>
      <c r="C687" s="1087"/>
      <c r="D687" s="1083"/>
      <c r="E687" s="1111"/>
      <c r="F687" s="1099"/>
      <c r="G687" s="1095"/>
      <c r="H687" s="1095">
        <f>D688-2952984</f>
        <v>-2952984</v>
      </c>
    </row>
    <row r="688" spans="1:8" ht="15.5">
      <c r="A688" s="1404" t="s">
        <v>701</v>
      </c>
      <c r="B688" s="1405"/>
      <c r="C688" s="1087"/>
      <c r="D688" s="1083">
        <f>SUM(D659:D686)</f>
        <v>0</v>
      </c>
      <c r="E688" s="1111">
        <f>SUM(E659:E686)</f>
        <v>0</v>
      </c>
      <c r="F688" s="1104">
        <f>SUM(F659:F686)</f>
        <v>3820546</v>
      </c>
      <c r="G688" s="1095"/>
      <c r="H688" s="1095"/>
    </row>
    <row r="689" spans="1:8" ht="15.5">
      <c r="A689" s="1406" t="s">
        <v>763</v>
      </c>
      <c r="B689" s="1406"/>
      <c r="C689" s="1065"/>
      <c r="D689" s="1066"/>
      <c r="E689" s="1065"/>
      <c r="F689" s="1099"/>
      <c r="G689" s="1095"/>
    </row>
    <row r="690" spans="1:8" ht="15.5">
      <c r="A690" s="1069" t="s">
        <v>690</v>
      </c>
      <c r="B690" s="1070" t="s">
        <v>691</v>
      </c>
      <c r="C690" s="1070" t="s">
        <v>692</v>
      </c>
      <c r="D690" s="1071">
        <v>2019</v>
      </c>
      <c r="E690" s="1116">
        <v>2015</v>
      </c>
      <c r="F690" s="1088">
        <v>2018</v>
      </c>
      <c r="G690" s="1095"/>
    </row>
    <row r="691" spans="1:8" ht="15.75" customHeight="1">
      <c r="A691" s="1135"/>
      <c r="B691" s="1145"/>
      <c r="C691" s="1089"/>
      <c r="D691" s="1075"/>
      <c r="E691" s="1098"/>
      <c r="F691" s="1099"/>
      <c r="G691" s="1095"/>
      <c r="H691" s="1095"/>
    </row>
    <row r="692" spans="1:8" ht="15.75" customHeight="1">
      <c r="A692" s="1135" t="s">
        <v>303</v>
      </c>
      <c r="B692" s="1145" t="s">
        <v>304</v>
      </c>
      <c r="C692" s="1089"/>
      <c r="D692" s="1075">
        <f>'Trial Combine 19'!I387</f>
        <v>23015</v>
      </c>
      <c r="E692" s="1098"/>
      <c r="F692" s="1099"/>
      <c r="G692" s="1095"/>
      <c r="H692" s="1095"/>
    </row>
    <row r="693" spans="1:8" ht="15.75" customHeight="1">
      <c r="A693" s="1135" t="s">
        <v>263</v>
      </c>
      <c r="B693" s="1145" t="s">
        <v>264</v>
      </c>
      <c r="C693" s="1089"/>
      <c r="D693" s="1075">
        <f>'Trial Combine 19'!I345</f>
        <v>0</v>
      </c>
      <c r="E693" s="1098"/>
      <c r="F693" s="1104">
        <v>56070</v>
      </c>
      <c r="G693" s="1095"/>
      <c r="H693" s="1095"/>
    </row>
    <row r="694" spans="1:8" ht="15.75" customHeight="1">
      <c r="A694" s="1135"/>
      <c r="B694" s="1145"/>
      <c r="C694" s="1089"/>
      <c r="D694" s="1075"/>
      <c r="E694" s="1098"/>
      <c r="F694" s="1099"/>
      <c r="G694" s="1095"/>
      <c r="H694" s="1095"/>
    </row>
    <row r="695" spans="1:8" ht="15.75" customHeight="1">
      <c r="A695" s="1135"/>
      <c r="B695" s="1145"/>
      <c r="C695" s="1089"/>
      <c r="D695" s="1075"/>
      <c r="E695" s="1098"/>
      <c r="F695" s="1099"/>
      <c r="G695" s="1095"/>
      <c r="H695" s="1095"/>
    </row>
    <row r="696" spans="1:8" ht="15.75" customHeight="1">
      <c r="A696" s="1135"/>
      <c r="B696" s="1145"/>
      <c r="C696" s="1089"/>
      <c r="D696" s="1075"/>
      <c r="E696" s="1098"/>
      <c r="F696" s="1099"/>
      <c r="G696" s="1095"/>
      <c r="H696" s="1095"/>
    </row>
    <row r="697" spans="1:8" ht="15.75" customHeight="1">
      <c r="A697" s="1135"/>
      <c r="B697" s="1145"/>
      <c r="C697" s="1089"/>
      <c r="D697" s="1075"/>
      <c r="E697" s="1098"/>
      <c r="F697" s="1099"/>
      <c r="G697" s="1095"/>
      <c r="H697" s="1095"/>
    </row>
    <row r="698" spans="1:8" ht="15.75" customHeight="1">
      <c r="A698" s="1135"/>
      <c r="B698" s="1145"/>
      <c r="C698" s="1089"/>
      <c r="D698" s="1075"/>
      <c r="E698" s="1098"/>
      <c r="F698" s="1099"/>
      <c r="G698" s="1095"/>
      <c r="H698" s="1095"/>
    </row>
    <row r="699" spans="1:8" ht="15.75" customHeight="1">
      <c r="A699" s="1135"/>
      <c r="B699" s="1145"/>
      <c r="C699" s="1089"/>
      <c r="D699" s="1075"/>
      <c r="E699" s="1098"/>
      <c r="F699" s="1099"/>
      <c r="G699" s="1095"/>
      <c r="H699" s="1095"/>
    </row>
    <row r="700" spans="1:8" ht="15.75" customHeight="1">
      <c r="A700" s="1135"/>
      <c r="B700" s="1145"/>
      <c r="C700" s="1089"/>
      <c r="D700" s="1075"/>
      <c r="E700" s="1098"/>
      <c r="F700" s="1099"/>
      <c r="G700" s="1095"/>
      <c r="H700" s="1095"/>
    </row>
    <row r="701" spans="1:8" ht="15.75" customHeight="1">
      <c r="A701" s="1135"/>
      <c r="B701" s="1145"/>
      <c r="C701" s="1089"/>
      <c r="D701" s="1075"/>
      <c r="E701" s="1098"/>
      <c r="F701" s="1099"/>
      <c r="G701" s="1095"/>
      <c r="H701" s="1095"/>
    </row>
    <row r="702" spans="1:8" ht="15.75" customHeight="1">
      <c r="A702" s="1135"/>
      <c r="B702" s="1145"/>
      <c r="C702" s="1089"/>
      <c r="D702" s="1075"/>
      <c r="E702" s="1098"/>
      <c r="F702" s="1099"/>
      <c r="G702" s="1095"/>
      <c r="H702" s="1095"/>
    </row>
    <row r="703" spans="1:8" ht="15.75" customHeight="1">
      <c r="A703" s="1135"/>
      <c r="B703" s="1145"/>
      <c r="C703" s="1089"/>
      <c r="D703" s="1075"/>
      <c r="E703" s="1098"/>
      <c r="F703" s="1099"/>
      <c r="G703" s="1095" t="e">
        <v>#DIV/0!</v>
      </c>
      <c r="H703" s="1095"/>
    </row>
    <row r="704" spans="1:8" ht="15.75" customHeight="1">
      <c r="A704" s="1135"/>
      <c r="B704" s="1145"/>
      <c r="C704" s="1089"/>
      <c r="D704" s="1075"/>
      <c r="E704" s="1098"/>
      <c r="F704" s="1099"/>
      <c r="G704" s="1095" t="e">
        <v>#DIV/0!</v>
      </c>
      <c r="H704" s="1095"/>
    </row>
    <row r="705" spans="1:8" ht="15.5">
      <c r="A705" s="1135"/>
      <c r="B705" s="1145"/>
      <c r="C705" s="1089"/>
      <c r="D705" s="1075"/>
      <c r="E705" s="1098"/>
      <c r="F705" s="1099"/>
      <c r="G705" s="1095"/>
      <c r="H705" s="1095"/>
    </row>
    <row r="706" spans="1:8" ht="15.75" customHeight="1">
      <c r="A706" s="1135"/>
      <c r="B706" s="1145"/>
      <c r="C706" s="1089"/>
      <c r="D706" s="1075"/>
      <c r="E706" s="1098"/>
      <c r="F706" s="1099"/>
      <c r="G706" s="1095"/>
      <c r="H706" s="1095"/>
    </row>
    <row r="707" spans="1:8" ht="15.75" customHeight="1">
      <c r="A707" s="1135"/>
      <c r="B707" s="1145"/>
      <c r="C707" s="1089"/>
      <c r="D707" s="1075"/>
      <c r="E707" s="1098"/>
      <c r="F707" s="1099"/>
      <c r="G707" s="1095"/>
      <c r="H707" s="1095"/>
    </row>
    <row r="708" spans="1:8" ht="15.75" customHeight="1">
      <c r="A708" s="1135"/>
      <c r="B708" s="1145"/>
      <c r="C708" s="1089"/>
      <c r="D708" s="1075"/>
      <c r="E708" s="1098"/>
      <c r="F708" s="1099"/>
      <c r="G708" s="1095"/>
      <c r="H708" s="1095"/>
    </row>
    <row r="709" spans="1:8" ht="15.75" customHeight="1">
      <c r="A709" s="1135"/>
      <c r="B709" s="1145"/>
      <c r="C709" s="1089"/>
      <c r="D709" s="1075"/>
      <c r="E709" s="1098"/>
      <c r="F709" s="1099"/>
      <c r="G709" s="1095"/>
      <c r="H709" s="1095"/>
    </row>
    <row r="710" spans="1:8" ht="15.5">
      <c r="A710" s="1084"/>
      <c r="B710" s="1094"/>
      <c r="C710" s="1094"/>
      <c r="D710" s="1075"/>
      <c r="E710" s="1098"/>
      <c r="F710" s="1099"/>
      <c r="G710" s="1095"/>
      <c r="H710" s="1182">
        <v>-5375238</v>
      </c>
    </row>
    <row r="711" spans="1:8" ht="15.5">
      <c r="A711" s="1084"/>
      <c r="B711" s="1094"/>
      <c r="C711" s="1094"/>
      <c r="D711" s="1075"/>
      <c r="E711" s="1098"/>
      <c r="F711" s="1099"/>
      <c r="G711" s="1095"/>
      <c r="H711" s="1095"/>
    </row>
    <row r="712" spans="1:8" ht="15.5">
      <c r="A712" s="1084"/>
      <c r="B712" s="1094"/>
      <c r="C712" s="1094"/>
      <c r="D712" s="1075"/>
      <c r="E712" s="1098"/>
      <c r="F712" s="1099"/>
      <c r="G712" s="1095"/>
      <c r="H712" s="1095"/>
    </row>
    <row r="713" spans="1:8" ht="15.5">
      <c r="A713" s="1084"/>
      <c r="B713" s="1094"/>
      <c r="C713" s="1094"/>
      <c r="D713" s="1075"/>
      <c r="E713" s="1098"/>
      <c r="F713" s="1099"/>
      <c r="G713" s="1095"/>
      <c r="H713" s="1095"/>
    </row>
    <row r="714" spans="1:8" ht="15.5">
      <c r="A714" s="1084"/>
      <c r="B714" s="1094"/>
      <c r="C714" s="1094"/>
      <c r="D714" s="1075"/>
      <c r="E714" s="1098"/>
      <c r="F714" s="1099"/>
      <c r="G714" s="1095" t="e">
        <v>#DIV/0!</v>
      </c>
      <c r="H714" s="1095"/>
    </row>
    <row r="715" spans="1:8" ht="15.5">
      <c r="A715" s="1084"/>
      <c r="B715" s="1094"/>
      <c r="C715" s="1094"/>
      <c r="D715" s="1075"/>
      <c r="E715" s="1098"/>
      <c r="F715" s="1099"/>
      <c r="G715" s="1095"/>
      <c r="H715" s="1095"/>
    </row>
    <row r="716" spans="1:8" ht="15.5">
      <c r="A716" s="1084"/>
      <c r="B716" s="1094"/>
      <c r="C716" s="1094"/>
      <c r="D716" s="1075"/>
      <c r="E716" s="1098"/>
      <c r="F716" s="1099"/>
      <c r="G716" s="1095"/>
      <c r="H716" s="1095"/>
    </row>
    <row r="717" spans="1:8" ht="15.5">
      <c r="A717" s="1084"/>
      <c r="B717" s="1074"/>
      <c r="C717" s="1074"/>
      <c r="D717" s="1075"/>
      <c r="E717" s="1105"/>
      <c r="F717" s="1099"/>
      <c r="G717" s="1095"/>
      <c r="H717" s="1182">
        <v>-2097437</v>
      </c>
    </row>
    <row r="718" spans="1:8" ht="15.5">
      <c r="A718" s="1084"/>
      <c r="B718" s="1074"/>
      <c r="C718" s="1074"/>
      <c r="D718" s="1081"/>
      <c r="E718" s="1105"/>
      <c r="F718" s="1099"/>
      <c r="G718" s="1095"/>
      <c r="H718" s="1095"/>
    </row>
    <row r="719" spans="1:8" ht="15.5">
      <c r="A719" s="1404"/>
      <c r="B719" s="1405"/>
      <c r="C719" s="1087"/>
      <c r="D719" s="1083"/>
      <c r="E719" s="1111"/>
      <c r="F719" s="1099"/>
      <c r="G719" s="1095"/>
      <c r="H719" s="1095"/>
    </row>
    <row r="720" spans="1:8" ht="15.5">
      <c r="A720" s="1404" t="s">
        <v>701</v>
      </c>
      <c r="B720" s="1405"/>
      <c r="C720" s="1087"/>
      <c r="D720" s="1083">
        <f>SUM(D691:D718)</f>
        <v>23015</v>
      </c>
      <c r="E720" s="1111">
        <f>SUM(E691:E718)</f>
        <v>0</v>
      </c>
      <c r="F720" s="1104">
        <f>SUM(F691:F718)</f>
        <v>56070</v>
      </c>
      <c r="G720" s="1095"/>
      <c r="H720" s="1095"/>
    </row>
    <row r="721" spans="1:8" ht="15.5">
      <c r="A721" s="1406" t="s">
        <v>763</v>
      </c>
      <c r="B721" s="1406"/>
      <c r="C721" s="1065"/>
      <c r="D721" s="1066"/>
      <c r="E721" s="1065"/>
      <c r="F721" s="1099"/>
      <c r="G721" s="1095"/>
    </row>
    <row r="722" spans="1:8" ht="15.5">
      <c r="A722" s="1069" t="s">
        <v>690</v>
      </c>
      <c r="B722" s="1070" t="s">
        <v>691</v>
      </c>
      <c r="C722" s="1070" t="s">
        <v>692</v>
      </c>
      <c r="D722" s="1071">
        <v>2019</v>
      </c>
      <c r="E722" s="1116">
        <v>2015</v>
      </c>
      <c r="F722" s="1088">
        <v>2018</v>
      </c>
      <c r="G722" s="1095"/>
    </row>
    <row r="723" spans="1:8" ht="15.75" customHeight="1">
      <c r="A723" s="1135"/>
      <c r="B723" s="1145"/>
      <c r="C723" s="1089"/>
      <c r="D723" s="1075"/>
      <c r="E723" s="1098"/>
      <c r="F723" s="1099"/>
      <c r="G723" s="1095"/>
      <c r="H723" s="1095"/>
    </row>
    <row r="724" spans="1:8" ht="15.75" customHeight="1">
      <c r="A724" s="1135" t="s">
        <v>283</v>
      </c>
      <c r="B724" s="1145" t="s">
        <v>284</v>
      </c>
      <c r="C724" s="1089"/>
      <c r="D724" s="1075">
        <f>'Trial Combine 19'!I373</f>
        <v>44891</v>
      </c>
      <c r="E724" s="1098"/>
      <c r="F724" s="1104">
        <v>78400</v>
      </c>
      <c r="G724" s="1095"/>
      <c r="H724" s="1095"/>
    </row>
    <row r="725" spans="1:8" ht="15.75" customHeight="1">
      <c r="A725" s="1135" t="s">
        <v>301</v>
      </c>
      <c r="B725" s="1145" t="s">
        <v>302</v>
      </c>
      <c r="C725" s="1089"/>
      <c r="D725" s="1075">
        <f>'Trial Combine 19'!I385</f>
        <v>19430</v>
      </c>
      <c r="E725" s="1098"/>
      <c r="F725" s="1104">
        <v>165812</v>
      </c>
      <c r="G725" s="1095"/>
      <c r="H725" s="1095"/>
    </row>
    <row r="726" spans="1:8" ht="15.75" customHeight="1">
      <c r="A726" s="1135"/>
      <c r="B726" s="1145"/>
      <c r="C726" s="1089"/>
      <c r="D726" s="1075"/>
      <c r="E726" s="1098"/>
      <c r="F726" s="1099"/>
      <c r="G726" s="1095"/>
      <c r="H726" s="1095"/>
    </row>
    <row r="727" spans="1:8" ht="15.75" customHeight="1">
      <c r="A727" s="1135"/>
      <c r="B727" s="1145"/>
      <c r="C727" s="1089"/>
      <c r="D727" s="1075"/>
      <c r="E727" s="1098"/>
      <c r="F727" s="1099"/>
      <c r="G727" s="1095"/>
      <c r="H727" s="1095"/>
    </row>
    <row r="728" spans="1:8" ht="15.75" customHeight="1">
      <c r="A728" s="1135"/>
      <c r="B728" s="1145"/>
      <c r="C728" s="1089"/>
      <c r="D728" s="1075"/>
      <c r="E728" s="1098"/>
      <c r="F728" s="1099"/>
      <c r="G728" s="1095"/>
      <c r="H728" s="1095"/>
    </row>
    <row r="729" spans="1:8" ht="15.75" customHeight="1">
      <c r="A729" s="1135"/>
      <c r="B729" s="1145"/>
      <c r="C729" s="1089"/>
      <c r="D729" s="1075"/>
      <c r="E729" s="1098"/>
      <c r="F729" s="1099"/>
      <c r="G729" s="1095"/>
      <c r="H729" s="1095"/>
    </row>
    <row r="730" spans="1:8" ht="15.75" customHeight="1">
      <c r="A730" s="1135"/>
      <c r="B730" s="1145"/>
      <c r="C730" s="1089"/>
      <c r="D730" s="1075"/>
      <c r="E730" s="1098"/>
      <c r="F730" s="1099"/>
      <c r="G730" s="1095"/>
      <c r="H730" s="1095"/>
    </row>
    <row r="731" spans="1:8" ht="15.75" customHeight="1">
      <c r="A731" s="1135"/>
      <c r="B731" s="1145"/>
      <c r="C731" s="1089"/>
      <c r="D731" s="1075"/>
      <c r="E731" s="1098"/>
      <c r="F731" s="1099"/>
      <c r="G731" s="1095"/>
      <c r="H731" s="1095"/>
    </row>
    <row r="732" spans="1:8" ht="15.75" customHeight="1">
      <c r="A732" s="1135"/>
      <c r="B732" s="1145"/>
      <c r="C732" s="1089"/>
      <c r="D732" s="1075"/>
      <c r="E732" s="1098"/>
      <c r="F732" s="1099"/>
      <c r="G732" s="1095"/>
      <c r="H732" s="1095"/>
    </row>
    <row r="733" spans="1:8" ht="15.75" customHeight="1">
      <c r="A733" s="1135"/>
      <c r="B733" s="1145"/>
      <c r="C733" s="1089"/>
      <c r="D733" s="1075"/>
      <c r="E733" s="1098"/>
      <c r="F733" s="1099"/>
      <c r="G733" s="1095"/>
      <c r="H733" s="1095"/>
    </row>
    <row r="734" spans="1:8" ht="15.75" customHeight="1">
      <c r="A734" s="1135"/>
      <c r="B734" s="1145"/>
      <c r="C734" s="1089"/>
      <c r="D734" s="1075"/>
      <c r="E734" s="1098"/>
      <c r="F734" s="1099"/>
      <c r="G734" s="1095"/>
      <c r="H734" s="1095"/>
    </row>
    <row r="735" spans="1:8" ht="15.75" customHeight="1">
      <c r="A735" s="1135"/>
      <c r="B735" s="1145"/>
      <c r="C735" s="1089"/>
      <c r="D735" s="1075"/>
      <c r="E735" s="1098"/>
      <c r="F735" s="1099"/>
      <c r="G735" s="1095" t="e">
        <v>#DIV/0!</v>
      </c>
      <c r="H735" s="1095"/>
    </row>
    <row r="736" spans="1:8" ht="15.75" customHeight="1">
      <c r="A736" s="1135"/>
      <c r="B736" s="1145"/>
      <c r="C736" s="1089"/>
      <c r="D736" s="1075"/>
      <c r="E736" s="1098"/>
      <c r="F736" s="1099"/>
      <c r="G736" s="1095" t="e">
        <v>#DIV/0!</v>
      </c>
      <c r="H736" s="1095"/>
    </row>
    <row r="737" spans="1:8" ht="15.5">
      <c r="A737" s="1135"/>
      <c r="B737" s="1145"/>
      <c r="C737" s="1089"/>
      <c r="D737" s="1075"/>
      <c r="E737" s="1098"/>
      <c r="F737" s="1099"/>
      <c r="G737" s="1095"/>
      <c r="H737" s="1095"/>
    </row>
    <row r="738" spans="1:8" ht="15.75" customHeight="1">
      <c r="A738" s="1135"/>
      <c r="B738" s="1145"/>
      <c r="C738" s="1089"/>
      <c r="D738" s="1075"/>
      <c r="E738" s="1098"/>
      <c r="F738" s="1099"/>
      <c r="G738" s="1095"/>
      <c r="H738" s="1095"/>
    </row>
    <row r="739" spans="1:8" ht="15.75" customHeight="1">
      <c r="A739" s="1135"/>
      <c r="B739" s="1145"/>
      <c r="C739" s="1089"/>
      <c r="D739" s="1075"/>
      <c r="E739" s="1098"/>
      <c r="F739" s="1099"/>
      <c r="G739" s="1095"/>
      <c r="H739" s="1095"/>
    </row>
    <row r="740" spans="1:8" ht="15.75" customHeight="1">
      <c r="A740" s="1135"/>
      <c r="B740" s="1145"/>
      <c r="C740" s="1089"/>
      <c r="D740" s="1075"/>
      <c r="E740" s="1098"/>
      <c r="F740" s="1099"/>
      <c r="G740" s="1095"/>
      <c r="H740" s="1095"/>
    </row>
    <row r="741" spans="1:8" ht="15.75" customHeight="1">
      <c r="A741" s="1135"/>
      <c r="B741" s="1145"/>
      <c r="C741" s="1089"/>
      <c r="D741" s="1075"/>
      <c r="E741" s="1098"/>
      <c r="F741" s="1099"/>
      <c r="G741" s="1095"/>
      <c r="H741" s="1095"/>
    </row>
    <row r="742" spans="1:8" ht="15.5">
      <c r="A742" s="1084"/>
      <c r="B742" s="1094"/>
      <c r="C742" s="1094"/>
      <c r="D742" s="1075"/>
      <c r="E742" s="1098"/>
      <c r="F742" s="1099"/>
      <c r="G742" s="1095"/>
      <c r="H742" s="1182">
        <v>-5375238</v>
      </c>
    </row>
    <row r="743" spans="1:8" ht="15.5">
      <c r="A743" s="1084"/>
      <c r="B743" s="1094"/>
      <c r="C743" s="1094"/>
      <c r="D743" s="1075"/>
      <c r="E743" s="1098"/>
      <c r="F743" s="1099"/>
      <c r="G743" s="1095"/>
      <c r="H743" s="1095"/>
    </row>
    <row r="744" spans="1:8" ht="15.5">
      <c r="A744" s="1084"/>
      <c r="B744" s="1094"/>
      <c r="C744" s="1094"/>
      <c r="D744" s="1075"/>
      <c r="E744" s="1098"/>
      <c r="F744" s="1099"/>
      <c r="G744" s="1095"/>
      <c r="H744" s="1095"/>
    </row>
    <row r="745" spans="1:8" ht="15.5">
      <c r="A745" s="1084"/>
      <c r="B745" s="1094"/>
      <c r="C745" s="1094"/>
      <c r="D745" s="1075"/>
      <c r="E745" s="1098"/>
      <c r="F745" s="1099"/>
      <c r="G745" s="1095"/>
      <c r="H745" s="1095"/>
    </row>
    <row r="746" spans="1:8" ht="15.5">
      <c r="A746" s="1084"/>
      <c r="B746" s="1094"/>
      <c r="C746" s="1094"/>
      <c r="D746" s="1075"/>
      <c r="E746" s="1098"/>
      <c r="F746" s="1099"/>
      <c r="G746" s="1095" t="e">
        <v>#DIV/0!</v>
      </c>
      <c r="H746" s="1095"/>
    </row>
    <row r="747" spans="1:8" ht="15.5">
      <c r="A747" s="1084"/>
      <c r="B747" s="1094"/>
      <c r="C747" s="1094"/>
      <c r="D747" s="1075"/>
      <c r="E747" s="1098"/>
      <c r="F747" s="1099"/>
      <c r="G747" s="1095"/>
      <c r="H747" s="1095"/>
    </row>
    <row r="748" spans="1:8" ht="15.5">
      <c r="A748" s="1084"/>
      <c r="B748" s="1094"/>
      <c r="C748" s="1094"/>
      <c r="D748" s="1075"/>
      <c r="E748" s="1098"/>
      <c r="F748" s="1099"/>
      <c r="G748" s="1095"/>
      <c r="H748" s="1095"/>
    </row>
    <row r="749" spans="1:8" ht="15.5">
      <c r="A749" s="1084"/>
      <c r="B749" s="1074"/>
      <c r="C749" s="1074"/>
      <c r="D749" s="1075"/>
      <c r="E749" s="1105"/>
      <c r="F749" s="1099"/>
      <c r="G749" s="1095"/>
      <c r="H749" s="1182">
        <v>-2097437</v>
      </c>
    </row>
    <row r="750" spans="1:8" ht="15.5">
      <c r="A750" s="1084"/>
      <c r="B750" s="1074"/>
      <c r="C750" s="1074"/>
      <c r="D750" s="1081"/>
      <c r="E750" s="1105"/>
      <c r="F750" s="1099"/>
      <c r="G750" s="1095"/>
      <c r="H750" s="1095"/>
    </row>
    <row r="751" spans="1:8" ht="15.5">
      <c r="A751" s="1404"/>
      <c r="B751" s="1405"/>
      <c r="C751" s="1087"/>
      <c r="D751" s="1083"/>
      <c r="E751" s="1111"/>
      <c r="F751" s="1099"/>
      <c r="G751" s="1095"/>
      <c r="H751" s="1095"/>
    </row>
    <row r="752" spans="1:8" ht="15.5">
      <c r="A752" s="1404" t="s">
        <v>701</v>
      </c>
      <c r="B752" s="1405"/>
      <c r="C752" s="1087"/>
      <c r="D752" s="1083">
        <f>SUM(D723:D750)</f>
        <v>64321</v>
      </c>
      <c r="E752" s="1111">
        <f>SUM(E723:E750)</f>
        <v>0</v>
      </c>
      <c r="F752" s="1104">
        <f>SUM(F723:F750)</f>
        <v>244212</v>
      </c>
      <c r="G752" s="1095"/>
      <c r="H752" s="1095"/>
    </row>
    <row r="753" spans="1:8" ht="15.5">
      <c r="A753" s="1406" t="s">
        <v>751</v>
      </c>
      <c r="B753" s="1406"/>
      <c r="C753" s="1065"/>
      <c r="D753" s="1066"/>
      <c r="E753" s="1065"/>
      <c r="F753" s="1099"/>
      <c r="G753" s="1095"/>
    </row>
    <row r="754" spans="1:8" ht="15.5">
      <c r="A754" s="1069" t="s">
        <v>690</v>
      </c>
      <c r="B754" s="1070" t="s">
        <v>691</v>
      </c>
      <c r="C754" s="1070" t="s">
        <v>692</v>
      </c>
      <c r="D754" s="1071">
        <v>2019</v>
      </c>
      <c r="E754" s="1116">
        <v>2015</v>
      </c>
      <c r="F754" s="1088">
        <v>2018</v>
      </c>
      <c r="G754" s="1095"/>
    </row>
    <row r="755" spans="1:8" ht="15.75" customHeight="1">
      <c r="A755" s="1135"/>
      <c r="B755" s="1145"/>
      <c r="C755" s="1089"/>
      <c r="D755" s="1075"/>
      <c r="E755" s="1098"/>
      <c r="F755" s="1099"/>
      <c r="G755" s="1095"/>
      <c r="H755" s="1095"/>
    </row>
    <row r="756" spans="1:8" ht="15.75" customHeight="1">
      <c r="A756" s="1135" t="s">
        <v>271</v>
      </c>
      <c r="B756" s="1145" t="s">
        <v>272</v>
      </c>
      <c r="C756" s="1089"/>
      <c r="D756" s="1075">
        <f>'Trial Combine 19'!I350</f>
        <v>327822</v>
      </c>
      <c r="E756" s="1098"/>
      <c r="F756" s="1104">
        <v>385218</v>
      </c>
      <c r="G756" s="1095">
        <v>333917</v>
      </c>
      <c r="H756" s="1095">
        <f>D756-G756</f>
        <v>-6095</v>
      </c>
    </row>
    <row r="757" spans="1:8" ht="15.75" customHeight="1">
      <c r="A757" s="1135" t="s">
        <v>623</v>
      </c>
      <c r="B757" s="1145" t="s">
        <v>624</v>
      </c>
      <c r="C757" s="1089"/>
      <c r="D757" s="1075">
        <f>'Trial Combine 19'!I353</f>
        <v>0</v>
      </c>
      <c r="E757" s="1098"/>
      <c r="F757" s="1104">
        <v>3000</v>
      </c>
      <c r="G757" s="1095"/>
      <c r="H757" s="1095"/>
    </row>
    <row r="758" spans="1:8" ht="15.75" customHeight="1">
      <c r="A758" s="1135"/>
      <c r="B758" s="1145"/>
      <c r="C758" s="1089"/>
      <c r="D758" s="1075"/>
      <c r="E758" s="1098"/>
      <c r="F758" s="1104"/>
      <c r="G758" s="1095"/>
      <c r="H758" s="1095"/>
    </row>
    <row r="759" spans="1:8" ht="15.75" customHeight="1">
      <c r="A759" s="1135"/>
      <c r="B759" s="1145"/>
      <c r="C759" s="1089"/>
      <c r="D759" s="1075"/>
      <c r="E759" s="1098"/>
      <c r="F759" s="1099"/>
      <c r="G759" s="1095"/>
      <c r="H759" s="1095"/>
    </row>
    <row r="760" spans="1:8" ht="15.75" customHeight="1">
      <c r="A760" s="1135"/>
      <c r="B760" s="1145"/>
      <c r="C760" s="1089"/>
      <c r="D760" s="1075"/>
      <c r="E760" s="1098"/>
      <c r="F760" s="1099"/>
      <c r="G760" s="1095"/>
      <c r="H760" s="1095"/>
    </row>
    <row r="761" spans="1:8" ht="15.75" customHeight="1">
      <c r="A761" s="1135"/>
      <c r="B761" s="1145"/>
      <c r="C761" s="1089"/>
      <c r="D761" s="1075"/>
      <c r="E761" s="1098"/>
      <c r="F761" s="1099"/>
      <c r="G761" s="1095"/>
      <c r="H761" s="1095"/>
    </row>
    <row r="762" spans="1:8" ht="15.75" customHeight="1">
      <c r="A762" s="1135"/>
      <c r="B762" s="1145"/>
      <c r="C762" s="1089"/>
      <c r="D762" s="1075"/>
      <c r="E762" s="1098"/>
      <c r="F762" s="1099"/>
      <c r="G762" s="1095"/>
      <c r="H762" s="1095"/>
    </row>
    <row r="763" spans="1:8" ht="15.75" customHeight="1">
      <c r="A763" s="1135"/>
      <c r="B763" s="1145"/>
      <c r="C763" s="1089"/>
      <c r="D763" s="1075"/>
      <c r="E763" s="1098"/>
      <c r="F763" s="1099"/>
      <c r="G763" s="1095"/>
      <c r="H763" s="1095"/>
    </row>
    <row r="764" spans="1:8" ht="15.75" customHeight="1">
      <c r="A764" s="1135"/>
      <c r="B764" s="1145"/>
      <c r="C764" s="1089"/>
      <c r="D764" s="1075"/>
      <c r="E764" s="1098"/>
      <c r="F764" s="1099"/>
      <c r="G764" s="1095"/>
      <c r="H764" s="1095"/>
    </row>
    <row r="765" spans="1:8" ht="15.75" customHeight="1">
      <c r="A765" s="1135"/>
      <c r="B765" s="1145"/>
      <c r="C765" s="1089"/>
      <c r="D765" s="1075"/>
      <c r="E765" s="1098"/>
      <c r="F765" s="1099"/>
      <c r="G765" s="1095"/>
      <c r="H765" s="1095"/>
    </row>
    <row r="766" spans="1:8" ht="15.75" customHeight="1">
      <c r="A766" s="1135"/>
      <c r="B766" s="1145"/>
      <c r="C766" s="1089"/>
      <c r="D766" s="1075"/>
      <c r="E766" s="1098"/>
      <c r="F766" s="1099"/>
      <c r="G766" s="1095"/>
      <c r="H766" s="1095"/>
    </row>
    <row r="767" spans="1:8" ht="15.75" customHeight="1">
      <c r="A767" s="1135"/>
      <c r="B767" s="1145"/>
      <c r="C767" s="1089"/>
      <c r="D767" s="1075"/>
      <c r="E767" s="1098"/>
      <c r="F767" s="1099"/>
      <c r="G767" s="1095" t="e">
        <v>#DIV/0!</v>
      </c>
      <c r="H767" s="1095"/>
    </row>
    <row r="768" spans="1:8" ht="15.75" customHeight="1">
      <c r="A768" s="1135"/>
      <c r="B768" s="1145"/>
      <c r="C768" s="1089"/>
      <c r="D768" s="1075"/>
      <c r="E768" s="1098"/>
      <c r="F768" s="1099"/>
      <c r="G768" s="1095" t="e">
        <v>#DIV/0!</v>
      </c>
      <c r="H768" s="1095"/>
    </row>
    <row r="769" spans="1:8" ht="15.5">
      <c r="A769" s="1135"/>
      <c r="B769" s="1145"/>
      <c r="C769" s="1089"/>
      <c r="D769" s="1075"/>
      <c r="E769" s="1098"/>
      <c r="F769" s="1099"/>
      <c r="G769" s="1095"/>
      <c r="H769" s="1095"/>
    </row>
    <row r="770" spans="1:8" ht="15.75" customHeight="1">
      <c r="A770" s="1135"/>
      <c r="B770" s="1145"/>
      <c r="C770" s="1089"/>
      <c r="D770" s="1075"/>
      <c r="E770" s="1098"/>
      <c r="F770" s="1099"/>
      <c r="G770" s="1095"/>
      <c r="H770" s="1095"/>
    </row>
    <row r="771" spans="1:8" ht="15.75" customHeight="1">
      <c r="A771" s="1135"/>
      <c r="B771" s="1145"/>
      <c r="C771" s="1089"/>
      <c r="D771" s="1075"/>
      <c r="E771" s="1098"/>
      <c r="F771" s="1099"/>
      <c r="G771" s="1095"/>
      <c r="H771" s="1095"/>
    </row>
    <row r="772" spans="1:8" ht="15.75" customHeight="1">
      <c r="A772" s="1135"/>
      <c r="B772" s="1145"/>
      <c r="C772" s="1089"/>
      <c r="D772" s="1075"/>
      <c r="E772" s="1098"/>
      <c r="F772" s="1099"/>
      <c r="G772" s="1095"/>
      <c r="H772" s="1095"/>
    </row>
    <row r="773" spans="1:8" ht="15.75" customHeight="1">
      <c r="A773" s="1135"/>
      <c r="B773" s="1145"/>
      <c r="C773" s="1089"/>
      <c r="D773" s="1075"/>
      <c r="E773" s="1098"/>
      <c r="F773" s="1099"/>
      <c r="G773" s="1095"/>
      <c r="H773" s="1095"/>
    </row>
    <row r="774" spans="1:8" ht="15.5">
      <c r="A774" s="1084"/>
      <c r="B774" s="1094"/>
      <c r="C774" s="1094"/>
      <c r="D774" s="1075"/>
      <c r="E774" s="1098"/>
      <c r="F774" s="1099"/>
      <c r="G774" s="1095"/>
      <c r="H774" s="1182">
        <v>-5375238</v>
      </c>
    </row>
    <row r="775" spans="1:8" ht="15.5">
      <c r="A775" s="1084"/>
      <c r="B775" s="1094"/>
      <c r="C775" s="1094"/>
      <c r="D775" s="1075"/>
      <c r="E775" s="1098"/>
      <c r="F775" s="1099"/>
      <c r="G775" s="1095"/>
      <c r="H775" s="1095"/>
    </row>
    <row r="776" spans="1:8" ht="15.5">
      <c r="A776" s="1084"/>
      <c r="B776" s="1094"/>
      <c r="C776" s="1094"/>
      <c r="D776" s="1075"/>
      <c r="E776" s="1098"/>
      <c r="F776" s="1099"/>
      <c r="G776" s="1095"/>
      <c r="H776" s="1095"/>
    </row>
    <row r="777" spans="1:8" ht="15.5">
      <c r="A777" s="1084"/>
      <c r="B777" s="1094"/>
      <c r="C777" s="1094"/>
      <c r="D777" s="1075"/>
      <c r="E777" s="1098"/>
      <c r="F777" s="1099"/>
      <c r="G777" s="1095"/>
      <c r="H777" s="1095"/>
    </row>
    <row r="778" spans="1:8" ht="15.5">
      <c r="A778" s="1084"/>
      <c r="B778" s="1094"/>
      <c r="C778" s="1094"/>
      <c r="D778" s="1075"/>
      <c r="E778" s="1098"/>
      <c r="F778" s="1099"/>
      <c r="G778" s="1095" t="e">
        <v>#DIV/0!</v>
      </c>
      <c r="H778" s="1095"/>
    </row>
    <row r="779" spans="1:8" ht="15.5">
      <c r="A779" s="1084"/>
      <c r="B779" s="1094"/>
      <c r="C779" s="1094"/>
      <c r="D779" s="1075"/>
      <c r="E779" s="1098"/>
      <c r="F779" s="1099"/>
      <c r="G779" s="1095"/>
      <c r="H779" s="1095"/>
    </row>
    <row r="780" spans="1:8" ht="15.5">
      <c r="A780" s="1084"/>
      <c r="B780" s="1094"/>
      <c r="C780" s="1094"/>
      <c r="D780" s="1075"/>
      <c r="E780" s="1098"/>
      <c r="F780" s="1099"/>
      <c r="G780" s="1095"/>
      <c r="H780" s="1095"/>
    </row>
    <row r="781" spans="1:8" ht="15.5">
      <c r="A781" s="1084"/>
      <c r="B781" s="1074"/>
      <c r="C781" s="1074"/>
      <c r="D781" s="1075"/>
      <c r="E781" s="1105"/>
      <c r="F781" s="1099"/>
      <c r="G781" s="1095"/>
      <c r="H781" s="1182">
        <v>-2097437</v>
      </c>
    </row>
    <row r="782" spans="1:8" ht="15.5">
      <c r="A782" s="1084"/>
      <c r="B782" s="1074"/>
      <c r="C782" s="1074"/>
      <c r="D782" s="1081"/>
      <c r="E782" s="1105"/>
      <c r="F782" s="1099"/>
      <c r="G782" s="1095"/>
      <c r="H782" s="1095"/>
    </row>
    <row r="783" spans="1:8" ht="15.5">
      <c r="A783" s="1404"/>
      <c r="B783" s="1405"/>
      <c r="C783" s="1087"/>
      <c r="D783" s="1083"/>
      <c r="E783" s="1111"/>
      <c r="F783" s="1099"/>
      <c r="G783" s="1095"/>
      <c r="H783" s="1095"/>
    </row>
    <row r="784" spans="1:8" ht="15.5">
      <c r="A784" s="1404" t="s">
        <v>701</v>
      </c>
      <c r="B784" s="1405"/>
      <c r="C784" s="1087"/>
      <c r="D784" s="1083">
        <f>SUM(D755:D782)</f>
        <v>327822</v>
      </c>
      <c r="E784" s="1111">
        <f>SUM(E755:E782)</f>
        <v>0</v>
      </c>
      <c r="F784" s="1099"/>
    </row>
    <row r="785" spans="1:8" ht="15.5">
      <c r="A785" s="1406" t="s">
        <v>764</v>
      </c>
      <c r="B785" s="1406"/>
      <c r="C785" s="1065"/>
      <c r="D785" s="1066"/>
      <c r="E785" s="1065"/>
      <c r="F785" s="1099"/>
      <c r="G785" s="1095"/>
    </row>
    <row r="786" spans="1:8" ht="15.5">
      <c r="A786" s="1069" t="s">
        <v>690</v>
      </c>
      <c r="B786" s="1070" t="s">
        <v>691</v>
      </c>
      <c r="C786" s="1070" t="s">
        <v>692</v>
      </c>
      <c r="D786" s="1071">
        <v>2019</v>
      </c>
      <c r="E786" s="1116">
        <v>2015</v>
      </c>
      <c r="F786" s="1088">
        <v>2018</v>
      </c>
      <c r="G786" s="1095"/>
    </row>
    <row r="787" spans="1:8" ht="15.75" customHeight="1">
      <c r="A787" s="1135"/>
      <c r="B787" s="1145"/>
      <c r="C787" s="1089"/>
      <c r="D787" s="1075"/>
      <c r="E787" s="1098"/>
      <c r="F787" s="1104"/>
      <c r="G787" s="1095"/>
      <c r="H787" s="1095"/>
    </row>
    <row r="788" spans="1:8" ht="15.75" customHeight="1">
      <c r="A788" s="1135" t="s">
        <v>642</v>
      </c>
      <c r="B788" s="1145" t="s">
        <v>643</v>
      </c>
      <c r="C788" s="1089"/>
      <c r="D788" s="1075">
        <f>'Trial Combine 19'!I378</f>
        <v>0</v>
      </c>
      <c r="E788" s="1098"/>
      <c r="F788" s="1104">
        <v>11050</v>
      </c>
      <c r="G788" s="1095"/>
      <c r="H788" s="1095"/>
    </row>
    <row r="789" spans="1:8" ht="15.75" customHeight="1">
      <c r="A789" s="1135" t="s">
        <v>287</v>
      </c>
      <c r="B789" s="1145" t="s">
        <v>288</v>
      </c>
      <c r="C789" s="1089"/>
      <c r="D789" s="1075">
        <f>'Trial Combine 19'!I375</f>
        <v>1720000</v>
      </c>
      <c r="E789" s="1098"/>
      <c r="F789" s="1104">
        <v>634899</v>
      </c>
      <c r="G789" s="1095"/>
      <c r="H789" s="1095"/>
    </row>
    <row r="790" spans="1:8" ht="15.75" customHeight="1">
      <c r="A790" s="1135"/>
      <c r="B790" s="1145"/>
      <c r="C790" s="1089"/>
      <c r="D790" s="1075">
        <v>0</v>
      </c>
      <c r="E790" s="1098"/>
      <c r="F790" s="1104"/>
      <c r="G790" s="1095"/>
      <c r="H790" s="1095"/>
    </row>
    <row r="791" spans="1:8" ht="15.75" customHeight="1">
      <c r="A791" s="1135"/>
      <c r="B791" s="1145"/>
      <c r="C791" s="1089"/>
      <c r="D791" s="1075"/>
      <c r="E791" s="1098"/>
      <c r="F791" s="1099"/>
      <c r="G791" s="1095"/>
      <c r="H791" s="1095"/>
    </row>
    <row r="792" spans="1:8" ht="15.75" customHeight="1">
      <c r="A792" s="1135"/>
      <c r="B792" s="1145"/>
      <c r="C792" s="1089"/>
      <c r="D792" s="1075"/>
      <c r="E792" s="1098"/>
      <c r="F792" s="1099"/>
      <c r="G792" s="1095"/>
      <c r="H792" s="1095"/>
    </row>
    <row r="793" spans="1:8" ht="15.75" customHeight="1">
      <c r="A793" s="1135"/>
      <c r="B793" s="1145"/>
      <c r="C793" s="1089"/>
      <c r="D793" s="1075"/>
      <c r="E793" s="1098"/>
      <c r="F793" s="1099"/>
      <c r="G793" s="1095"/>
      <c r="H793" s="1095"/>
    </row>
    <row r="794" spans="1:8" ht="15.75" customHeight="1">
      <c r="A794" s="1135"/>
      <c r="B794" s="1145"/>
      <c r="C794" s="1089"/>
      <c r="D794" s="1075"/>
      <c r="E794" s="1098"/>
      <c r="F794" s="1099"/>
      <c r="G794" s="1095"/>
      <c r="H794" s="1095"/>
    </row>
    <row r="795" spans="1:8" ht="15.75" customHeight="1">
      <c r="A795" s="1135"/>
      <c r="B795" s="1145"/>
      <c r="C795" s="1089"/>
      <c r="D795" s="1075"/>
      <c r="E795" s="1098"/>
      <c r="F795" s="1099"/>
      <c r="G795" s="1095"/>
      <c r="H795" s="1095"/>
    </row>
    <row r="796" spans="1:8" ht="15.75" customHeight="1">
      <c r="A796" s="1135"/>
      <c r="B796" s="1145"/>
      <c r="C796" s="1089"/>
      <c r="D796" s="1075"/>
      <c r="E796" s="1098"/>
      <c r="F796" s="1099"/>
      <c r="G796" s="1095"/>
      <c r="H796" s="1095"/>
    </row>
    <row r="797" spans="1:8" ht="15.75" customHeight="1">
      <c r="A797" s="1135"/>
      <c r="B797" s="1145"/>
      <c r="C797" s="1089"/>
      <c r="D797" s="1075"/>
      <c r="E797" s="1098"/>
      <c r="F797" s="1099"/>
      <c r="G797" s="1095"/>
      <c r="H797" s="1095"/>
    </row>
    <row r="798" spans="1:8" ht="15.75" customHeight="1">
      <c r="A798" s="1135"/>
      <c r="B798" s="1145"/>
      <c r="C798" s="1089"/>
      <c r="D798" s="1075"/>
      <c r="E798" s="1098"/>
      <c r="F798" s="1099"/>
      <c r="G798" s="1095"/>
      <c r="H798" s="1095"/>
    </row>
    <row r="799" spans="1:8" ht="15.75" customHeight="1">
      <c r="A799" s="1135"/>
      <c r="B799" s="1145"/>
      <c r="C799" s="1089"/>
      <c r="D799" s="1075"/>
      <c r="E799" s="1098"/>
      <c r="F799" s="1099"/>
      <c r="G799" s="1095" t="e">
        <v>#DIV/0!</v>
      </c>
      <c r="H799" s="1095"/>
    </row>
    <row r="800" spans="1:8" ht="15.75" customHeight="1">
      <c r="A800" s="1135"/>
      <c r="B800" s="1145"/>
      <c r="C800" s="1089"/>
      <c r="D800" s="1075"/>
      <c r="E800" s="1098"/>
      <c r="F800" s="1099"/>
      <c r="G800" s="1095" t="e">
        <v>#DIV/0!</v>
      </c>
      <c r="H800" s="1095"/>
    </row>
    <row r="801" spans="1:8" ht="15.5">
      <c r="A801" s="1135"/>
      <c r="B801" s="1145"/>
      <c r="C801" s="1089"/>
      <c r="D801" s="1075"/>
      <c r="E801" s="1098"/>
      <c r="F801" s="1099"/>
      <c r="G801" s="1095"/>
      <c r="H801" s="1095"/>
    </row>
    <row r="802" spans="1:8" ht="15.75" customHeight="1">
      <c r="A802" s="1135"/>
      <c r="B802" s="1145"/>
      <c r="C802" s="1089"/>
      <c r="D802" s="1075"/>
      <c r="E802" s="1098"/>
      <c r="F802" s="1099"/>
      <c r="G802" s="1095"/>
      <c r="H802" s="1095"/>
    </row>
    <row r="803" spans="1:8" ht="15.75" customHeight="1">
      <c r="A803" s="1135"/>
      <c r="B803" s="1145"/>
      <c r="C803" s="1089"/>
      <c r="D803" s="1075"/>
      <c r="E803" s="1098"/>
      <c r="F803" s="1099"/>
      <c r="G803" s="1095"/>
      <c r="H803" s="1095"/>
    </row>
    <row r="804" spans="1:8" ht="15.75" customHeight="1">
      <c r="A804" s="1135"/>
      <c r="B804" s="1145"/>
      <c r="C804" s="1089"/>
      <c r="D804" s="1075"/>
      <c r="E804" s="1098"/>
      <c r="F804" s="1099"/>
      <c r="G804" s="1095"/>
      <c r="H804" s="1095"/>
    </row>
    <row r="805" spans="1:8" ht="15.75" customHeight="1">
      <c r="A805" s="1135"/>
      <c r="B805" s="1145"/>
      <c r="C805" s="1089"/>
      <c r="D805" s="1075"/>
      <c r="E805" s="1098"/>
      <c r="F805" s="1099"/>
      <c r="G805" s="1095"/>
      <c r="H805" s="1095"/>
    </row>
    <row r="806" spans="1:8" ht="15.5">
      <c r="A806" s="1084"/>
      <c r="B806" s="1094"/>
      <c r="C806" s="1094"/>
      <c r="D806" s="1075"/>
      <c r="E806" s="1098"/>
      <c r="F806" s="1099"/>
      <c r="G806" s="1095"/>
      <c r="H806" s="1182">
        <v>-5375238</v>
      </c>
    </row>
    <row r="807" spans="1:8" ht="15.5">
      <c r="A807" s="1084"/>
      <c r="B807" s="1094"/>
      <c r="C807" s="1094"/>
      <c r="D807" s="1075"/>
      <c r="E807" s="1098"/>
      <c r="F807" s="1099"/>
      <c r="G807" s="1095"/>
      <c r="H807" s="1095"/>
    </row>
    <row r="808" spans="1:8" ht="15.5">
      <c r="A808" s="1084"/>
      <c r="B808" s="1094"/>
      <c r="C808" s="1094"/>
      <c r="D808" s="1075"/>
      <c r="E808" s="1098"/>
      <c r="F808" s="1099"/>
      <c r="G808" s="1095"/>
      <c r="H808" s="1095"/>
    </row>
    <row r="809" spans="1:8" ht="15.5">
      <c r="A809" s="1084"/>
      <c r="B809" s="1094"/>
      <c r="C809" s="1094"/>
      <c r="D809" s="1075"/>
      <c r="E809" s="1098"/>
      <c r="F809" s="1099"/>
      <c r="G809" s="1095"/>
      <c r="H809" s="1095"/>
    </row>
    <row r="810" spans="1:8" ht="15.5">
      <c r="A810" s="1084"/>
      <c r="B810" s="1094"/>
      <c r="C810" s="1094"/>
      <c r="D810" s="1075"/>
      <c r="E810" s="1098"/>
      <c r="F810" s="1099"/>
      <c r="G810" s="1095" t="e">
        <v>#DIV/0!</v>
      </c>
      <c r="H810" s="1095"/>
    </row>
    <row r="811" spans="1:8" ht="15.5">
      <c r="A811" s="1084"/>
      <c r="B811" s="1094"/>
      <c r="C811" s="1094"/>
      <c r="D811" s="1075"/>
      <c r="E811" s="1098"/>
      <c r="F811" s="1099"/>
      <c r="G811" s="1095"/>
      <c r="H811" s="1095"/>
    </row>
    <row r="812" spans="1:8" ht="15.5">
      <c r="A812" s="1084"/>
      <c r="B812" s="1094"/>
      <c r="C812" s="1094"/>
      <c r="D812" s="1075"/>
      <c r="E812" s="1098"/>
      <c r="F812" s="1099"/>
      <c r="G812" s="1095"/>
      <c r="H812" s="1095"/>
    </row>
    <row r="813" spans="1:8" ht="15.5">
      <c r="A813" s="1084"/>
      <c r="B813" s="1074"/>
      <c r="C813" s="1074"/>
      <c r="D813" s="1075"/>
      <c r="E813" s="1105"/>
      <c r="F813" s="1099"/>
      <c r="G813" s="1095"/>
      <c r="H813" s="1182">
        <v>-2097437</v>
      </c>
    </row>
    <row r="814" spans="1:8" ht="15.5">
      <c r="A814" s="1084"/>
      <c r="B814" s="1074"/>
      <c r="C814" s="1074"/>
      <c r="D814" s="1081"/>
      <c r="E814" s="1105"/>
      <c r="F814" s="1099"/>
      <c r="G814" s="1095"/>
      <c r="H814" s="1095"/>
    </row>
    <row r="815" spans="1:8" ht="15.5">
      <c r="A815" s="1404"/>
      <c r="B815" s="1405"/>
      <c r="C815" s="1087"/>
      <c r="D815" s="1083"/>
      <c r="E815" s="1111"/>
      <c r="F815" s="1099"/>
      <c r="G815" s="1095"/>
      <c r="H815" s="1095"/>
    </row>
    <row r="816" spans="1:8" ht="15.5">
      <c r="A816" s="1404" t="s">
        <v>701</v>
      </c>
      <c r="B816" s="1405"/>
      <c r="C816" s="1087"/>
      <c r="D816" s="1083">
        <f>SUM(D787:D814)</f>
        <v>1720000</v>
      </c>
      <c r="E816" s="1111">
        <f>SUM(E787:E814)</f>
        <v>0</v>
      </c>
      <c r="F816" s="1104">
        <f>SUM(F787:F814)</f>
        <v>645949</v>
      </c>
      <c r="G816" s="1095"/>
      <c r="H816" s="1095"/>
    </row>
    <row r="817" spans="1:8" ht="15.5">
      <c r="A817" s="1125"/>
      <c r="B817" s="1126"/>
      <c r="C817" s="1127"/>
      <c r="D817" s="1128"/>
      <c r="E817" s="1131"/>
      <c r="F817" s="1099"/>
      <c r="G817" s="1095"/>
      <c r="H817" s="1095"/>
    </row>
    <row r="818" spans="1:8" ht="15.5">
      <c r="A818" s="1068" t="s">
        <v>757</v>
      </c>
      <c r="B818" s="1068"/>
      <c r="C818" s="1065"/>
      <c r="D818" s="1066"/>
      <c r="E818" s="1065"/>
      <c r="F818" s="1099"/>
    </row>
    <row r="819" spans="1:8" ht="15.5">
      <c r="A819" s="1069" t="s">
        <v>690</v>
      </c>
      <c r="B819" s="1070" t="s">
        <v>691</v>
      </c>
      <c r="C819" s="1070" t="s">
        <v>692</v>
      </c>
      <c r="D819" s="1071">
        <v>2019</v>
      </c>
      <c r="E819" s="1116">
        <v>2015</v>
      </c>
      <c r="F819" s="1088">
        <v>2018</v>
      </c>
    </row>
    <row r="820" spans="1:8" ht="15.75" customHeight="1">
      <c r="A820" s="1135"/>
      <c r="B820" s="1145"/>
      <c r="C820" s="1089"/>
      <c r="D820" s="1075"/>
      <c r="E820" s="1098"/>
      <c r="F820" s="1099"/>
    </row>
    <row r="821" spans="1:8" ht="15.75" customHeight="1">
      <c r="A821" s="1135" t="s">
        <v>321</v>
      </c>
      <c r="B821" s="1145" t="s">
        <v>322</v>
      </c>
      <c r="C821" s="1089"/>
      <c r="D821" s="1075">
        <f>'Trial Combine 19'!I406</f>
        <v>97000.45</v>
      </c>
      <c r="E821" s="1098"/>
      <c r="F821" s="1099"/>
    </row>
    <row r="822" spans="1:8" ht="15.75" customHeight="1">
      <c r="A822" s="1135" t="s">
        <v>655</v>
      </c>
      <c r="B822" s="1145" t="s">
        <v>656</v>
      </c>
      <c r="C822" s="1089"/>
      <c r="D822" s="1075">
        <f>'Trial Combine 19'!I407</f>
        <v>0</v>
      </c>
      <c r="E822" s="1105"/>
      <c r="F822" s="1104">
        <v>165759</v>
      </c>
    </row>
    <row r="823" spans="1:8" ht="15.75" customHeight="1">
      <c r="A823" s="1135"/>
      <c r="B823" s="1145"/>
      <c r="C823" s="1089"/>
      <c r="D823" s="1075"/>
      <c r="E823" s="1105"/>
      <c r="F823" s="1099"/>
    </row>
    <row r="824" spans="1:8" ht="15.75" customHeight="1">
      <c r="A824" s="1135"/>
      <c r="B824" s="1145"/>
      <c r="C824" s="1089"/>
      <c r="D824" s="1075"/>
      <c r="E824" s="1105"/>
      <c r="F824" s="1099"/>
    </row>
    <row r="825" spans="1:8" ht="15.75" customHeight="1">
      <c r="A825" s="1084"/>
      <c r="B825" s="1074"/>
      <c r="C825" s="1089"/>
      <c r="D825" s="1081"/>
      <c r="E825" s="1105"/>
      <c r="F825" s="1099"/>
    </row>
    <row r="826" spans="1:8" ht="15.75" customHeight="1">
      <c r="A826" s="1084"/>
      <c r="B826" s="1074"/>
      <c r="C826" s="1089"/>
      <c r="D826" s="1081"/>
      <c r="E826" s="1105"/>
      <c r="F826" s="1099"/>
    </row>
    <row r="827" spans="1:8" ht="15.75" customHeight="1">
      <c r="A827" s="1184"/>
      <c r="B827" s="1089"/>
      <c r="C827" s="1089"/>
      <c r="D827" s="1081"/>
      <c r="E827" s="1105"/>
      <c r="F827" s="1099"/>
    </row>
    <row r="828" spans="1:8" ht="15.75" customHeight="1">
      <c r="A828" s="1084"/>
      <c r="B828" s="1089"/>
      <c r="C828" s="1089"/>
      <c r="D828" s="1081"/>
      <c r="E828" s="1105"/>
      <c r="F828" s="1099"/>
    </row>
    <row r="829" spans="1:8" ht="15.5">
      <c r="A829" s="1084"/>
      <c r="B829" s="1089"/>
      <c r="C829" s="1089"/>
      <c r="D829" s="1081"/>
      <c r="E829" s="1105"/>
      <c r="F829" s="1099"/>
    </row>
    <row r="830" spans="1:8" ht="15.5">
      <c r="A830" s="1185"/>
      <c r="B830" s="1089"/>
      <c r="C830" s="1089"/>
      <c r="D830" s="1081"/>
      <c r="E830" s="1105"/>
      <c r="F830" s="1099"/>
    </row>
    <row r="831" spans="1:8" ht="15.75" customHeight="1">
      <c r="A831" s="1135"/>
      <c r="B831" s="1089"/>
      <c r="C831" s="1089"/>
      <c r="D831" s="1081"/>
      <c r="E831" s="1105"/>
      <c r="F831" s="1099"/>
    </row>
    <row r="832" spans="1:8" ht="15.5">
      <c r="A832" s="1084"/>
      <c r="B832" s="1074"/>
      <c r="C832" s="1089"/>
      <c r="D832" s="1081"/>
      <c r="E832" s="1105"/>
      <c r="F832" s="1099"/>
    </row>
    <row r="833" spans="1:6" ht="15.5">
      <c r="A833" s="1184"/>
      <c r="B833" s="1186"/>
      <c r="C833" s="1089"/>
      <c r="D833" s="1081"/>
      <c r="E833" s="1105"/>
      <c r="F833" s="1099"/>
    </row>
    <row r="834" spans="1:6" ht="15.5">
      <c r="A834" s="1184"/>
      <c r="B834" s="1186"/>
      <c r="C834" s="1089"/>
      <c r="D834" s="1081"/>
      <c r="E834" s="1105"/>
      <c r="F834" s="1099"/>
    </row>
    <row r="835" spans="1:6" ht="15.5">
      <c r="A835" s="1184"/>
      <c r="B835" s="1186"/>
      <c r="C835" s="1089"/>
      <c r="D835" s="1081"/>
      <c r="E835" s="1105"/>
      <c r="F835" s="1099"/>
    </row>
    <row r="836" spans="1:6" ht="15.5">
      <c r="A836" s="1184"/>
      <c r="B836" s="1186"/>
      <c r="C836" s="1089"/>
      <c r="D836" s="1081"/>
      <c r="E836" s="1105"/>
      <c r="F836" s="1099"/>
    </row>
    <row r="837" spans="1:6" ht="15.5">
      <c r="A837" s="1184"/>
      <c r="B837" s="1186"/>
      <c r="C837" s="1089"/>
      <c r="D837" s="1081"/>
      <c r="E837" s="1105"/>
      <c r="F837" s="1099"/>
    </row>
    <row r="838" spans="1:6" ht="15.5">
      <c r="A838" s="1084"/>
      <c r="B838" s="1074"/>
      <c r="C838" s="1074"/>
      <c r="D838" s="1081"/>
      <c r="E838" s="1105"/>
      <c r="F838" s="1099"/>
    </row>
    <row r="839" spans="1:6" ht="15.5">
      <c r="A839" s="1084"/>
      <c r="B839" s="1074"/>
      <c r="C839" s="1085"/>
      <c r="D839" s="1081"/>
      <c r="E839" s="1105"/>
      <c r="F839" s="1099"/>
    </row>
    <row r="840" spans="1:6" ht="15.5">
      <c r="A840" s="1084"/>
      <c r="B840" s="1074"/>
      <c r="C840" s="1074"/>
      <c r="D840" s="1081"/>
      <c r="E840" s="1105"/>
      <c r="F840" s="1099"/>
    </row>
    <row r="841" spans="1:6" ht="15.5">
      <c r="A841" s="1084"/>
      <c r="B841" s="1074"/>
      <c r="C841" s="1074"/>
      <c r="D841" s="1081"/>
      <c r="E841" s="1105"/>
      <c r="F841" s="1099"/>
    </row>
    <row r="842" spans="1:6" ht="15.5">
      <c r="A842" s="1084"/>
      <c r="B842" s="1074"/>
      <c r="C842" s="1074"/>
      <c r="D842" s="1081"/>
      <c r="E842" s="1105"/>
      <c r="F842" s="1099"/>
    </row>
    <row r="843" spans="1:6" ht="15.5">
      <c r="A843" s="1084"/>
      <c r="B843" s="1085"/>
      <c r="C843" s="1085"/>
      <c r="D843" s="1081"/>
      <c r="E843" s="1105"/>
      <c r="F843" s="1099"/>
    </row>
    <row r="844" spans="1:6" ht="15.5">
      <c r="A844" s="1404" t="s">
        <v>701</v>
      </c>
      <c r="B844" s="1405"/>
      <c r="C844" s="1087"/>
      <c r="D844" s="1083">
        <f>SUM(D821:D843)</f>
        <v>97000.45</v>
      </c>
      <c r="E844" s="1111">
        <f>E833</f>
        <v>0</v>
      </c>
      <c r="F844" s="1117">
        <f>SUM(F821:F843)</f>
        <v>165759</v>
      </c>
    </row>
    <row r="845" spans="1:6" ht="15.5">
      <c r="A845" s="1125"/>
      <c r="B845" s="1126"/>
      <c r="C845" s="1127"/>
      <c r="D845" s="1128"/>
      <c r="E845" s="1131"/>
      <c r="F845" s="1197"/>
    </row>
    <row r="846" spans="1:6" ht="15.5">
      <c r="A846" s="1406" t="s">
        <v>218</v>
      </c>
      <c r="B846" s="1406"/>
      <c r="C846" s="1133"/>
      <c r="D846" s="1066"/>
      <c r="E846" s="1065"/>
      <c r="F846" s="1197"/>
    </row>
    <row r="847" spans="1:6" ht="15.5">
      <c r="A847" s="1069" t="s">
        <v>690</v>
      </c>
      <c r="B847" s="1070" t="s">
        <v>691</v>
      </c>
      <c r="C847" s="1070" t="s">
        <v>692</v>
      </c>
      <c r="D847" s="1187">
        <v>2016</v>
      </c>
      <c r="E847" s="1198">
        <v>2015</v>
      </c>
      <c r="F847" s="1197"/>
    </row>
    <row r="848" spans="1:6" ht="15.75" customHeight="1">
      <c r="A848" s="1135"/>
      <c r="B848" s="1188" t="s">
        <v>765</v>
      </c>
      <c r="C848" s="1091"/>
      <c r="D848" s="1189">
        <v>2000000</v>
      </c>
      <c r="E848" s="1199">
        <v>2000000</v>
      </c>
      <c r="F848" s="1197"/>
    </row>
    <row r="849" spans="1:6" ht="15.75" customHeight="1">
      <c r="A849" s="1135"/>
      <c r="B849" s="1145"/>
      <c r="C849" s="1089"/>
      <c r="D849" s="1190"/>
      <c r="E849" s="1200"/>
      <c r="F849" s="1197"/>
    </row>
    <row r="850" spans="1:6" ht="15.5">
      <c r="A850" s="1184"/>
      <c r="B850" s="1191" t="s">
        <v>766</v>
      </c>
      <c r="C850" s="1091"/>
      <c r="D850" s="1192" t="e">
        <f>SOFP!#REF!</f>
        <v>#REF!</v>
      </c>
      <c r="E850" s="1201">
        <v>20000</v>
      </c>
      <c r="F850" s="1197"/>
    </row>
    <row r="851" spans="1:6" ht="15.5">
      <c r="A851" s="1184"/>
      <c r="B851" s="1193"/>
      <c r="C851" s="1091"/>
      <c r="D851" s="1194"/>
      <c r="E851" s="1202"/>
      <c r="F851" s="1197"/>
    </row>
    <row r="852" spans="1:6" ht="15.5">
      <c r="A852" s="1184"/>
      <c r="B852" s="1191" t="s">
        <v>767</v>
      </c>
      <c r="C852" s="1091"/>
      <c r="D852" s="1195" t="e">
        <f>SOFP!#REF!</f>
        <v>#REF!</v>
      </c>
      <c r="E852" s="1203" t="e">
        <f>SOFP!#REF!</f>
        <v>#REF!</v>
      </c>
      <c r="F852" s="1197"/>
    </row>
    <row r="853" spans="1:6" ht="15.5">
      <c r="A853" s="1184"/>
      <c r="B853" s="1193"/>
      <c r="C853" s="1089"/>
      <c r="D853" s="1080"/>
      <c r="E853" s="1204"/>
      <c r="F853" s="1197"/>
    </row>
    <row r="854" spans="1:6" ht="15.5">
      <c r="A854" s="1184"/>
      <c r="B854" s="1193"/>
      <c r="C854" s="1089"/>
      <c r="D854" s="1081"/>
      <c r="E854" s="1205"/>
      <c r="F854" s="1197"/>
    </row>
    <row r="855" spans="1:6" ht="15.5">
      <c r="A855" s="1184"/>
      <c r="B855" s="1193"/>
      <c r="C855" s="1089"/>
      <c r="D855" s="1081"/>
      <c r="E855" s="1205"/>
      <c r="F855" s="1197"/>
    </row>
    <row r="856" spans="1:6" ht="15.5">
      <c r="A856" s="1184"/>
      <c r="B856" s="1193"/>
      <c r="C856" s="1089"/>
      <c r="D856" s="1081"/>
      <c r="E856" s="1205"/>
      <c r="F856" s="1197"/>
    </row>
    <row r="857" spans="1:6" ht="15.5">
      <c r="A857" s="1184"/>
      <c r="B857" s="1193"/>
      <c r="C857" s="1089"/>
      <c r="D857" s="1081"/>
      <c r="E857" s="1205"/>
      <c r="F857" s="1197"/>
    </row>
    <row r="858" spans="1:6" ht="15.5">
      <c r="A858" s="1184"/>
      <c r="B858" s="1074"/>
      <c r="C858" s="1074"/>
      <c r="D858" s="1141"/>
      <c r="E858" s="1205"/>
      <c r="F858" s="1197"/>
    </row>
    <row r="859" spans="1:6" ht="15.5">
      <c r="A859" s="1184"/>
      <c r="B859" s="1193"/>
      <c r="C859" s="1089"/>
      <c r="D859" s="1081"/>
      <c r="E859" s="1205"/>
      <c r="F859" s="1197"/>
    </row>
    <row r="860" spans="1:6" ht="15.5">
      <c r="A860" s="1184"/>
      <c r="B860" s="1193"/>
      <c r="C860" s="1089"/>
      <c r="D860" s="1081"/>
      <c r="E860" s="1205"/>
      <c r="F860" s="1197"/>
    </row>
    <row r="861" spans="1:6" ht="15.5">
      <c r="A861" s="1184"/>
      <c r="B861" s="1193"/>
      <c r="C861" s="1089"/>
      <c r="D861" s="1081"/>
      <c r="E861" s="1205"/>
      <c r="F861" s="1197"/>
    </row>
    <row r="862" spans="1:6" ht="15.5">
      <c r="A862" s="1184"/>
      <c r="B862" s="1193"/>
      <c r="C862" s="1089"/>
      <c r="D862" s="1081"/>
      <c r="E862" s="1205"/>
      <c r="F862" s="1197"/>
    </row>
    <row r="863" spans="1:6" ht="15.5">
      <c r="A863" s="1184"/>
      <c r="B863" s="1193"/>
      <c r="C863" s="1089"/>
      <c r="D863" s="1081"/>
      <c r="E863" s="1205"/>
      <c r="F863" s="1197"/>
    </row>
    <row r="864" spans="1:6" ht="15.5">
      <c r="A864" s="1084"/>
      <c r="B864" s="1074"/>
      <c r="C864" s="1074"/>
      <c r="D864" s="1081"/>
      <c r="E864" s="1205"/>
      <c r="F864" s="1197"/>
    </row>
    <row r="865" spans="1:6" ht="15.5">
      <c r="A865" s="1084"/>
      <c r="B865" s="1085"/>
      <c r="C865" s="1074"/>
      <c r="D865" s="1081"/>
      <c r="E865" s="1205"/>
      <c r="F865" s="1197"/>
    </row>
    <row r="866" spans="1:6" ht="15.5">
      <c r="A866" s="1404" t="s">
        <v>701</v>
      </c>
      <c r="B866" s="1405"/>
      <c r="C866" s="1087"/>
      <c r="D866" s="1083" t="e">
        <f>SUM(D850:D852)</f>
        <v>#REF!</v>
      </c>
      <c r="E866" s="1206" t="e">
        <f>SUM(E850:E852)</f>
        <v>#REF!</v>
      </c>
      <c r="F866" s="1197"/>
    </row>
    <row r="867" spans="1:6" ht="15.5">
      <c r="A867" s="1125"/>
      <c r="B867" s="1126"/>
      <c r="C867" s="1127"/>
      <c r="D867" s="1128"/>
      <c r="E867" s="1131"/>
      <c r="F867" s="1197"/>
    </row>
    <row r="868" spans="1:6" ht="15.5">
      <c r="A868" s="1068" t="s">
        <v>768</v>
      </c>
      <c r="B868" s="1068"/>
      <c r="C868" s="1065"/>
      <c r="D868" s="1066"/>
      <c r="E868" s="1065"/>
      <c r="F868" s="1197"/>
    </row>
    <row r="869" spans="1:6" ht="15.5">
      <c r="A869" s="1069" t="s">
        <v>690</v>
      </c>
      <c r="B869" s="1070" t="s">
        <v>691</v>
      </c>
      <c r="C869" s="1070" t="s">
        <v>692</v>
      </c>
      <c r="D869" s="1071">
        <v>2016</v>
      </c>
      <c r="E869" s="1088">
        <v>2015</v>
      </c>
      <c r="F869" s="1197"/>
    </row>
    <row r="870" spans="1:6" ht="15.75" customHeight="1">
      <c r="A870" s="1135"/>
      <c r="B870" s="1145" t="s">
        <v>768</v>
      </c>
      <c r="C870" s="1089"/>
      <c r="D870" s="1075" t="e">
        <f>SOFP!#REF!</f>
        <v>#REF!</v>
      </c>
      <c r="E870" s="1207">
        <v>500000</v>
      </c>
      <c r="F870" s="1197"/>
    </row>
    <row r="871" spans="1:6" ht="15.5">
      <c r="A871" s="1184"/>
      <c r="B871" s="1196"/>
      <c r="C871" s="1089"/>
      <c r="D871" s="1075"/>
      <c r="E871" s="1207"/>
      <c r="F871" s="1197"/>
    </row>
    <row r="872" spans="1:6" ht="15.5">
      <c r="A872" s="1084"/>
      <c r="B872" s="1196"/>
      <c r="C872" s="1089"/>
      <c r="D872" s="1075"/>
      <c r="E872" s="1207"/>
      <c r="F872" s="1197"/>
    </row>
    <row r="873" spans="1:6" ht="15.5">
      <c r="A873" s="1084"/>
      <c r="B873" s="1196"/>
      <c r="C873" s="1089"/>
      <c r="D873" s="1075"/>
      <c r="E873" s="1207"/>
      <c r="F873" s="1197"/>
    </row>
    <row r="874" spans="1:6" ht="15.5">
      <c r="A874" s="1084"/>
      <c r="B874" s="1196"/>
      <c r="C874" s="1089"/>
      <c r="D874" s="1075"/>
      <c r="E874" s="1207"/>
      <c r="F874" s="1197"/>
    </row>
    <row r="875" spans="1:6" ht="15.5">
      <c r="A875" s="1084"/>
      <c r="B875" s="1196"/>
      <c r="C875" s="1089"/>
      <c r="D875" s="1075"/>
      <c r="E875" s="1207"/>
      <c r="F875" s="1197"/>
    </row>
    <row r="876" spans="1:6" ht="15.5">
      <c r="A876" s="1084"/>
      <c r="B876" s="1089"/>
      <c r="C876" s="1089"/>
      <c r="D876" s="1081"/>
      <c r="E876" s="1205"/>
      <c r="F876" s="1197"/>
    </row>
    <row r="877" spans="1:6" ht="15.5">
      <c r="A877" s="1084"/>
      <c r="B877" s="1089"/>
      <c r="C877" s="1089"/>
      <c r="D877" s="1081"/>
      <c r="E877" s="1205"/>
      <c r="F877" s="1197"/>
    </row>
    <row r="878" spans="1:6" ht="15.5">
      <c r="A878" s="1084"/>
      <c r="B878" s="1089"/>
      <c r="C878" s="1089"/>
      <c r="D878" s="1081"/>
      <c r="E878" s="1205"/>
      <c r="F878" s="1197"/>
    </row>
    <row r="879" spans="1:6" ht="15.5">
      <c r="A879" s="1084"/>
      <c r="B879" s="1089"/>
      <c r="C879" s="1089"/>
      <c r="D879" s="1081"/>
      <c r="E879" s="1205"/>
      <c r="F879" s="1197"/>
    </row>
    <row r="880" spans="1:6" ht="15.5">
      <c r="A880" s="1084"/>
      <c r="B880" s="1089"/>
      <c r="C880" s="1089"/>
      <c r="D880" s="1081"/>
      <c r="E880" s="1205"/>
      <c r="F880" s="1197"/>
    </row>
    <row r="881" spans="1:6" ht="15.5">
      <c r="A881" s="1084"/>
      <c r="B881" s="1089"/>
      <c r="C881" s="1089"/>
      <c r="D881" s="1081"/>
      <c r="E881" s="1205"/>
      <c r="F881" s="1197"/>
    </row>
    <row r="882" spans="1:6" ht="15.5">
      <c r="A882" s="1084"/>
      <c r="B882" s="1089"/>
      <c r="C882" s="1089"/>
      <c r="D882" s="1081"/>
      <c r="E882" s="1205"/>
      <c r="F882" s="1197"/>
    </row>
    <row r="883" spans="1:6" ht="15.5">
      <c r="A883" s="1084"/>
      <c r="B883" s="1089"/>
      <c r="C883" s="1089"/>
      <c r="D883" s="1081"/>
      <c r="E883" s="1205"/>
      <c r="F883" s="1197"/>
    </row>
    <row r="884" spans="1:6" ht="15.5">
      <c r="A884" s="1084"/>
      <c r="B884" s="1089"/>
      <c r="C884" s="1089"/>
      <c r="D884" s="1081"/>
      <c r="E884" s="1205"/>
      <c r="F884" s="1197"/>
    </row>
    <row r="885" spans="1:6" ht="15.5">
      <c r="A885" s="1084"/>
      <c r="B885" s="1074"/>
      <c r="C885" s="1074"/>
      <c r="D885" s="1081"/>
      <c r="E885" s="1205"/>
      <c r="F885" s="1197"/>
    </row>
    <row r="886" spans="1:6" ht="15.5">
      <c r="A886" s="1084"/>
      <c r="B886" s="1074"/>
      <c r="C886" s="1074"/>
      <c r="D886" s="1081"/>
      <c r="E886" s="1205"/>
      <c r="F886" s="1197"/>
    </row>
    <row r="887" spans="1:6" ht="15.5">
      <c r="A887" s="1084"/>
      <c r="B887" s="1085"/>
      <c r="C887" s="1085"/>
      <c r="D887" s="1081"/>
      <c r="E887" s="1205"/>
      <c r="F887" s="1065"/>
    </row>
    <row r="888" spans="1:6" ht="15.5">
      <c r="A888" s="1404" t="s">
        <v>701</v>
      </c>
      <c r="B888" s="1405"/>
      <c r="C888" s="1087"/>
      <c r="D888" s="1083" t="e">
        <f>SUM(D870:D886)</f>
        <v>#REF!</v>
      </c>
      <c r="E888" s="1208">
        <f>SUM(E870:E886)</f>
        <v>500000</v>
      </c>
      <c r="F888" s="1065"/>
    </row>
    <row r="889" spans="1:6" ht="15.5">
      <c r="A889" s="1125"/>
      <c r="B889" s="1126"/>
      <c r="C889" s="1127"/>
      <c r="D889" s="1128"/>
      <c r="E889" s="1131"/>
      <c r="F889" s="1065">
        <v>-54</v>
      </c>
    </row>
    <row r="890" spans="1:6" ht="15.5">
      <c r="A890" s="1067" t="s">
        <v>769</v>
      </c>
      <c r="B890" s="1068"/>
      <c r="C890" s="1065"/>
      <c r="D890" s="1066"/>
      <c r="E890" s="1065"/>
      <c r="F890" s="1065"/>
    </row>
    <row r="891" spans="1:6" ht="15.5">
      <c r="A891" s="1069" t="s">
        <v>690</v>
      </c>
      <c r="B891" s="1070" t="s">
        <v>691</v>
      </c>
      <c r="C891" s="1070" t="s">
        <v>692</v>
      </c>
      <c r="D891" s="1071">
        <v>2016</v>
      </c>
      <c r="E891" s="1088">
        <v>2015</v>
      </c>
      <c r="F891" s="1065"/>
    </row>
    <row r="892" spans="1:6" ht="15.75" customHeight="1">
      <c r="A892" s="1135"/>
      <c r="B892" s="1145" t="str">
        <f>UPPER(F893)</f>
        <v>TRADE CREDITORS</v>
      </c>
      <c r="C892" s="1089"/>
      <c r="D892" s="1075">
        <f>NOTES!J291</f>
        <v>0</v>
      </c>
      <c r="E892" s="1207" t="e">
        <f>NOTES!#REF!</f>
        <v>#REF!</v>
      </c>
      <c r="F892" s="1065"/>
    </row>
    <row r="893" spans="1:6" ht="15.75" customHeight="1">
      <c r="A893" s="1184"/>
      <c r="B893" s="1145" t="str">
        <f>UPPER(F894)</f>
        <v>ADVANCE FROM CUSTOMERS</v>
      </c>
      <c r="C893" s="1089"/>
      <c r="D893" s="1075" t="e">
        <f>NOTES!#REF!</f>
        <v>#REF!</v>
      </c>
      <c r="E893" s="1207" t="e">
        <f>NOTES!#REF!</f>
        <v>#REF!</v>
      </c>
      <c r="F893" s="1065" t="s">
        <v>729</v>
      </c>
    </row>
    <row r="894" spans="1:6" ht="15.75" customHeight="1">
      <c r="A894" s="1084"/>
      <c r="B894" s="1145" t="str">
        <f>UPPER(F895)</f>
        <v>ACCRUED LIABILITIES</v>
      </c>
      <c r="C894" s="1089"/>
      <c r="D894" s="1075" t="e">
        <f>NOTES!#REF!</f>
        <v>#REF!</v>
      </c>
      <c r="E894" s="1207" t="e">
        <f>NOTES!#REF!</f>
        <v>#REF!</v>
      </c>
      <c r="F894" s="1065" t="s">
        <v>110</v>
      </c>
    </row>
    <row r="895" spans="1:6" ht="15.75" customHeight="1">
      <c r="A895" s="1084"/>
      <c r="B895" s="1145" t="str">
        <f>UPPER(F896)</f>
        <v>PAYABLE TO STAFF SAVINGS FUND ACCOUNT</v>
      </c>
      <c r="C895" s="1089"/>
      <c r="D895" s="1075" t="e">
        <f>NOTES!#REF!</f>
        <v>#REF!</v>
      </c>
      <c r="E895" s="1207" t="e">
        <f>NOTES!#REF!</f>
        <v>#REF!</v>
      </c>
      <c r="F895" s="1065" t="s">
        <v>730</v>
      </c>
    </row>
    <row r="896" spans="1:6" ht="15.5">
      <c r="A896" s="1084"/>
      <c r="B896" s="1089"/>
      <c r="C896" s="1089"/>
      <c r="D896" s="1081"/>
      <c r="E896" s="1205"/>
      <c r="F896" s="1065" t="s">
        <v>770</v>
      </c>
    </row>
    <row r="897" spans="1:6" ht="15.5">
      <c r="A897" s="1084"/>
      <c r="B897" s="1089"/>
      <c r="C897" s="1089"/>
      <c r="D897" s="1081"/>
      <c r="E897" s="1205"/>
      <c r="F897" s="1065"/>
    </row>
    <row r="898" spans="1:6" ht="15.5">
      <c r="A898" s="1084"/>
      <c r="B898" s="1089"/>
      <c r="C898" s="1089"/>
      <c r="D898" s="1081"/>
      <c r="E898" s="1205"/>
      <c r="F898" s="1065"/>
    </row>
    <row r="899" spans="1:6" ht="15.5">
      <c r="A899" s="1084"/>
      <c r="B899" s="1089"/>
      <c r="C899" s="1089"/>
      <c r="D899" s="1081"/>
      <c r="E899" s="1205"/>
      <c r="F899" s="1197"/>
    </row>
    <row r="900" spans="1:6" ht="15.5">
      <c r="A900" s="1084"/>
      <c r="B900" s="1089"/>
      <c r="C900" s="1089"/>
      <c r="D900" s="1081"/>
      <c r="E900" s="1205"/>
      <c r="F900" s="1197"/>
    </row>
    <row r="901" spans="1:6" ht="15.5">
      <c r="A901" s="1084"/>
      <c r="B901" s="1089"/>
      <c r="C901" s="1089"/>
      <c r="D901" s="1081"/>
      <c r="E901" s="1205"/>
      <c r="F901" s="1197"/>
    </row>
    <row r="902" spans="1:6" ht="15.5">
      <c r="A902" s="1084"/>
      <c r="B902" s="1089"/>
      <c r="C902" s="1089"/>
      <c r="D902" s="1081"/>
      <c r="E902" s="1205"/>
      <c r="F902" s="1197"/>
    </row>
    <row r="903" spans="1:6" ht="15.5">
      <c r="A903" s="1084"/>
      <c r="B903" s="1089"/>
      <c r="C903" s="1089"/>
      <c r="D903" s="1081"/>
      <c r="E903" s="1205"/>
      <c r="F903" s="1197"/>
    </row>
    <row r="904" spans="1:6" ht="15.5">
      <c r="A904" s="1084"/>
      <c r="B904" s="1089"/>
      <c r="C904" s="1089"/>
      <c r="D904" s="1081"/>
      <c r="E904" s="1205"/>
      <c r="F904" s="1197"/>
    </row>
    <row r="905" spans="1:6" ht="15.5">
      <c r="A905" s="1084"/>
      <c r="B905" s="1089"/>
      <c r="C905" s="1089"/>
      <c r="D905" s="1081"/>
      <c r="E905" s="1205"/>
      <c r="F905" s="1197"/>
    </row>
    <row r="906" spans="1:6" ht="15.5">
      <c r="A906" s="1084"/>
      <c r="B906" s="1089"/>
      <c r="C906" s="1089"/>
      <c r="D906" s="1081"/>
      <c r="E906" s="1205"/>
      <c r="F906" s="1197"/>
    </row>
    <row r="907" spans="1:6" ht="15.5">
      <c r="A907" s="1084"/>
      <c r="B907" s="1089"/>
      <c r="C907" s="1089"/>
      <c r="D907" s="1081"/>
      <c r="E907" s="1205"/>
      <c r="F907" s="1197"/>
    </row>
    <row r="908" spans="1:6" ht="15.5">
      <c r="A908" s="1084"/>
      <c r="B908" s="1074"/>
      <c r="C908" s="1074"/>
      <c r="D908" s="1081"/>
      <c r="E908" s="1205"/>
      <c r="F908" s="1197"/>
    </row>
    <row r="909" spans="1:6" ht="15.5">
      <c r="A909" s="1084"/>
      <c r="B909" s="1074"/>
      <c r="C909" s="1074"/>
      <c r="D909" s="1081"/>
      <c r="E909" s="1205"/>
      <c r="F909" s="1197"/>
    </row>
    <row r="910" spans="1:6" ht="15.5">
      <c r="A910" s="1084"/>
      <c r="B910" s="1074"/>
      <c r="C910" s="1074"/>
      <c r="D910" s="1081"/>
      <c r="E910" s="1205"/>
      <c r="F910" s="1197"/>
    </row>
    <row r="911" spans="1:6" ht="15.5">
      <c r="A911" s="1084"/>
      <c r="B911" s="1085"/>
      <c r="C911" s="1085"/>
      <c r="D911" s="1081"/>
      <c r="E911" s="1205"/>
      <c r="F911" s="1197"/>
    </row>
    <row r="912" spans="1:6" ht="15.5">
      <c r="A912" s="1404" t="s">
        <v>701</v>
      </c>
      <c r="B912" s="1405"/>
      <c r="C912" s="1087"/>
      <c r="D912" s="1083" t="e">
        <f>SUM(D892:D910)</f>
        <v>#REF!</v>
      </c>
      <c r="E912" s="1211" t="e">
        <f>SUM(E892:E910)</f>
        <v>#REF!</v>
      </c>
      <c r="F912" s="1197"/>
    </row>
    <row r="913" spans="1:6" ht="15.5">
      <c r="A913" s="1125"/>
      <c r="B913" s="1126"/>
      <c r="C913" s="1127"/>
      <c r="D913" s="1128"/>
      <c r="E913" s="1131"/>
      <c r="F913" s="1197"/>
    </row>
    <row r="914" spans="1:6" ht="15.5">
      <c r="A914" s="1068" t="s">
        <v>180</v>
      </c>
      <c r="B914" s="1068"/>
      <c r="C914" s="1065"/>
      <c r="D914" s="1066"/>
      <c r="E914" s="1065"/>
      <c r="F914" s="1197"/>
    </row>
    <row r="915" spans="1:6" ht="15.5">
      <c r="A915" s="1069" t="s">
        <v>690</v>
      </c>
      <c r="B915" s="1070" t="s">
        <v>691</v>
      </c>
      <c r="C915" s="1070" t="s">
        <v>692</v>
      </c>
      <c r="D915" s="1071">
        <v>2016</v>
      </c>
      <c r="E915" s="1088">
        <v>2015</v>
      </c>
      <c r="F915" s="1197"/>
    </row>
    <row r="916" spans="1:6" ht="15.75" customHeight="1">
      <c r="A916" s="1134" t="s">
        <v>89</v>
      </c>
      <c r="B916" s="1073" t="s">
        <v>90</v>
      </c>
      <c r="C916" s="1089"/>
      <c r="D916" s="1075">
        <v>824610</v>
      </c>
      <c r="E916" s="1207"/>
      <c r="F916" s="1197"/>
    </row>
    <row r="917" spans="1:6" ht="15.75" customHeight="1">
      <c r="A917" s="1134" t="s">
        <v>89</v>
      </c>
      <c r="B917" s="1073" t="s">
        <v>111</v>
      </c>
      <c r="C917" s="1089"/>
      <c r="D917" s="1075">
        <v>323878</v>
      </c>
      <c r="E917" s="1207"/>
      <c r="F917" s="1197"/>
    </row>
    <row r="918" spans="1:6" ht="15.75" customHeight="1">
      <c r="A918" s="1134" t="s">
        <v>93</v>
      </c>
      <c r="B918" s="1073" t="s">
        <v>94</v>
      </c>
      <c r="C918" s="1089"/>
      <c r="D918" s="1075">
        <v>153345</v>
      </c>
      <c r="E918" s="1207"/>
      <c r="F918" s="1197"/>
    </row>
    <row r="919" spans="1:6" ht="15.75" customHeight="1">
      <c r="A919" s="1134"/>
      <c r="B919" s="1073"/>
      <c r="C919" s="1089"/>
      <c r="D919" s="1075"/>
      <c r="E919" s="1207"/>
      <c r="F919" s="1212"/>
    </row>
    <row r="920" spans="1:6" ht="15.75" customHeight="1">
      <c r="A920" s="1134"/>
      <c r="B920" s="1073"/>
      <c r="C920" s="1089"/>
      <c r="D920" s="1075"/>
      <c r="E920" s="1205"/>
      <c r="F920" s="1197"/>
    </row>
    <row r="921" spans="1:6" ht="15.5">
      <c r="A921" s="1134"/>
      <c r="B921" s="1089"/>
      <c r="C921" s="1089"/>
      <c r="D921" s="1081"/>
      <c r="E921" s="1205"/>
      <c r="F921" s="1197"/>
    </row>
    <row r="922" spans="1:6" ht="15.5">
      <c r="A922" s="1134"/>
      <c r="B922" s="1089"/>
      <c r="C922" s="1089"/>
      <c r="D922" s="1081"/>
      <c r="E922" s="1205"/>
      <c r="F922" s="1197"/>
    </row>
    <row r="923" spans="1:6" ht="15.5">
      <c r="A923" s="1134"/>
      <c r="B923" s="1089"/>
      <c r="C923" s="1089"/>
      <c r="D923" s="1081"/>
      <c r="E923" s="1205"/>
      <c r="F923" s="1197"/>
    </row>
    <row r="924" spans="1:6" ht="15.5">
      <c r="A924" s="1134"/>
      <c r="B924" s="1089"/>
      <c r="C924" s="1089"/>
      <c r="D924" s="1081"/>
      <c r="E924" s="1205"/>
      <c r="F924" s="1197"/>
    </row>
    <row r="925" spans="1:6" ht="15.5">
      <c r="A925" s="1134"/>
      <c r="B925" s="1089"/>
      <c r="C925" s="1089"/>
      <c r="D925" s="1081"/>
      <c r="E925" s="1205"/>
      <c r="F925" s="1197"/>
    </row>
    <row r="926" spans="1:6" ht="15.5">
      <c r="A926" s="1134"/>
      <c r="B926" s="1089"/>
      <c r="C926" s="1089"/>
      <c r="D926" s="1081"/>
      <c r="E926" s="1205"/>
      <c r="F926" s="1197"/>
    </row>
    <row r="927" spans="1:6" ht="15.5">
      <c r="A927" s="1134"/>
      <c r="B927" s="1089"/>
      <c r="C927" s="1089"/>
      <c r="D927" s="1081"/>
      <c r="E927" s="1205"/>
      <c r="F927" s="1197"/>
    </row>
    <row r="928" spans="1:6" ht="15.5">
      <c r="A928" s="1134"/>
      <c r="B928" s="1089"/>
      <c r="C928" s="1089"/>
      <c r="D928" s="1081"/>
      <c r="E928" s="1205"/>
      <c r="F928" s="1197"/>
    </row>
    <row r="929" spans="1:6" ht="15.5">
      <c r="A929" s="1134"/>
      <c r="B929" s="1089"/>
      <c r="C929" s="1089"/>
      <c r="D929" s="1081"/>
      <c r="E929" s="1205"/>
      <c r="F929" s="1197"/>
    </row>
    <row r="930" spans="1:6" ht="15.5">
      <c r="A930" s="1084"/>
      <c r="B930" s="1074"/>
      <c r="C930" s="1074"/>
      <c r="D930" s="1081"/>
      <c r="E930" s="1205"/>
      <c r="F930" s="1197"/>
    </row>
    <row r="931" spans="1:6" ht="15.5">
      <c r="A931" s="1084"/>
      <c r="B931" s="1074"/>
      <c r="C931" s="1074"/>
      <c r="D931" s="1081"/>
      <c r="E931" s="1205"/>
      <c r="F931" s="1197"/>
    </row>
    <row r="932" spans="1:6" ht="15.5">
      <c r="A932" s="1084"/>
      <c r="B932" s="1074"/>
      <c r="C932" s="1074"/>
      <c r="D932" s="1081"/>
      <c r="E932" s="1205"/>
      <c r="F932" s="1197"/>
    </row>
    <row r="933" spans="1:6" ht="15.5">
      <c r="A933" s="1084"/>
      <c r="B933" s="1074"/>
      <c r="C933" s="1074"/>
      <c r="D933" s="1081"/>
      <c r="E933" s="1205"/>
      <c r="F933" s="1197"/>
    </row>
    <row r="934" spans="1:6" ht="15.5">
      <c r="A934" s="1084"/>
      <c r="B934" s="1074"/>
      <c r="C934" s="1074"/>
      <c r="D934" s="1081"/>
      <c r="E934" s="1205"/>
      <c r="F934" s="1197"/>
    </row>
    <row r="935" spans="1:6" ht="15.5">
      <c r="A935" s="1084"/>
      <c r="B935" s="1074"/>
      <c r="C935" s="1074"/>
      <c r="D935" s="1081"/>
      <c r="E935" s="1205"/>
      <c r="F935" s="1197"/>
    </row>
    <row r="936" spans="1:6" ht="15.5">
      <c r="A936" s="1084"/>
      <c r="B936" s="1074"/>
      <c r="C936" s="1074"/>
      <c r="D936" s="1081"/>
      <c r="E936" s="1205"/>
      <c r="F936" s="1197"/>
    </row>
    <row r="937" spans="1:6" ht="15.5">
      <c r="A937" s="1084"/>
      <c r="B937" s="1074"/>
      <c r="C937" s="1074"/>
      <c r="D937" s="1081"/>
      <c r="E937" s="1205"/>
      <c r="F937" s="1197"/>
    </row>
    <row r="938" spans="1:6" ht="15.5">
      <c r="A938" s="1084"/>
      <c r="B938" s="1085"/>
      <c r="C938" s="1085"/>
      <c r="D938" s="1081"/>
      <c r="E938" s="1205"/>
      <c r="F938" s="1197"/>
    </row>
    <row r="939" spans="1:6" ht="15.5">
      <c r="A939" s="1404" t="s">
        <v>701</v>
      </c>
      <c r="B939" s="1405"/>
      <c r="C939" s="1087"/>
      <c r="D939" s="1209">
        <f>SUM(D916:D928)</f>
        <v>1301833</v>
      </c>
      <c r="E939" s="1211">
        <v>3683208</v>
      </c>
      <c r="F939" s="1197"/>
    </row>
    <row r="940" spans="1:6" ht="15.5">
      <c r="A940" s="1125"/>
      <c r="B940" s="1126"/>
      <c r="C940" s="1127"/>
      <c r="D940" s="1128"/>
      <c r="E940" s="1131"/>
      <c r="F940" s="1197"/>
    </row>
    <row r="941" spans="1:6" ht="15.5">
      <c r="A941" s="1068" t="s">
        <v>771</v>
      </c>
      <c r="B941" s="1068"/>
      <c r="C941" s="1065"/>
      <c r="D941" s="1066"/>
      <c r="E941" s="1065"/>
      <c r="F941" s="1197"/>
    </row>
    <row r="942" spans="1:6" ht="15.5">
      <c r="A942" s="1069" t="s">
        <v>690</v>
      </c>
      <c r="B942" s="1070" t="s">
        <v>691</v>
      </c>
      <c r="C942" s="1070" t="s">
        <v>692</v>
      </c>
      <c r="D942" s="1071">
        <v>2016</v>
      </c>
      <c r="E942" s="1088">
        <v>2015</v>
      </c>
      <c r="F942" s="1197"/>
    </row>
    <row r="943" spans="1:6" ht="15.5">
      <c r="A943" s="1135" t="s">
        <v>772</v>
      </c>
      <c r="B943" s="1210" t="s">
        <v>773</v>
      </c>
      <c r="C943" s="1089"/>
      <c r="D943" s="1075">
        <v>127967</v>
      </c>
      <c r="E943" s="1207"/>
      <c r="F943" s="1197"/>
    </row>
    <row r="944" spans="1:6" ht="15.5">
      <c r="A944" s="1135" t="s">
        <v>774</v>
      </c>
      <c r="B944" s="1210" t="s">
        <v>775</v>
      </c>
      <c r="C944" s="1089"/>
      <c r="D944" s="1075">
        <v>36743</v>
      </c>
      <c r="E944" s="1207"/>
      <c r="F944" s="1197"/>
    </row>
    <row r="945" spans="1:6" ht="15.5">
      <c r="A945" s="1135" t="s">
        <v>776</v>
      </c>
      <c r="B945" s="1210" t="s">
        <v>777</v>
      </c>
      <c r="C945" s="1089"/>
      <c r="D945" s="1075">
        <v>247293</v>
      </c>
      <c r="E945" s="1205"/>
      <c r="F945" s="1197"/>
    </row>
    <row r="946" spans="1:6" ht="15.5">
      <c r="A946" s="1135" t="s">
        <v>778</v>
      </c>
      <c r="B946" s="1210" t="s">
        <v>779</v>
      </c>
      <c r="C946" s="1089"/>
      <c r="D946" s="1075">
        <v>60870</v>
      </c>
      <c r="E946" s="1205"/>
      <c r="F946" s="1197"/>
    </row>
    <row r="947" spans="1:6" ht="15.5">
      <c r="A947" s="1135" t="s">
        <v>780</v>
      </c>
      <c r="B947" s="1210" t="s">
        <v>781</v>
      </c>
      <c r="C947" s="1089"/>
      <c r="D947" s="1075">
        <v>38775</v>
      </c>
      <c r="E947" s="1205"/>
      <c r="F947" s="1212"/>
    </row>
    <row r="948" spans="1:6" ht="15.5">
      <c r="A948" s="1135" t="s">
        <v>782</v>
      </c>
      <c r="B948" s="1210" t="s">
        <v>783</v>
      </c>
      <c r="C948" s="1089"/>
      <c r="D948" s="1075">
        <v>6623</v>
      </c>
      <c r="E948" s="1205"/>
      <c r="F948" s="1197"/>
    </row>
    <row r="949" spans="1:6" ht="15.5">
      <c r="A949" s="1135" t="s">
        <v>784</v>
      </c>
      <c r="B949" s="1210" t="s">
        <v>785</v>
      </c>
      <c r="C949" s="1089"/>
      <c r="D949" s="1075">
        <v>165400</v>
      </c>
      <c r="E949" s="1205"/>
      <c r="F949" s="1197"/>
    </row>
    <row r="950" spans="1:6" ht="15.5">
      <c r="A950" s="1135" t="s">
        <v>786</v>
      </c>
      <c r="B950" s="1210" t="s">
        <v>787</v>
      </c>
      <c r="C950" s="1089"/>
      <c r="D950" s="1075">
        <v>6051</v>
      </c>
      <c r="E950" s="1205"/>
      <c r="F950" s="1197"/>
    </row>
    <row r="951" spans="1:6" ht="15.5">
      <c r="A951" s="1135" t="s">
        <v>193</v>
      </c>
      <c r="B951" s="1210" t="s">
        <v>194</v>
      </c>
      <c r="C951" s="1089"/>
      <c r="D951" s="1075">
        <v>36729</v>
      </c>
      <c r="E951" s="1205"/>
      <c r="F951" s="1197"/>
    </row>
    <row r="952" spans="1:6" ht="15.5">
      <c r="A952" s="1134" t="s">
        <v>788</v>
      </c>
      <c r="B952" s="1210" t="s">
        <v>789</v>
      </c>
      <c r="C952" s="1089"/>
      <c r="D952" s="1081">
        <v>20136</v>
      </c>
      <c r="E952" s="1205"/>
      <c r="F952" s="1197"/>
    </row>
    <row r="953" spans="1:6" ht="15.5">
      <c r="A953" s="1134" t="s">
        <v>790</v>
      </c>
      <c r="B953" s="1210" t="s">
        <v>791</v>
      </c>
      <c r="C953" s="1074"/>
      <c r="D953" s="1081">
        <v>1018253</v>
      </c>
      <c r="E953" s="1205"/>
      <c r="F953" s="1197"/>
    </row>
    <row r="954" spans="1:6" ht="15.5">
      <c r="A954" s="1134" t="s">
        <v>792</v>
      </c>
      <c r="B954" s="1210" t="s">
        <v>554</v>
      </c>
      <c r="C954" s="1074"/>
      <c r="D954" s="1081">
        <v>459099</v>
      </c>
      <c r="E954" s="1205"/>
      <c r="F954" s="1197"/>
    </row>
    <row r="955" spans="1:6" ht="15.5">
      <c r="A955" s="1134" t="s">
        <v>579</v>
      </c>
      <c r="B955" s="1210" t="s">
        <v>556</v>
      </c>
      <c r="C955" s="1074"/>
      <c r="D955" s="1081">
        <v>671747</v>
      </c>
      <c r="E955" s="1205"/>
      <c r="F955" s="1197"/>
    </row>
    <row r="956" spans="1:6" ht="15.5">
      <c r="A956" s="1134" t="s">
        <v>793</v>
      </c>
      <c r="B956" s="1210" t="s">
        <v>794</v>
      </c>
      <c r="C956" s="1074"/>
      <c r="D956" s="1081">
        <v>515</v>
      </c>
      <c r="E956" s="1205"/>
      <c r="F956" s="1197"/>
    </row>
    <row r="957" spans="1:6" ht="15.5">
      <c r="A957" s="1134" t="s">
        <v>795</v>
      </c>
      <c r="B957" s="1210" t="s">
        <v>796</v>
      </c>
      <c r="C957" s="1074"/>
      <c r="D957" s="1081">
        <v>191339</v>
      </c>
      <c r="E957" s="1205"/>
      <c r="F957" s="1197"/>
    </row>
    <row r="958" spans="1:6" ht="15.5">
      <c r="A958" s="1134" t="s">
        <v>797</v>
      </c>
      <c r="B958" s="1210" t="s">
        <v>798</v>
      </c>
      <c r="C958" s="1074"/>
      <c r="D958" s="1081">
        <v>11080</v>
      </c>
      <c r="E958" s="1205"/>
      <c r="F958" s="1197"/>
    </row>
    <row r="959" spans="1:6" ht="15.5">
      <c r="A959" s="1134" t="s">
        <v>799</v>
      </c>
      <c r="B959" s="1210" t="s">
        <v>800</v>
      </c>
      <c r="C959" s="1074"/>
      <c r="D959" s="1081">
        <v>25591</v>
      </c>
      <c r="E959" s="1205"/>
      <c r="F959" s="1197"/>
    </row>
    <row r="960" spans="1:6" ht="15.5">
      <c r="A960" s="1134" t="s">
        <v>801</v>
      </c>
      <c r="B960" s="1210" t="s">
        <v>802</v>
      </c>
      <c r="C960" s="1074"/>
      <c r="D960" s="1081">
        <v>16171</v>
      </c>
      <c r="E960" s="1205"/>
      <c r="F960" s="1197"/>
    </row>
    <row r="961" spans="1:6" ht="15.5">
      <c r="A961" s="1084"/>
      <c r="B961" s="1085"/>
      <c r="C961" s="1085"/>
      <c r="D961" s="1081"/>
      <c r="E961" s="1205"/>
      <c r="F961" s="1197"/>
    </row>
    <row r="962" spans="1:6" ht="15.5">
      <c r="A962" s="1404" t="s">
        <v>701</v>
      </c>
      <c r="B962" s="1405"/>
      <c r="C962" s="1087"/>
      <c r="D962" s="1083">
        <f>SUM(D943:D960)</f>
        <v>3140382</v>
      </c>
      <c r="E962" s="1206">
        <v>927859</v>
      </c>
      <c r="F962" s="1197"/>
    </row>
    <row r="963" spans="1:6" ht="15.5">
      <c r="A963" s="1125"/>
      <c r="B963" s="1126"/>
      <c r="C963" s="1127"/>
      <c r="D963" s="1128"/>
      <c r="E963" s="1131"/>
      <c r="F963" s="1197"/>
    </row>
    <row r="964" spans="1:6" ht="15.5">
      <c r="A964" s="1067" t="s">
        <v>803</v>
      </c>
      <c r="B964" s="1068"/>
      <c r="C964" s="1065"/>
      <c r="D964" s="1066"/>
      <c r="E964" s="1065"/>
      <c r="F964" s="1197"/>
    </row>
    <row r="965" spans="1:6" ht="15.5">
      <c r="A965" s="1069" t="s">
        <v>690</v>
      </c>
      <c r="B965" s="1070" t="s">
        <v>691</v>
      </c>
      <c r="C965" s="1070" t="s">
        <v>692</v>
      </c>
      <c r="D965" s="1071">
        <v>2016</v>
      </c>
      <c r="E965" s="1088">
        <v>2015</v>
      </c>
      <c r="F965" s="1197"/>
    </row>
    <row r="966" spans="1:6" ht="15.75" customHeight="1">
      <c r="A966" s="1135"/>
      <c r="B966" s="1145" t="s">
        <v>804</v>
      </c>
      <c r="C966" s="1089"/>
      <c r="D966" s="1075"/>
      <c r="E966" s="1207"/>
      <c r="F966" s="1197"/>
    </row>
    <row r="967" spans="1:6" ht="15.75" customHeight="1">
      <c r="A967" s="1135"/>
      <c r="B967" s="1145" t="s">
        <v>805</v>
      </c>
      <c r="C967" s="1089"/>
      <c r="D967" s="1075"/>
      <c r="E967" s="1207"/>
      <c r="F967" s="1197"/>
    </row>
    <row r="968" spans="1:6" ht="15.75" customHeight="1">
      <c r="A968" s="1135"/>
      <c r="B968" s="1145" t="s">
        <v>806</v>
      </c>
      <c r="C968" s="1089"/>
      <c r="D968" s="1075"/>
      <c r="E968" s="1205"/>
      <c r="F968" s="1197"/>
    </row>
    <row r="969" spans="1:6" ht="15.75" customHeight="1">
      <c r="A969" s="1135"/>
      <c r="B969" s="1145" t="s">
        <v>807</v>
      </c>
      <c r="C969" s="1089"/>
      <c r="D969" s="1075"/>
      <c r="E969" s="1205"/>
      <c r="F969" s="1197"/>
    </row>
    <row r="970" spans="1:6" ht="15.5">
      <c r="A970" s="1135"/>
      <c r="B970" s="1145"/>
      <c r="C970" s="1089"/>
      <c r="D970" s="1075"/>
      <c r="E970" s="1205"/>
      <c r="F970" s="1197"/>
    </row>
    <row r="971" spans="1:6" ht="15.5">
      <c r="A971" s="1213"/>
      <c r="B971" s="1089"/>
      <c r="C971" s="1089"/>
      <c r="D971" s="1081"/>
      <c r="E971" s="1205"/>
      <c r="F971" s="1197"/>
    </row>
    <row r="972" spans="1:6" ht="15.5">
      <c r="A972" s="1084"/>
      <c r="B972" s="1089"/>
      <c r="C972" s="1089"/>
      <c r="D972" s="1080"/>
      <c r="E972" s="1204"/>
      <c r="F972" s="1197"/>
    </row>
    <row r="973" spans="1:6" ht="15.5">
      <c r="A973" s="1084"/>
      <c r="B973" s="1089"/>
      <c r="C973" s="1089"/>
      <c r="D973" s="1081"/>
      <c r="E973" s="1205"/>
      <c r="F973" s="1197"/>
    </row>
    <row r="974" spans="1:6" ht="15.5">
      <c r="A974" s="1084"/>
      <c r="B974" s="1089"/>
      <c r="C974" s="1089"/>
      <c r="D974" s="1081"/>
      <c r="E974" s="1205"/>
      <c r="F974" s="1197"/>
    </row>
    <row r="975" spans="1:6" ht="15.5">
      <c r="A975" s="1084"/>
      <c r="B975" s="1089"/>
      <c r="C975" s="1089"/>
      <c r="D975" s="1081"/>
      <c r="E975" s="1205"/>
      <c r="F975" s="1197"/>
    </row>
    <row r="976" spans="1:6" ht="15.5">
      <c r="A976" s="1084"/>
      <c r="B976" s="1089"/>
      <c r="C976" s="1089"/>
      <c r="D976" s="1081"/>
      <c r="E976" s="1205"/>
      <c r="F976" s="1197"/>
    </row>
    <row r="977" spans="1:6" ht="15.5">
      <c r="A977" s="1084"/>
      <c r="B977" s="1089"/>
      <c r="C977" s="1089"/>
      <c r="D977" s="1081"/>
      <c r="E977" s="1205"/>
      <c r="F977" s="1197"/>
    </row>
    <row r="978" spans="1:6" ht="15.5">
      <c r="A978" s="1084"/>
      <c r="B978" s="1089"/>
      <c r="C978" s="1089"/>
      <c r="D978" s="1081"/>
      <c r="E978" s="1205"/>
      <c r="F978" s="1197"/>
    </row>
    <row r="979" spans="1:6" ht="15.5">
      <c r="A979" s="1084"/>
      <c r="B979" s="1089"/>
      <c r="C979" s="1089"/>
      <c r="D979" s="1081"/>
      <c r="E979" s="1205"/>
      <c r="F979" s="1197"/>
    </row>
    <row r="980" spans="1:6" ht="15.5">
      <c r="A980" s="1084"/>
      <c r="B980" s="1089"/>
      <c r="C980" s="1089"/>
      <c r="D980" s="1081"/>
      <c r="E980" s="1205"/>
      <c r="F980" s="1197"/>
    </row>
    <row r="981" spans="1:6" ht="15.5">
      <c r="A981" s="1084"/>
      <c r="B981" s="1089"/>
      <c r="C981" s="1089"/>
      <c r="D981" s="1081"/>
      <c r="E981" s="1205"/>
      <c r="F981" s="1197"/>
    </row>
    <row r="982" spans="1:6" ht="15.5">
      <c r="A982" s="1084"/>
      <c r="B982" s="1074"/>
      <c r="C982" s="1074"/>
      <c r="D982" s="1081"/>
      <c r="E982" s="1205"/>
      <c r="F982" s="1197"/>
    </row>
    <row r="983" spans="1:6" ht="15.5">
      <c r="A983" s="1084"/>
      <c r="B983" s="1074"/>
      <c r="C983" s="1074"/>
      <c r="D983" s="1081"/>
      <c r="E983" s="1205"/>
      <c r="F983" s="1197"/>
    </row>
    <row r="984" spans="1:6" ht="15.5">
      <c r="A984" s="1084"/>
      <c r="B984" s="1074"/>
      <c r="C984" s="1074"/>
      <c r="D984" s="1081"/>
      <c r="E984" s="1205"/>
      <c r="F984" s="1197"/>
    </row>
    <row r="985" spans="1:6" ht="15.5">
      <c r="A985" s="1084"/>
      <c r="B985" s="1074"/>
      <c r="C985" s="1074"/>
      <c r="D985" s="1081"/>
      <c r="E985" s="1205"/>
      <c r="F985" s="1197"/>
    </row>
    <row r="986" spans="1:6" ht="15.5">
      <c r="A986" s="1084"/>
      <c r="B986" s="1074"/>
      <c r="C986" s="1074"/>
      <c r="D986" s="1081"/>
      <c r="E986" s="1205"/>
      <c r="F986" s="1197"/>
    </row>
    <row r="987" spans="1:6" ht="15.5">
      <c r="A987" s="1084"/>
      <c r="B987" s="1074"/>
      <c r="C987" s="1074"/>
      <c r="D987" s="1081"/>
      <c r="E987" s="1205"/>
      <c r="F987" s="1197"/>
    </row>
    <row r="988" spans="1:6" ht="15.5">
      <c r="A988" s="1084"/>
      <c r="B988" s="1074"/>
      <c r="C988" s="1074"/>
      <c r="D988" s="1081"/>
      <c r="E988" s="1205"/>
      <c r="F988" s="1197"/>
    </row>
    <row r="989" spans="1:6" ht="15.5">
      <c r="A989" s="1084"/>
      <c r="B989" s="1074"/>
      <c r="C989" s="1074"/>
      <c r="D989" s="1081"/>
      <c r="E989" s="1205"/>
      <c r="F989" s="1197"/>
    </row>
    <row r="990" spans="1:6" ht="15.5">
      <c r="A990" s="1084"/>
      <c r="B990" s="1085"/>
      <c r="C990" s="1085"/>
      <c r="D990" s="1081"/>
      <c r="E990" s="1205"/>
      <c r="F990" s="1197"/>
    </row>
    <row r="991" spans="1:6" ht="15.5">
      <c r="A991" s="1404" t="s">
        <v>701</v>
      </c>
      <c r="B991" s="1405"/>
      <c r="C991" s="1087"/>
      <c r="D991" s="1083">
        <f>SUM(D966:D989)</f>
        <v>0</v>
      </c>
      <c r="E991" s="1206">
        <f>SUM(E966:E989)</f>
        <v>0</v>
      </c>
      <c r="F991" s="1197"/>
    </row>
    <row r="992" spans="1:6" ht="15.5">
      <c r="A992" s="1125"/>
      <c r="B992" s="1126"/>
      <c r="C992" s="1127"/>
      <c r="D992" s="1128"/>
      <c r="E992" s="1131"/>
      <c r="F992" s="1197"/>
    </row>
    <row r="993" spans="1:6" ht="15.5">
      <c r="A993" s="1406" t="s">
        <v>808</v>
      </c>
      <c r="B993" s="1406"/>
      <c r="C993" s="1065"/>
      <c r="D993" s="1066"/>
      <c r="E993" s="1065"/>
      <c r="F993" s="1197"/>
    </row>
    <row r="994" spans="1:6" ht="15.5">
      <c r="A994" s="1069" t="s">
        <v>690</v>
      </c>
      <c r="B994" s="1070" t="s">
        <v>691</v>
      </c>
      <c r="C994" s="1070" t="s">
        <v>692</v>
      </c>
      <c r="D994" s="1071">
        <v>2016</v>
      </c>
      <c r="E994" s="1088">
        <v>2015</v>
      </c>
      <c r="F994" s="1197"/>
    </row>
    <row r="995" spans="1:6" ht="15.75" customHeight="1">
      <c r="A995" s="1184"/>
      <c r="B995" s="1089" t="s">
        <v>809</v>
      </c>
      <c r="C995" s="1089"/>
      <c r="D995" s="1075" t="e">
        <f>NOTES!#REF!</f>
        <v>#REF!</v>
      </c>
      <c r="E995" s="1207" t="e">
        <f>NOTES!#REF!</f>
        <v>#REF!</v>
      </c>
      <c r="F995" s="1197"/>
    </row>
    <row r="996" spans="1:6" ht="15.5">
      <c r="A996" s="1184"/>
      <c r="B996" s="1089"/>
      <c r="C996" s="1089"/>
      <c r="D996" s="1075"/>
      <c r="E996" s="1207"/>
      <c r="F996" s="1197"/>
    </row>
    <row r="997" spans="1:6" ht="15.5">
      <c r="A997" s="1084"/>
      <c r="B997" s="1089"/>
      <c r="C997" s="1089"/>
      <c r="D997" s="1081"/>
      <c r="E997" s="1205"/>
      <c r="F997" s="1197"/>
    </row>
    <row r="998" spans="1:6" ht="15.5">
      <c r="A998" s="1084"/>
      <c r="B998" s="1089"/>
      <c r="C998" s="1089"/>
      <c r="D998" s="1081"/>
      <c r="E998" s="1205"/>
      <c r="F998" s="1197"/>
    </row>
    <row r="999" spans="1:6" ht="15.5">
      <c r="A999" s="1084"/>
      <c r="B999" s="1089"/>
      <c r="C999" s="1089"/>
      <c r="D999" s="1081"/>
      <c r="E999" s="1205"/>
      <c r="F999" s="1197"/>
    </row>
    <row r="1000" spans="1:6" ht="15.5">
      <c r="A1000" s="1084"/>
      <c r="B1000" s="1089"/>
      <c r="C1000" s="1089"/>
      <c r="D1000" s="1081"/>
      <c r="E1000" s="1205"/>
      <c r="F1000" s="1197"/>
    </row>
    <row r="1001" spans="1:6" ht="15.5">
      <c r="A1001" s="1084"/>
      <c r="B1001" s="1089"/>
      <c r="C1001" s="1089"/>
      <c r="D1001" s="1080"/>
      <c r="E1001" s="1204"/>
      <c r="F1001" s="1197"/>
    </row>
    <row r="1002" spans="1:6" ht="15.5">
      <c r="A1002" s="1084"/>
      <c r="B1002" s="1089"/>
      <c r="C1002" s="1089"/>
      <c r="D1002" s="1081"/>
      <c r="E1002" s="1205"/>
      <c r="F1002" s="1197"/>
    </row>
    <row r="1003" spans="1:6" ht="15.5">
      <c r="A1003" s="1084"/>
      <c r="B1003" s="1089"/>
      <c r="C1003" s="1089"/>
      <c r="D1003" s="1081"/>
      <c r="E1003" s="1205"/>
      <c r="F1003" s="1197"/>
    </row>
    <row r="1004" spans="1:6" ht="15.5">
      <c r="A1004" s="1084"/>
      <c r="B1004" s="1089"/>
      <c r="C1004" s="1089"/>
      <c r="D1004" s="1081"/>
      <c r="E1004" s="1205"/>
      <c r="F1004" s="1197"/>
    </row>
    <row r="1005" spans="1:6" ht="15.5">
      <c r="A1005" s="1084"/>
      <c r="B1005" s="1089"/>
      <c r="C1005" s="1089"/>
      <c r="D1005" s="1081"/>
      <c r="E1005" s="1205"/>
      <c r="F1005" s="1197"/>
    </row>
    <row r="1006" spans="1:6" ht="15.5">
      <c r="A1006" s="1084"/>
      <c r="B1006" s="1089"/>
      <c r="C1006" s="1089"/>
      <c r="D1006" s="1081"/>
      <c r="E1006" s="1205"/>
      <c r="F1006" s="1197"/>
    </row>
    <row r="1007" spans="1:6" ht="15.5">
      <c r="A1007" s="1084"/>
      <c r="B1007" s="1089"/>
      <c r="C1007" s="1089"/>
      <c r="D1007" s="1081"/>
      <c r="E1007" s="1205"/>
      <c r="F1007" s="1197"/>
    </row>
    <row r="1008" spans="1:6" ht="15.5">
      <c r="A1008" s="1084"/>
      <c r="B1008" s="1089"/>
      <c r="C1008" s="1089"/>
      <c r="D1008" s="1081"/>
      <c r="E1008" s="1205"/>
      <c r="F1008" s="1197"/>
    </row>
    <row r="1009" spans="1:6" ht="15.5">
      <c r="A1009" s="1084"/>
      <c r="B1009" s="1089"/>
      <c r="C1009" s="1089"/>
      <c r="D1009" s="1081"/>
      <c r="E1009" s="1205"/>
      <c r="F1009" s="1197"/>
    </row>
    <row r="1010" spans="1:6" ht="15.5">
      <c r="A1010" s="1084"/>
      <c r="B1010" s="1089"/>
      <c r="C1010" s="1089"/>
      <c r="D1010" s="1081"/>
      <c r="E1010" s="1205"/>
      <c r="F1010" s="1197"/>
    </row>
    <row r="1011" spans="1:6" ht="15.5">
      <c r="A1011" s="1084"/>
      <c r="B1011" s="1074"/>
      <c r="C1011" s="1074"/>
      <c r="D1011" s="1081"/>
      <c r="E1011" s="1205"/>
      <c r="F1011" s="1197"/>
    </row>
    <row r="1012" spans="1:6" ht="15.5">
      <c r="A1012" s="1084"/>
      <c r="B1012" s="1074"/>
      <c r="C1012" s="1074"/>
      <c r="D1012" s="1081"/>
      <c r="E1012" s="1205"/>
      <c r="F1012" s="1197"/>
    </row>
    <row r="1013" spans="1:6" ht="15.5">
      <c r="A1013" s="1084"/>
      <c r="B1013" s="1074"/>
      <c r="C1013" s="1074"/>
      <c r="D1013" s="1081"/>
      <c r="E1013" s="1205"/>
      <c r="F1013" s="1197"/>
    </row>
    <row r="1014" spans="1:6" ht="15.5">
      <c r="A1014" s="1084"/>
      <c r="B1014" s="1074"/>
      <c r="C1014" s="1074"/>
      <c r="D1014" s="1081"/>
      <c r="E1014" s="1205"/>
      <c r="F1014" s="1197"/>
    </row>
    <row r="1015" spans="1:6" ht="15.5">
      <c r="A1015" s="1084"/>
      <c r="B1015" s="1074"/>
      <c r="C1015" s="1074"/>
      <c r="D1015" s="1081"/>
      <c r="E1015" s="1205"/>
      <c r="F1015" s="1197"/>
    </row>
    <row r="1016" spans="1:6" ht="15.5">
      <c r="A1016" s="1084"/>
      <c r="B1016" s="1074"/>
      <c r="C1016" s="1074"/>
      <c r="D1016" s="1081"/>
      <c r="E1016" s="1205"/>
      <c r="F1016" s="1197"/>
    </row>
    <row r="1017" spans="1:6" ht="15.5">
      <c r="A1017" s="1084"/>
      <c r="B1017" s="1074"/>
      <c r="C1017" s="1074"/>
      <c r="D1017" s="1081"/>
      <c r="E1017" s="1205"/>
      <c r="F1017" s="1197"/>
    </row>
    <row r="1018" spans="1:6" ht="15.5">
      <c r="A1018" s="1084"/>
      <c r="B1018" s="1074"/>
      <c r="C1018" s="1074"/>
      <c r="D1018" s="1081"/>
      <c r="E1018" s="1205"/>
      <c r="F1018" s="1197"/>
    </row>
    <row r="1019" spans="1:6" ht="15.5">
      <c r="A1019" s="1084"/>
      <c r="B1019" s="1085"/>
      <c r="C1019" s="1085"/>
      <c r="D1019" s="1081"/>
      <c r="E1019" s="1205"/>
      <c r="F1019" s="1197"/>
    </row>
    <row r="1020" spans="1:6" ht="15.5">
      <c r="A1020" s="1404" t="s">
        <v>701</v>
      </c>
      <c r="B1020" s="1405"/>
      <c r="C1020" s="1087"/>
      <c r="D1020" s="1083" t="e">
        <f>SUM(D995:D1017)</f>
        <v>#REF!</v>
      </c>
      <c r="E1020" s="1206" t="e">
        <f>SUM(E995:E1017)</f>
        <v>#REF!</v>
      </c>
      <c r="F1020" s="1197"/>
    </row>
    <row r="1021" spans="1:6" ht="15.5">
      <c r="A1021" s="1125"/>
      <c r="B1021" s="1126"/>
      <c r="C1021" s="1127"/>
      <c r="D1021" s="1128"/>
      <c r="E1021" s="1131"/>
      <c r="F1021" s="1197"/>
    </row>
    <row r="1022" spans="1:6" ht="15.5">
      <c r="A1022" s="1406" t="s">
        <v>810</v>
      </c>
      <c r="B1022" s="1406"/>
      <c r="C1022" s="1065"/>
      <c r="D1022" s="1066"/>
      <c r="E1022" s="1065"/>
      <c r="F1022" s="1197"/>
    </row>
    <row r="1023" spans="1:6" ht="15.5">
      <c r="A1023" s="1069" t="s">
        <v>690</v>
      </c>
      <c r="B1023" s="1070" t="s">
        <v>691</v>
      </c>
      <c r="C1023" s="1070" t="s">
        <v>692</v>
      </c>
      <c r="D1023" s="1071">
        <v>2016</v>
      </c>
      <c r="E1023" s="1088">
        <v>2015</v>
      </c>
      <c r="F1023" s="1197"/>
    </row>
    <row r="1024" spans="1:6" ht="15.75" customHeight="1">
      <c r="A1024" s="1135" t="s">
        <v>163</v>
      </c>
      <c r="B1024" s="1089" t="s">
        <v>164</v>
      </c>
      <c r="C1024" s="1089"/>
      <c r="D1024" s="1075" t="e">
        <f>#REF!</f>
        <v>#REF!</v>
      </c>
      <c r="E1024" s="1207">
        <v>750000</v>
      </c>
      <c r="F1024" s="1197"/>
    </row>
    <row r="1025" spans="1:6" ht="15.75" customHeight="1">
      <c r="A1025" s="1135"/>
      <c r="B1025" s="1089" t="s">
        <v>170</v>
      </c>
      <c r="C1025" s="1089"/>
      <c r="D1025" s="1075">
        <v>55882</v>
      </c>
      <c r="E1025" s="1207">
        <v>0</v>
      </c>
      <c r="F1025" s="1197"/>
    </row>
    <row r="1026" spans="1:6" ht="15.5">
      <c r="A1026" s="1084"/>
      <c r="B1026" s="1089"/>
      <c r="C1026" s="1089"/>
      <c r="D1026" s="1081"/>
      <c r="E1026" s="1205"/>
      <c r="F1026" s="1197"/>
    </row>
    <row r="1027" spans="1:6" ht="15.5">
      <c r="A1027" s="1084"/>
      <c r="B1027" s="1089"/>
      <c r="C1027" s="1089"/>
      <c r="D1027" s="1081"/>
      <c r="E1027" s="1205"/>
      <c r="F1027" s="1197"/>
    </row>
    <row r="1028" spans="1:6" ht="15.5">
      <c r="A1028" s="1084"/>
      <c r="B1028" s="1089"/>
      <c r="C1028" s="1089"/>
      <c r="D1028" s="1081"/>
      <c r="E1028" s="1205"/>
      <c r="F1028" s="1197"/>
    </row>
    <row r="1029" spans="1:6" ht="15.5">
      <c r="A1029" s="1084"/>
      <c r="B1029" s="1089"/>
      <c r="C1029" s="1089"/>
      <c r="D1029" s="1081"/>
      <c r="E1029" s="1205"/>
      <c r="F1029" s="1197"/>
    </row>
    <row r="1030" spans="1:6" ht="15.5">
      <c r="A1030" s="1084"/>
      <c r="B1030" s="1089"/>
      <c r="C1030" s="1089"/>
      <c r="D1030" s="1080"/>
      <c r="E1030" s="1204"/>
      <c r="F1030" s="1197"/>
    </row>
    <row r="1031" spans="1:6" ht="15.5">
      <c r="A1031" s="1084"/>
      <c r="B1031" s="1089"/>
      <c r="C1031" s="1089"/>
      <c r="D1031" s="1081"/>
      <c r="E1031" s="1205"/>
      <c r="F1031" s="1197"/>
    </row>
    <row r="1032" spans="1:6" ht="15.5">
      <c r="A1032" s="1084"/>
      <c r="B1032" s="1089"/>
      <c r="C1032" s="1089"/>
      <c r="D1032" s="1081"/>
      <c r="E1032" s="1205"/>
      <c r="F1032" s="1197"/>
    </row>
    <row r="1033" spans="1:6" ht="15.5">
      <c r="A1033" s="1084"/>
      <c r="B1033" s="1089"/>
      <c r="C1033" s="1089"/>
      <c r="D1033" s="1081"/>
      <c r="E1033" s="1205"/>
      <c r="F1033" s="1197"/>
    </row>
    <row r="1034" spans="1:6" ht="15.5">
      <c r="A1034" s="1084"/>
      <c r="B1034" s="1089"/>
      <c r="C1034" s="1089"/>
      <c r="D1034" s="1081"/>
      <c r="E1034" s="1205"/>
      <c r="F1034" s="1197"/>
    </row>
    <row r="1035" spans="1:6" ht="15.5">
      <c r="A1035" s="1084"/>
      <c r="B1035" s="1089"/>
      <c r="C1035" s="1089"/>
      <c r="D1035" s="1081"/>
      <c r="E1035" s="1205"/>
      <c r="F1035" s="1197"/>
    </row>
    <row r="1036" spans="1:6" ht="15.5">
      <c r="A1036" s="1084"/>
      <c r="B1036" s="1089"/>
      <c r="C1036" s="1089"/>
      <c r="D1036" s="1081"/>
      <c r="E1036" s="1205"/>
      <c r="F1036" s="1197"/>
    </row>
    <row r="1037" spans="1:6" ht="15.5">
      <c r="A1037" s="1084"/>
      <c r="B1037" s="1089"/>
      <c r="C1037" s="1089"/>
      <c r="D1037" s="1081"/>
      <c r="E1037" s="1205"/>
      <c r="F1037" s="1197"/>
    </row>
    <row r="1038" spans="1:6" ht="15.5">
      <c r="A1038" s="1084"/>
      <c r="B1038" s="1089"/>
      <c r="C1038" s="1089"/>
      <c r="D1038" s="1081"/>
      <c r="E1038" s="1205"/>
      <c r="F1038" s="1197"/>
    </row>
    <row r="1039" spans="1:6" ht="15.5">
      <c r="A1039" s="1084"/>
      <c r="B1039" s="1089"/>
      <c r="C1039" s="1089"/>
      <c r="D1039" s="1081"/>
      <c r="E1039" s="1205"/>
      <c r="F1039" s="1197"/>
    </row>
    <row r="1040" spans="1:6" ht="15.5">
      <c r="A1040" s="1084"/>
      <c r="B1040" s="1074"/>
      <c r="C1040" s="1074"/>
      <c r="D1040" s="1081"/>
      <c r="E1040" s="1205"/>
      <c r="F1040" s="1197"/>
    </row>
    <row r="1041" spans="1:6" ht="15.5">
      <c r="A1041" s="1084"/>
      <c r="B1041" s="1074"/>
      <c r="C1041" s="1074"/>
      <c r="D1041" s="1081"/>
      <c r="E1041" s="1205"/>
      <c r="F1041" s="1197"/>
    </row>
    <row r="1042" spans="1:6" ht="15.5">
      <c r="A1042" s="1084"/>
      <c r="B1042" s="1074"/>
      <c r="C1042" s="1074"/>
      <c r="D1042" s="1081"/>
      <c r="E1042" s="1205"/>
      <c r="F1042" s="1197"/>
    </row>
    <row r="1043" spans="1:6" ht="15.5">
      <c r="A1043" s="1084"/>
      <c r="B1043" s="1074"/>
      <c r="C1043" s="1074"/>
      <c r="D1043" s="1081"/>
      <c r="E1043" s="1205"/>
      <c r="F1043" s="1197"/>
    </row>
    <row r="1044" spans="1:6" ht="15.5">
      <c r="A1044" s="1084"/>
      <c r="B1044" s="1074"/>
      <c r="C1044" s="1074"/>
      <c r="D1044" s="1081"/>
      <c r="E1044" s="1205"/>
      <c r="F1044" s="1197"/>
    </row>
    <row r="1045" spans="1:6" ht="15.5">
      <c r="A1045" s="1084"/>
      <c r="B1045" s="1074"/>
      <c r="C1045" s="1074"/>
      <c r="D1045" s="1081"/>
      <c r="E1045" s="1205"/>
      <c r="F1045" s="1197"/>
    </row>
    <row r="1046" spans="1:6" ht="15.5">
      <c r="A1046" s="1084"/>
      <c r="B1046" s="1074"/>
      <c r="C1046" s="1074"/>
      <c r="D1046" s="1081"/>
      <c r="E1046" s="1205"/>
      <c r="F1046" s="1197"/>
    </row>
    <row r="1047" spans="1:6" ht="15.5">
      <c r="A1047" s="1084"/>
      <c r="B1047" s="1074"/>
      <c r="C1047" s="1074"/>
      <c r="D1047" s="1081"/>
      <c r="E1047" s="1205"/>
      <c r="F1047" s="1197"/>
    </row>
    <row r="1048" spans="1:6" ht="15.5">
      <c r="A1048" s="1084"/>
      <c r="B1048" s="1085"/>
      <c r="C1048" s="1085"/>
      <c r="D1048" s="1081"/>
      <c r="E1048" s="1205"/>
      <c r="F1048" s="1197"/>
    </row>
    <row r="1049" spans="1:6" ht="15.5">
      <c r="A1049" s="1404" t="s">
        <v>701</v>
      </c>
      <c r="B1049" s="1405"/>
      <c r="C1049" s="1087"/>
      <c r="D1049" s="1083" t="e">
        <f>SUM(D1024:D1047)</f>
        <v>#REF!</v>
      </c>
      <c r="E1049" s="1206">
        <f>SUM(E1024:E1047)</f>
        <v>750000</v>
      </c>
      <c r="F1049" s="1197"/>
    </row>
    <row r="1050" spans="1:6" ht="15.5">
      <c r="A1050" s="1125"/>
      <c r="B1050" s="1126"/>
      <c r="C1050" s="1127"/>
      <c r="D1050" s="1128"/>
      <c r="E1050" s="1131"/>
      <c r="F1050" s="1197"/>
    </row>
    <row r="1051" spans="1:6" ht="15.5">
      <c r="A1051" s="1406" t="s">
        <v>811</v>
      </c>
      <c r="B1051" s="1406"/>
      <c r="C1051" s="1065"/>
      <c r="D1051" s="1066"/>
      <c r="E1051" s="1065"/>
      <c r="F1051" s="1197"/>
    </row>
    <row r="1052" spans="1:6" ht="15.5">
      <c r="A1052" s="1069" t="s">
        <v>690</v>
      </c>
      <c r="B1052" s="1070" t="s">
        <v>691</v>
      </c>
      <c r="C1052" s="1070" t="s">
        <v>692</v>
      </c>
      <c r="D1052" s="1071">
        <v>2016</v>
      </c>
      <c r="E1052" s="1088">
        <v>2015</v>
      </c>
      <c r="F1052" s="1197"/>
    </row>
    <row r="1053" spans="1:6" ht="15.75" customHeight="1">
      <c r="A1053" s="1135" t="e">
        <f>'[91]Trial Balance'!A112</f>
        <v>#REF!</v>
      </c>
      <c r="B1053" s="1089" t="e">
        <f>VLOOKUP(A1053,'[91]Trial Balance'!$1:$1048576,2,FALSE)</f>
        <v>#REF!</v>
      </c>
      <c r="C1053" s="1089"/>
      <c r="D1053" s="1075" t="e">
        <f>VLOOKUP(A1053,'[92]Trial Balance'!$1:$1048576,9,FALSE)</f>
        <v>#REF!</v>
      </c>
      <c r="E1053" s="1207">
        <v>32128888</v>
      </c>
      <c r="F1053" s="1197"/>
    </row>
    <row r="1054" spans="1:6" ht="15.5">
      <c r="A1054" s="1184"/>
      <c r="B1054" s="1089"/>
      <c r="C1054" s="1089"/>
      <c r="D1054" s="1075"/>
      <c r="E1054" s="1207"/>
      <c r="F1054" s="1197"/>
    </row>
    <row r="1055" spans="1:6" ht="15.5">
      <c r="A1055" s="1084"/>
      <c r="B1055" s="1089"/>
      <c r="C1055" s="1089"/>
      <c r="D1055" s="1075"/>
      <c r="E1055" s="1207"/>
      <c r="F1055" s="1197"/>
    </row>
    <row r="1056" spans="1:6" ht="15.5">
      <c r="A1056" s="1146"/>
      <c r="B1056" s="1089"/>
      <c r="C1056" s="1089"/>
      <c r="D1056" s="1081"/>
      <c r="E1056" s="1207"/>
      <c r="F1056" s="1197"/>
    </row>
    <row r="1057" spans="1:6" ht="15.5">
      <c r="A1057" s="1146"/>
      <c r="B1057" s="1089"/>
      <c r="C1057" s="1089"/>
      <c r="D1057" s="1081"/>
      <c r="E1057" s="1205"/>
      <c r="F1057" s="1197"/>
    </row>
    <row r="1058" spans="1:6" ht="15.5">
      <c r="A1058" s="1084"/>
      <c r="B1058" s="1089"/>
      <c r="C1058" s="1089"/>
      <c r="D1058" s="1081"/>
      <c r="E1058" s="1205"/>
      <c r="F1058" s="1197"/>
    </row>
    <row r="1059" spans="1:6" ht="15.5">
      <c r="A1059" s="1084"/>
      <c r="B1059" s="1089"/>
      <c r="C1059" s="1089"/>
      <c r="D1059" s="1080"/>
      <c r="E1059" s="1204"/>
      <c r="F1059" s="1197"/>
    </row>
    <row r="1060" spans="1:6" ht="15.5">
      <c r="A1060" s="1084"/>
      <c r="B1060" s="1089"/>
      <c r="C1060" s="1089"/>
      <c r="D1060" s="1081"/>
      <c r="E1060" s="1205"/>
      <c r="F1060" s="1197"/>
    </row>
    <row r="1061" spans="1:6" ht="15.5">
      <c r="A1061" s="1084"/>
      <c r="B1061" s="1089"/>
      <c r="C1061" s="1089"/>
      <c r="D1061" s="1081"/>
      <c r="E1061" s="1205"/>
      <c r="F1061" s="1197"/>
    </row>
    <row r="1062" spans="1:6" ht="15.5">
      <c r="A1062" s="1084"/>
      <c r="B1062" s="1089"/>
      <c r="C1062" s="1089"/>
      <c r="D1062" s="1081"/>
      <c r="E1062" s="1205"/>
      <c r="F1062" s="1197"/>
    </row>
    <row r="1063" spans="1:6" ht="15.5">
      <c r="A1063" s="1084"/>
      <c r="B1063" s="1089"/>
      <c r="C1063" s="1089"/>
      <c r="D1063" s="1081"/>
      <c r="E1063" s="1205"/>
      <c r="F1063" s="1197"/>
    </row>
    <row r="1064" spans="1:6" ht="15.5">
      <c r="A1064" s="1084"/>
      <c r="B1064" s="1089"/>
      <c r="C1064" s="1089"/>
      <c r="D1064" s="1081"/>
      <c r="E1064" s="1205"/>
      <c r="F1064" s="1197"/>
    </row>
    <row r="1065" spans="1:6" ht="15.5">
      <c r="A1065" s="1084"/>
      <c r="B1065" s="1089"/>
      <c r="C1065" s="1089"/>
      <c r="D1065" s="1081"/>
      <c r="E1065" s="1205"/>
      <c r="F1065" s="1197"/>
    </row>
    <row r="1066" spans="1:6" ht="15.5">
      <c r="A1066" s="1084"/>
      <c r="B1066" s="1089"/>
      <c r="C1066" s="1089"/>
      <c r="D1066" s="1081"/>
      <c r="E1066" s="1205"/>
      <c r="F1066" s="1197"/>
    </row>
    <row r="1067" spans="1:6" ht="15.5">
      <c r="A1067" s="1084"/>
      <c r="B1067" s="1089"/>
      <c r="C1067" s="1089"/>
      <c r="D1067" s="1081"/>
      <c r="E1067" s="1205"/>
      <c r="F1067" s="1197"/>
    </row>
    <row r="1068" spans="1:6" ht="15.5">
      <c r="A1068" s="1084"/>
      <c r="B1068" s="1089"/>
      <c r="C1068" s="1089"/>
      <c r="D1068" s="1081"/>
      <c r="E1068" s="1205"/>
      <c r="F1068" s="1197"/>
    </row>
    <row r="1069" spans="1:6" ht="15.5">
      <c r="A1069" s="1084"/>
      <c r="B1069" s="1074"/>
      <c r="C1069" s="1074"/>
      <c r="D1069" s="1081"/>
      <c r="E1069" s="1205"/>
      <c r="F1069" s="1197"/>
    </row>
    <row r="1070" spans="1:6" ht="15.5">
      <c r="A1070" s="1084"/>
      <c r="B1070" s="1074"/>
      <c r="C1070" s="1074"/>
      <c r="D1070" s="1081"/>
      <c r="E1070" s="1205"/>
      <c r="F1070" s="1197"/>
    </row>
    <row r="1071" spans="1:6" ht="15.5">
      <c r="A1071" s="1084"/>
      <c r="B1071" s="1074"/>
      <c r="C1071" s="1074"/>
      <c r="D1071" s="1081"/>
      <c r="E1071" s="1205"/>
      <c r="F1071" s="1197"/>
    </row>
    <row r="1072" spans="1:6" ht="15.5">
      <c r="A1072" s="1084"/>
      <c r="B1072" s="1074"/>
      <c r="C1072" s="1074"/>
      <c r="D1072" s="1081"/>
      <c r="E1072" s="1205"/>
      <c r="F1072" s="1197"/>
    </row>
    <row r="1073" spans="1:6" ht="15.5">
      <c r="A1073" s="1084"/>
      <c r="B1073" s="1074"/>
      <c r="C1073" s="1074"/>
      <c r="D1073" s="1081"/>
      <c r="E1073" s="1205"/>
      <c r="F1073" s="1197"/>
    </row>
    <row r="1074" spans="1:6" ht="15.5">
      <c r="A1074" s="1084"/>
      <c r="B1074" s="1074"/>
      <c r="C1074" s="1074"/>
      <c r="D1074" s="1081"/>
      <c r="E1074" s="1205"/>
      <c r="F1074" s="1197"/>
    </row>
    <row r="1075" spans="1:6" ht="15.5">
      <c r="A1075" s="1084"/>
      <c r="B1075" s="1085"/>
      <c r="C1075" s="1085"/>
      <c r="D1075" s="1081"/>
      <c r="E1075" s="1205"/>
      <c r="F1075" s="1197"/>
    </row>
    <row r="1076" spans="1:6" ht="15.5">
      <c r="A1076" s="1404" t="s">
        <v>701</v>
      </c>
      <c r="B1076" s="1405"/>
      <c r="C1076" s="1087"/>
      <c r="D1076" s="1083" t="e">
        <f>SUM(D1053:D1074)</f>
        <v>#REF!</v>
      </c>
      <c r="E1076" s="1206">
        <f>SUM(E1053:E1074)</f>
        <v>32128888</v>
      </c>
      <c r="F1076" s="1197"/>
    </row>
    <row r="1077" spans="1:6" ht="15.5">
      <c r="A1077" s="1125"/>
      <c r="B1077" s="1126"/>
      <c r="C1077" s="1127"/>
      <c r="D1077" s="1128"/>
      <c r="E1077" s="1131"/>
      <c r="F1077" s="1197"/>
    </row>
    <row r="1078" spans="1:6" ht="15.5">
      <c r="A1078" s="1406" t="s">
        <v>812</v>
      </c>
      <c r="B1078" s="1406"/>
      <c r="C1078" s="1065"/>
      <c r="D1078" s="1066"/>
      <c r="E1078" s="1065"/>
      <c r="F1078" s="1197"/>
    </row>
    <row r="1079" spans="1:6" ht="15.5">
      <c r="A1079" s="1069" t="s">
        <v>690</v>
      </c>
      <c r="B1079" s="1070" t="s">
        <v>691</v>
      </c>
      <c r="C1079" s="1070" t="s">
        <v>692</v>
      </c>
      <c r="D1079" s="1071">
        <v>2014</v>
      </c>
      <c r="E1079" s="1088">
        <v>2014</v>
      </c>
      <c r="F1079" s="1197"/>
    </row>
    <row r="1080" spans="1:6" ht="15.75" customHeight="1">
      <c r="A1080" s="1135" t="str">
        <f>'[93]Trial Balance'!A117</f>
        <v>3117</v>
      </c>
      <c r="B1080" s="1089" t="str">
        <f>VLOOKUP(A1080,'[93]Trial Balance'!$1:$1048576,2,FALSE)</f>
        <v>Deffered Taxation</v>
      </c>
      <c r="C1080" s="1089"/>
      <c r="D1080" s="1075">
        <f>D1112</f>
        <v>1462838</v>
      </c>
      <c r="E1080" s="1207">
        <f>E1112</f>
        <v>803623</v>
      </c>
      <c r="F1080" s="1197"/>
    </row>
    <row r="1081" spans="1:6" ht="15.75" customHeight="1">
      <c r="A1081" s="1135" t="str">
        <f>'[93]Trial Balance'!A120</f>
        <v>3125</v>
      </c>
      <c r="B1081" s="1089" t="str">
        <f>VLOOKUP(A1081,'[93]Trial Balance'!$1:$1048576,2,FALSE)</f>
        <v>Staff Gratuity</v>
      </c>
      <c r="C1081" s="1089"/>
      <c r="D1081" s="1075">
        <f>D1161</f>
        <v>2698414</v>
      </c>
      <c r="E1081" s="1207">
        <f>E1161</f>
        <v>1504400</v>
      </c>
      <c r="F1081" s="1197"/>
    </row>
    <row r="1082" spans="1:6" ht="15.5">
      <c r="A1082" s="1084"/>
      <c r="B1082" s="1089"/>
      <c r="C1082" s="1089"/>
      <c r="D1082" s="1081"/>
      <c r="E1082" s="1205"/>
      <c r="F1082" s="1197"/>
    </row>
    <row r="1083" spans="1:6" ht="15.5">
      <c r="A1083" s="1084"/>
      <c r="B1083" s="1089"/>
      <c r="C1083" s="1089"/>
      <c r="D1083" s="1081"/>
      <c r="E1083" s="1205"/>
      <c r="F1083" s="1197"/>
    </row>
    <row r="1084" spans="1:6" ht="15.5">
      <c r="A1084" s="1084"/>
      <c r="B1084" s="1089"/>
      <c r="C1084" s="1089"/>
      <c r="D1084" s="1081"/>
      <c r="E1084" s="1205"/>
      <c r="F1084" s="1197"/>
    </row>
    <row r="1085" spans="1:6" ht="15.5">
      <c r="A1085" s="1084"/>
      <c r="B1085" s="1089"/>
      <c r="C1085" s="1089"/>
      <c r="D1085" s="1081"/>
      <c r="E1085" s="1205"/>
      <c r="F1085" s="1197"/>
    </row>
    <row r="1086" spans="1:6" ht="15.5">
      <c r="A1086" s="1084"/>
      <c r="B1086" s="1089"/>
      <c r="C1086" s="1089"/>
      <c r="D1086" s="1080"/>
      <c r="E1086" s="1204"/>
      <c r="F1086" s="1197"/>
    </row>
    <row r="1087" spans="1:6" ht="15.5">
      <c r="A1087" s="1084"/>
      <c r="B1087" s="1089"/>
      <c r="C1087" s="1089"/>
      <c r="D1087" s="1081"/>
      <c r="E1087" s="1205"/>
      <c r="F1087" s="1197"/>
    </row>
    <row r="1088" spans="1:6" ht="15.5">
      <c r="A1088" s="1084"/>
      <c r="B1088" s="1089"/>
      <c r="C1088" s="1089"/>
      <c r="D1088" s="1081"/>
      <c r="E1088" s="1205"/>
      <c r="F1088" s="1197"/>
    </row>
    <row r="1089" spans="1:6" ht="15.5">
      <c r="A1089" s="1084"/>
      <c r="B1089" s="1089"/>
      <c r="C1089" s="1089"/>
      <c r="D1089" s="1081"/>
      <c r="E1089" s="1205"/>
      <c r="F1089" s="1197"/>
    </row>
    <row r="1090" spans="1:6" ht="15.5">
      <c r="A1090" s="1084"/>
      <c r="B1090" s="1089"/>
      <c r="C1090" s="1089"/>
      <c r="D1090" s="1081"/>
      <c r="E1090" s="1205"/>
      <c r="F1090" s="1197"/>
    </row>
    <row r="1091" spans="1:6" ht="15.5">
      <c r="A1091" s="1084"/>
      <c r="B1091" s="1089"/>
      <c r="C1091" s="1089"/>
      <c r="D1091" s="1081"/>
      <c r="E1091" s="1205"/>
      <c r="F1091" s="1197"/>
    </row>
    <row r="1092" spans="1:6" ht="15.5">
      <c r="A1092" s="1084"/>
      <c r="B1092" s="1089"/>
      <c r="C1092" s="1089"/>
      <c r="D1092" s="1081"/>
      <c r="E1092" s="1205"/>
      <c r="F1092" s="1197"/>
    </row>
    <row r="1093" spans="1:6" ht="15.5">
      <c r="A1093" s="1084"/>
      <c r="B1093" s="1089"/>
      <c r="C1093" s="1089"/>
      <c r="D1093" s="1081"/>
      <c r="E1093" s="1205"/>
      <c r="F1093" s="1197"/>
    </row>
    <row r="1094" spans="1:6" ht="15.5">
      <c r="A1094" s="1084"/>
      <c r="B1094" s="1089"/>
      <c r="C1094" s="1089"/>
      <c r="D1094" s="1081"/>
      <c r="E1094" s="1205"/>
      <c r="F1094" s="1197"/>
    </row>
    <row r="1095" spans="1:6" ht="15.5">
      <c r="A1095" s="1084"/>
      <c r="B1095" s="1089"/>
      <c r="C1095" s="1089"/>
      <c r="D1095" s="1081"/>
      <c r="E1095" s="1205"/>
      <c r="F1095" s="1197"/>
    </row>
    <row r="1096" spans="1:6" ht="15.5">
      <c r="A1096" s="1084"/>
      <c r="B1096" s="1074"/>
      <c r="C1096" s="1074"/>
      <c r="D1096" s="1081"/>
      <c r="E1096" s="1205"/>
      <c r="F1096" s="1197"/>
    </row>
    <row r="1097" spans="1:6" ht="15.5">
      <c r="A1097" s="1084"/>
      <c r="B1097" s="1074"/>
      <c r="C1097" s="1074"/>
      <c r="D1097" s="1081"/>
      <c r="E1097" s="1205"/>
      <c r="F1097" s="1197"/>
    </row>
    <row r="1098" spans="1:6" ht="15.5">
      <c r="A1098" s="1084"/>
      <c r="B1098" s="1074"/>
      <c r="C1098" s="1074"/>
      <c r="D1098" s="1081"/>
      <c r="E1098" s="1205"/>
      <c r="F1098" s="1197"/>
    </row>
    <row r="1099" spans="1:6" ht="15.5">
      <c r="A1099" s="1084"/>
      <c r="B1099" s="1074"/>
      <c r="C1099" s="1074"/>
      <c r="D1099" s="1081"/>
      <c r="E1099" s="1205"/>
      <c r="F1099" s="1197"/>
    </row>
    <row r="1100" spans="1:6" ht="15.5">
      <c r="A1100" s="1084"/>
      <c r="B1100" s="1074"/>
      <c r="C1100" s="1074"/>
      <c r="D1100" s="1081"/>
      <c r="E1100" s="1205"/>
      <c r="F1100" s="1197"/>
    </row>
    <row r="1101" spans="1:6" ht="15.5">
      <c r="A1101" s="1084"/>
      <c r="B1101" s="1074"/>
      <c r="C1101" s="1074"/>
      <c r="D1101" s="1081"/>
      <c r="E1101" s="1205"/>
      <c r="F1101" s="1197"/>
    </row>
    <row r="1102" spans="1:6" ht="15.5">
      <c r="A1102" s="1084"/>
      <c r="B1102" s="1085"/>
      <c r="C1102" s="1085"/>
      <c r="D1102" s="1081"/>
      <c r="E1102" s="1205"/>
      <c r="F1102" s="1197"/>
    </row>
    <row r="1103" spans="1:6" ht="15.5">
      <c r="A1103" s="1404" t="s">
        <v>701</v>
      </c>
      <c r="B1103" s="1405"/>
      <c r="C1103" s="1087"/>
      <c r="D1103" s="1083">
        <f>SUM(D1080:D1100)</f>
        <v>4161252</v>
      </c>
      <c r="E1103" s="1206">
        <f>SUM(E1080:E1100)</f>
        <v>2308023</v>
      </c>
      <c r="F1103" s="1197"/>
    </row>
    <row r="1104" spans="1:6" ht="15.5">
      <c r="A1104" s="1125"/>
      <c r="B1104" s="1126"/>
      <c r="C1104" s="1127"/>
      <c r="D1104" s="1128"/>
      <c r="E1104" s="1131"/>
      <c r="F1104" s="1197"/>
    </row>
    <row r="1105" spans="1:6" ht="15.5">
      <c r="A1105" s="1068" t="s">
        <v>813</v>
      </c>
      <c r="B1105" s="1068"/>
      <c r="C1105" s="1065"/>
      <c r="D1105" s="1066"/>
      <c r="E1105" s="1065"/>
      <c r="F1105" s="1197"/>
    </row>
    <row r="1106" spans="1:6" ht="15.5">
      <c r="A1106" s="1069" t="s">
        <v>690</v>
      </c>
      <c r="B1106" s="1070" t="s">
        <v>691</v>
      </c>
      <c r="C1106" s="1070" t="s">
        <v>692</v>
      </c>
      <c r="D1106" s="1071">
        <v>2014</v>
      </c>
      <c r="E1106" s="1088">
        <v>2014</v>
      </c>
      <c r="F1106" s="1197"/>
    </row>
    <row r="1107" spans="1:6" ht="15.5">
      <c r="A1107" s="1184"/>
      <c r="B1107" s="1089"/>
      <c r="C1107" s="1089"/>
      <c r="D1107" s="1081"/>
      <c r="E1107" s="1205"/>
      <c r="F1107" s="1197"/>
    </row>
    <row r="1108" spans="1:6" ht="15.75" customHeight="1">
      <c r="A1108" s="1184"/>
      <c r="B1108" s="1089" t="s">
        <v>814</v>
      </c>
      <c r="C1108" s="1089"/>
      <c r="D1108" s="1081">
        <f>E1112</f>
        <v>803623</v>
      </c>
      <c r="E1108" s="1205">
        <v>1036835</v>
      </c>
      <c r="F1108" s="1197"/>
    </row>
    <row r="1109" spans="1:6" ht="15.5">
      <c r="A1109" s="1084"/>
      <c r="B1109" s="1089"/>
      <c r="C1109" s="1089"/>
      <c r="D1109" s="1081"/>
      <c r="E1109" s="1205"/>
      <c r="F1109" s="1197"/>
    </row>
    <row r="1110" spans="1:6" ht="15.75" customHeight="1">
      <c r="A1110" s="1136" t="str">
        <f>'[93]Trial Balance'!A117</f>
        <v>3117</v>
      </c>
      <c r="B1110" s="1089" t="s">
        <v>815</v>
      </c>
      <c r="C1110" s="1089"/>
      <c r="D1110" s="1081">
        <f>'[93]Trial Balance'!G117</f>
        <v>659215</v>
      </c>
      <c r="E1110" s="1205">
        <v>-233212</v>
      </c>
      <c r="F1110" s="1197"/>
    </row>
    <row r="1111" spans="1:6" ht="15.5">
      <c r="A1111" s="1084"/>
      <c r="B1111" s="1089"/>
      <c r="C1111" s="1089"/>
      <c r="D1111" s="1082"/>
      <c r="E1111" s="1216"/>
      <c r="F1111" s="1197"/>
    </row>
    <row r="1112" spans="1:6" ht="15.75" customHeight="1">
      <c r="A1112" s="1084"/>
      <c r="B1112" s="1089" t="s">
        <v>816</v>
      </c>
      <c r="C1112" s="1091"/>
      <c r="D1112" s="1214">
        <f>SUM(D1108:D1110)</f>
        <v>1462838</v>
      </c>
      <c r="E1112" s="1217">
        <f>E1108+E1110</f>
        <v>803623</v>
      </c>
      <c r="F1112" s="1197"/>
    </row>
    <row r="1113" spans="1:6" ht="15.5">
      <c r="A1113" s="1084"/>
      <c r="B1113" s="1089"/>
      <c r="C1113" s="1089"/>
      <c r="D1113" s="1080"/>
      <c r="E1113" s="1204"/>
      <c r="F1113" s="1197"/>
    </row>
    <row r="1114" spans="1:6" ht="15.5">
      <c r="A1114" s="1084"/>
      <c r="B1114" s="1089"/>
      <c r="C1114" s="1089"/>
      <c r="D1114" s="1081"/>
      <c r="E1114" s="1205"/>
      <c r="F1114" s="1197"/>
    </row>
    <row r="1115" spans="1:6" ht="15.5">
      <c r="A1115" s="1084"/>
      <c r="B1115" s="1089"/>
      <c r="C1115" s="1089"/>
      <c r="D1115" s="1081"/>
      <c r="E1115" s="1205"/>
      <c r="F1115" s="1197"/>
    </row>
    <row r="1116" spans="1:6" ht="15.5">
      <c r="A1116" s="1084"/>
      <c r="B1116" s="1089"/>
      <c r="C1116" s="1089"/>
      <c r="D1116" s="1081"/>
      <c r="E1116" s="1205"/>
      <c r="F1116" s="1197"/>
    </row>
    <row r="1117" spans="1:6" ht="15.5">
      <c r="A1117" s="1084"/>
      <c r="B1117" s="1089"/>
      <c r="C1117" s="1089"/>
      <c r="D1117" s="1081"/>
      <c r="E1117" s="1205"/>
      <c r="F1117" s="1197"/>
    </row>
    <row r="1118" spans="1:6" ht="15.5">
      <c r="A1118" s="1084"/>
      <c r="B1118" s="1089"/>
      <c r="C1118" s="1089"/>
      <c r="D1118" s="1081"/>
      <c r="E1118" s="1205"/>
      <c r="F1118" s="1197"/>
    </row>
    <row r="1119" spans="1:6" ht="15.5">
      <c r="A1119" s="1084"/>
      <c r="B1119" s="1089"/>
      <c r="C1119" s="1089"/>
      <c r="D1119" s="1081"/>
      <c r="E1119" s="1205"/>
      <c r="F1119" s="1197"/>
    </row>
    <row r="1120" spans="1:6" ht="15.5">
      <c r="A1120" s="1084"/>
      <c r="B1120" s="1089"/>
      <c r="C1120" s="1089"/>
      <c r="D1120" s="1081"/>
      <c r="E1120" s="1205"/>
      <c r="F1120" s="1197"/>
    </row>
    <row r="1121" spans="1:6" ht="15.5">
      <c r="A1121" s="1084"/>
      <c r="B1121" s="1089"/>
      <c r="C1121" s="1089"/>
      <c r="D1121" s="1081"/>
      <c r="E1121" s="1205"/>
      <c r="F1121" s="1197"/>
    </row>
    <row r="1122" spans="1:6" ht="15.5">
      <c r="A1122" s="1084"/>
      <c r="B1122" s="1089"/>
      <c r="C1122" s="1089"/>
      <c r="D1122" s="1081"/>
      <c r="E1122" s="1205"/>
      <c r="F1122" s="1197"/>
    </row>
    <row r="1123" spans="1:6" ht="15.5">
      <c r="A1123" s="1084"/>
      <c r="B1123" s="1074"/>
      <c r="C1123" s="1074"/>
      <c r="D1123" s="1081"/>
      <c r="E1123" s="1205"/>
      <c r="F1123" s="1197"/>
    </row>
    <row r="1124" spans="1:6" ht="15.5">
      <c r="A1124" s="1084"/>
      <c r="B1124" s="1074"/>
      <c r="C1124" s="1074"/>
      <c r="D1124" s="1081"/>
      <c r="E1124" s="1205"/>
      <c r="F1124" s="1197"/>
    </row>
    <row r="1125" spans="1:6" ht="15.5">
      <c r="A1125" s="1084"/>
      <c r="B1125" s="1074"/>
      <c r="C1125" s="1074"/>
      <c r="D1125" s="1081"/>
      <c r="E1125" s="1205"/>
      <c r="F1125" s="1197"/>
    </row>
    <row r="1126" spans="1:6" ht="15.5">
      <c r="A1126" s="1084"/>
      <c r="B1126" s="1074"/>
      <c r="C1126" s="1074"/>
      <c r="D1126" s="1081"/>
      <c r="E1126" s="1205"/>
      <c r="F1126" s="1197"/>
    </row>
    <row r="1127" spans="1:6" ht="15.5">
      <c r="A1127" s="1084"/>
      <c r="B1127" s="1074"/>
      <c r="C1127" s="1074"/>
      <c r="D1127" s="1081"/>
      <c r="E1127" s="1205"/>
      <c r="F1127" s="1197"/>
    </row>
    <row r="1128" spans="1:6" ht="15.5">
      <c r="A1128" s="1084"/>
      <c r="B1128" s="1074"/>
      <c r="C1128" s="1074"/>
      <c r="D1128" s="1081"/>
      <c r="E1128" s="1205"/>
      <c r="F1128" s="1197"/>
    </row>
    <row r="1129" spans="1:6" ht="15.5">
      <c r="A1129" s="1084"/>
      <c r="B1129" s="1074"/>
      <c r="C1129" s="1074"/>
      <c r="D1129" s="1081"/>
      <c r="E1129" s="1205"/>
      <c r="F1129" s="1197"/>
    </row>
    <row r="1130" spans="1:6" ht="15.5">
      <c r="A1130" s="1084"/>
      <c r="B1130" s="1074"/>
      <c r="C1130" s="1074"/>
      <c r="D1130" s="1081"/>
      <c r="E1130" s="1205"/>
      <c r="F1130" s="1197"/>
    </row>
    <row r="1131" spans="1:6" ht="15.5">
      <c r="A1131" s="1084"/>
      <c r="B1131" s="1085"/>
      <c r="C1131" s="1085"/>
      <c r="D1131" s="1081"/>
      <c r="E1131" s="1205"/>
      <c r="F1131" s="1197"/>
    </row>
    <row r="1132" spans="1:6" ht="15.5">
      <c r="A1132" s="1404" t="s">
        <v>701</v>
      </c>
      <c r="B1132" s="1405"/>
      <c r="C1132" s="1087"/>
      <c r="D1132" s="1083">
        <f>SUM(D1112:D1130)</f>
        <v>1462838</v>
      </c>
      <c r="E1132" s="1206">
        <f>SUM(E1112:E1130)</f>
        <v>803623</v>
      </c>
      <c r="F1132" s="1197"/>
    </row>
    <row r="1133" spans="1:6" ht="15.5">
      <c r="A1133" s="1064"/>
      <c r="B1133" s="1197"/>
      <c r="C1133" s="1197"/>
      <c r="D1133" s="1215"/>
      <c r="E1133" s="1197"/>
      <c r="F1133" s="1197"/>
    </row>
    <row r="1134" spans="1:6" ht="15.5">
      <c r="A1134" s="1068" t="s">
        <v>817</v>
      </c>
      <c r="B1134" s="1068"/>
      <c r="C1134" s="1065"/>
      <c r="D1134" s="1066"/>
      <c r="E1134" s="1065"/>
      <c r="F1134" s="1197"/>
    </row>
    <row r="1135" spans="1:6" ht="15.5">
      <c r="A1135" s="1069" t="s">
        <v>690</v>
      </c>
      <c r="B1135" s="1070" t="s">
        <v>691</v>
      </c>
      <c r="C1135" s="1070" t="s">
        <v>692</v>
      </c>
      <c r="D1135" s="1071">
        <v>2014</v>
      </c>
      <c r="E1135" s="1088">
        <v>2014</v>
      </c>
      <c r="F1135" s="1197"/>
    </row>
    <row r="1136" spans="1:6" ht="15.5">
      <c r="A1136" s="1184"/>
      <c r="B1136" s="1089"/>
      <c r="C1136" s="1089"/>
      <c r="D1136" s="1081"/>
      <c r="E1136" s="1205"/>
      <c r="F1136" s="1197"/>
    </row>
    <row r="1137" spans="1:6" ht="15.75" customHeight="1">
      <c r="A1137" s="1184"/>
      <c r="B1137" s="1089" t="s">
        <v>814</v>
      </c>
      <c r="C1137" s="1089"/>
      <c r="D1137" s="1081">
        <f>E1141</f>
        <v>1504400</v>
      </c>
      <c r="E1137" s="1205">
        <v>585928</v>
      </c>
      <c r="F1137" s="1197"/>
    </row>
    <row r="1138" spans="1:6" ht="15.5">
      <c r="A1138" s="1084"/>
      <c r="B1138" s="1089"/>
      <c r="C1138" s="1089"/>
      <c r="D1138" s="1081"/>
      <c r="E1138" s="1205"/>
      <c r="F1138" s="1197"/>
    </row>
    <row r="1139" spans="1:6" ht="15.75" customHeight="1">
      <c r="A1139" s="1136" t="s">
        <v>818</v>
      </c>
      <c r="B1139" s="1089" t="s">
        <v>819</v>
      </c>
      <c r="C1139" s="1089"/>
      <c r="D1139" s="1081">
        <f>'[93]Trial Balance'!G120</f>
        <v>1194014</v>
      </c>
      <c r="E1139" s="1205">
        <v>918472</v>
      </c>
      <c r="F1139" s="1197"/>
    </row>
    <row r="1140" spans="1:6" ht="15.5">
      <c r="A1140" s="1084"/>
      <c r="B1140" s="1089"/>
      <c r="C1140" s="1089"/>
      <c r="D1140" s="1082"/>
      <c r="E1140" s="1216"/>
      <c r="F1140" s="1197"/>
    </row>
    <row r="1141" spans="1:6" ht="16.5" customHeight="1">
      <c r="A1141" s="1084"/>
      <c r="B1141" s="1089" t="s">
        <v>816</v>
      </c>
      <c r="C1141" s="1091"/>
      <c r="D1141" s="1214">
        <f>SUM(D1137:D1139)</f>
        <v>2698414</v>
      </c>
      <c r="E1141" s="1217">
        <f>E1137+E1139</f>
        <v>1504400</v>
      </c>
      <c r="F1141" s="1197"/>
    </row>
    <row r="1142" spans="1:6" ht="15.5">
      <c r="A1142" s="1084"/>
      <c r="B1142" s="1089"/>
      <c r="C1142" s="1089"/>
      <c r="D1142" s="1080"/>
      <c r="E1142" s="1204"/>
      <c r="F1142" s="1197"/>
    </row>
    <row r="1143" spans="1:6" ht="15.5">
      <c r="A1143" s="1084"/>
      <c r="B1143" s="1089"/>
      <c r="C1143" s="1089"/>
      <c r="D1143" s="1081"/>
      <c r="E1143" s="1205"/>
      <c r="F1143" s="1197"/>
    </row>
    <row r="1144" spans="1:6" ht="15.5">
      <c r="A1144" s="1084"/>
      <c r="B1144" s="1089"/>
      <c r="C1144" s="1089"/>
      <c r="D1144" s="1081"/>
      <c r="E1144" s="1205"/>
      <c r="F1144" s="1197"/>
    </row>
    <row r="1145" spans="1:6" ht="15.5">
      <c r="A1145" s="1084"/>
      <c r="B1145" s="1089"/>
      <c r="C1145" s="1089"/>
      <c r="D1145" s="1081"/>
      <c r="E1145" s="1205"/>
      <c r="F1145" s="1197"/>
    </row>
    <row r="1146" spans="1:6" ht="15.5">
      <c r="A1146" s="1084"/>
      <c r="B1146" s="1089"/>
      <c r="C1146" s="1089"/>
      <c r="D1146" s="1081"/>
      <c r="E1146" s="1205"/>
      <c r="F1146" s="1197"/>
    </row>
    <row r="1147" spans="1:6" ht="15.5">
      <c r="A1147" s="1084"/>
      <c r="B1147" s="1089"/>
      <c r="C1147" s="1089"/>
      <c r="D1147" s="1081"/>
      <c r="E1147" s="1205"/>
      <c r="F1147" s="1197"/>
    </row>
    <row r="1148" spans="1:6" ht="15.5">
      <c r="A1148" s="1084"/>
      <c r="B1148" s="1089"/>
      <c r="C1148" s="1089"/>
      <c r="D1148" s="1081"/>
      <c r="E1148" s="1205"/>
      <c r="F1148" s="1197"/>
    </row>
    <row r="1149" spans="1:6" ht="15.5">
      <c r="A1149" s="1084"/>
      <c r="B1149" s="1089"/>
      <c r="C1149" s="1089"/>
      <c r="D1149" s="1081"/>
      <c r="E1149" s="1205"/>
      <c r="F1149" s="1197"/>
    </row>
    <row r="1150" spans="1:6" ht="15.5">
      <c r="A1150" s="1084"/>
      <c r="B1150" s="1089"/>
      <c r="C1150" s="1089"/>
      <c r="D1150" s="1081"/>
      <c r="E1150" s="1205"/>
      <c r="F1150" s="1197"/>
    </row>
    <row r="1151" spans="1:6" ht="15.5">
      <c r="A1151" s="1084"/>
      <c r="B1151" s="1089"/>
      <c r="C1151" s="1089"/>
      <c r="D1151" s="1081"/>
      <c r="E1151" s="1205"/>
      <c r="F1151" s="1197"/>
    </row>
    <row r="1152" spans="1:6" ht="15.5">
      <c r="A1152" s="1084"/>
      <c r="B1152" s="1074"/>
      <c r="C1152" s="1074"/>
      <c r="D1152" s="1081"/>
      <c r="E1152" s="1205"/>
      <c r="F1152" s="1197"/>
    </row>
    <row r="1153" spans="1:6" ht="15.5">
      <c r="A1153" s="1084"/>
      <c r="B1153" s="1074"/>
      <c r="C1153" s="1074"/>
      <c r="D1153" s="1081"/>
      <c r="E1153" s="1205"/>
      <c r="F1153" s="1197"/>
    </row>
    <row r="1154" spans="1:6" ht="15.5">
      <c r="A1154" s="1084"/>
      <c r="B1154" s="1074"/>
      <c r="C1154" s="1074"/>
      <c r="D1154" s="1081"/>
      <c r="E1154" s="1205"/>
      <c r="F1154" s="1197"/>
    </row>
    <row r="1155" spans="1:6" ht="15.5">
      <c r="A1155" s="1084"/>
      <c r="B1155" s="1074"/>
      <c r="C1155" s="1074"/>
      <c r="D1155" s="1081"/>
      <c r="E1155" s="1205"/>
      <c r="F1155" s="1197"/>
    </row>
    <row r="1156" spans="1:6" ht="15.5">
      <c r="A1156" s="1084"/>
      <c r="B1156" s="1074"/>
      <c r="C1156" s="1074"/>
      <c r="D1156" s="1081"/>
      <c r="E1156" s="1205"/>
      <c r="F1156" s="1197"/>
    </row>
    <row r="1157" spans="1:6" ht="15.5">
      <c r="A1157" s="1084"/>
      <c r="B1157" s="1074"/>
      <c r="C1157" s="1074"/>
      <c r="D1157" s="1081"/>
      <c r="E1157" s="1205"/>
      <c r="F1157" s="1197"/>
    </row>
    <row r="1158" spans="1:6" ht="15.5">
      <c r="A1158" s="1084"/>
      <c r="B1158" s="1074"/>
      <c r="C1158" s="1074"/>
      <c r="D1158" s="1081"/>
      <c r="E1158" s="1205"/>
      <c r="F1158" s="1197"/>
    </row>
    <row r="1159" spans="1:6" ht="15.5">
      <c r="A1159" s="1084"/>
      <c r="B1159" s="1074"/>
      <c r="C1159" s="1074"/>
      <c r="D1159" s="1081"/>
      <c r="E1159" s="1205"/>
      <c r="F1159" s="1197"/>
    </row>
    <row r="1160" spans="1:6" ht="15.5">
      <c r="A1160" s="1084"/>
      <c r="B1160" s="1085"/>
      <c r="C1160" s="1085"/>
      <c r="D1160" s="1081"/>
      <c r="E1160" s="1205"/>
      <c r="F1160" s="1197"/>
    </row>
    <row r="1161" spans="1:6" ht="15.5">
      <c r="A1161" s="1404" t="s">
        <v>701</v>
      </c>
      <c r="B1161" s="1405"/>
      <c r="C1161" s="1087"/>
      <c r="D1161" s="1083">
        <f>SUM(D1141:D1159)</f>
        <v>2698414</v>
      </c>
      <c r="E1161" s="1206">
        <f>SUM(E1141:E1159)</f>
        <v>1504400</v>
      </c>
      <c r="F1161" s="1197"/>
    </row>
    <row r="1162" spans="1:6" ht="15.5">
      <c r="A1162" s="1064"/>
      <c r="B1162" s="1197"/>
      <c r="C1162" s="1197"/>
      <c r="D1162" s="1215"/>
      <c r="E1162" s="1197"/>
      <c r="F1162" s="1197"/>
    </row>
    <row r="1163" spans="1:6" ht="15.5">
      <c r="A1163" s="1068" t="s">
        <v>180</v>
      </c>
      <c r="B1163" s="1068"/>
      <c r="C1163" s="1065"/>
      <c r="D1163" s="1066"/>
      <c r="E1163" s="1065"/>
      <c r="F1163" s="1197"/>
    </row>
    <row r="1164" spans="1:6" ht="15.5">
      <c r="A1164" s="1069" t="s">
        <v>690</v>
      </c>
      <c r="B1164" s="1070" t="s">
        <v>691</v>
      </c>
      <c r="C1164" s="1070" t="s">
        <v>692</v>
      </c>
      <c r="D1164" s="1071">
        <v>2014</v>
      </c>
      <c r="E1164" s="1088">
        <v>2014</v>
      </c>
      <c r="F1164" s="1197"/>
    </row>
    <row r="1165" spans="1:6" ht="15.75" customHeight="1">
      <c r="A1165" s="1135" t="str">
        <f>'[93]Trial Balance'!A35</f>
        <v>3004</v>
      </c>
      <c r="B1165" s="1089" t="str">
        <f>VLOOKUP(A1165,'[93]Trial Balance'!$1:$1048576,2,FALSE)</f>
        <v>International Industries Ltd</v>
      </c>
      <c r="C1165" s="1089"/>
      <c r="D1165" s="1075">
        <f>VLOOKUP(A1165,'[93]Trial Balance'!$1:$1048576,9,FALSE)</f>
        <v>44306597</v>
      </c>
      <c r="E1165" s="1205" t="e">
        <f>VLOOKUP(A1165,'[94]Trial Balance'!$1:$1048576,9,FALSE)</f>
        <v>#N/A</v>
      </c>
      <c r="F1165" s="1197"/>
    </row>
    <row r="1166" spans="1:6" ht="15.75" customHeight="1">
      <c r="A1166" s="1135" t="str">
        <f>'[93]Trial Balance'!A36</f>
        <v>3007</v>
      </c>
      <c r="B1166" s="1089" t="str">
        <f>VLOOKUP(A1166,'[93]Trial Balance'!$1:$1048576,2,FALSE)</f>
        <v>Briter Chemicals Co.</v>
      </c>
      <c r="C1166" s="1089"/>
      <c r="D1166" s="1075">
        <f>VLOOKUP(A1166,'[93]Trial Balance'!$1:$1048576,9,FALSE)</f>
        <v>1250500</v>
      </c>
      <c r="E1166" s="1205" t="e">
        <f>VLOOKUP(A1166,'[94]Trial Balance'!$1:$1048576,9,FALSE)</f>
        <v>#N/A</v>
      </c>
      <c r="F1166" s="1197"/>
    </row>
    <row r="1167" spans="1:6" ht="15.75" customHeight="1">
      <c r="A1167" s="1135" t="str">
        <f>'[93]Trial Balance'!A37</f>
        <v>3008</v>
      </c>
      <c r="B1167" s="1089" t="str">
        <f>VLOOKUP(A1167,'[93]Trial Balance'!$1:$1048576,2,FALSE)</f>
        <v>New Shalimar Steel</v>
      </c>
      <c r="C1167" s="1089"/>
      <c r="D1167" s="1075">
        <f>VLOOKUP(A1167,'[93]Trial Balance'!$1:$1048576,9,FALSE)</f>
        <v>675009</v>
      </c>
      <c r="E1167" s="1205">
        <f>VLOOKUP(A1167,'[95]Trial Balance'!$1:$1048576,9,FALSE)</f>
        <v>2348363</v>
      </c>
      <c r="F1167" s="1197"/>
    </row>
    <row r="1168" spans="1:6" ht="15.75" customHeight="1">
      <c r="A1168" s="1135" t="str">
        <f>'[93]Trial Balance'!A38</f>
        <v>3010</v>
      </c>
      <c r="B1168" s="1089" t="str">
        <f>VLOOKUP(A1168,'[93]Trial Balance'!$1:$1048576,2,FALSE)</f>
        <v>New Light House (Pvt) Ltd</v>
      </c>
      <c r="C1168" s="1089"/>
      <c r="D1168" s="1075">
        <f>VLOOKUP(A1168,'[93]Trial Balance'!$1:$1048576,9,FALSE)</f>
        <v>379306</v>
      </c>
      <c r="E1168" s="1205">
        <f>VLOOKUP(A1168,'[95]Trial Balance'!$1:$1048576,9,FALSE)</f>
        <v>687147</v>
      </c>
      <c r="F1168" s="1197"/>
    </row>
    <row r="1169" spans="1:6" ht="15.75" customHeight="1">
      <c r="A1169" s="1135" t="str">
        <f>'[93]Trial Balance'!A39</f>
        <v>3013</v>
      </c>
      <c r="B1169" s="1089" t="str">
        <f>VLOOKUP(A1169,'[93]Trial Balance'!$1:$1048576,2,FALSE)</f>
        <v>Technocall Entarprises</v>
      </c>
      <c r="C1169" s="1089"/>
      <c r="D1169" s="1075">
        <f>VLOOKUP(A1169,'[93]Trial Balance'!$1:$1048576,9,FALSE)</f>
        <v>61356</v>
      </c>
      <c r="E1169" s="1205">
        <f>VLOOKUP(A1169,'[95]Trial Balance'!$1:$1048576,9,FALSE)</f>
        <v>13852</v>
      </c>
      <c r="F1169" s="1197"/>
    </row>
    <row r="1170" spans="1:6" ht="15.75" customHeight="1">
      <c r="A1170" s="1135" t="str">
        <f>'[93]Trial Balance'!A40</f>
        <v>3026</v>
      </c>
      <c r="B1170" s="1089" t="str">
        <f>VLOOKUP(A1170,'[93]Trial Balance'!$1:$1048576,2,FALSE)</f>
        <v>Omar Industries</v>
      </c>
      <c r="C1170" s="1089"/>
      <c r="D1170" s="1075">
        <f>VLOOKUP(A1170,'[93]Trial Balance'!$1:$1048576,9,FALSE)</f>
        <v>45249</v>
      </c>
      <c r="E1170" s="1205">
        <f>VLOOKUP(A1170,'[95]Trial Balance'!$1:$1048576,9,FALSE)</f>
        <v>8674</v>
      </c>
      <c r="F1170" s="1197"/>
    </row>
    <row r="1171" spans="1:6" ht="15.75" customHeight="1">
      <c r="A1171" s="1135" t="str">
        <f>'[93]Trial Balance'!A41</f>
        <v>3037</v>
      </c>
      <c r="B1171" s="1089" t="str">
        <f>VLOOKUP(A1171,'[93]Trial Balance'!$1:$1048576,2,FALSE)</f>
        <v>Tehama Packeges</v>
      </c>
      <c r="C1171" s="1089"/>
      <c r="D1171" s="1075">
        <f>VLOOKUP(A1171,'[93]Trial Balance'!$1:$1048576,9,FALSE)</f>
        <v>58214</v>
      </c>
      <c r="E1171" s="1205">
        <f>VLOOKUP(A1171,'[95]Trial Balance'!$1:$1048576,9,FALSE)</f>
        <v>27965</v>
      </c>
      <c r="F1171" s="1197"/>
    </row>
    <row r="1172" spans="1:6" ht="15.75" customHeight="1">
      <c r="A1172" s="1135" t="str">
        <f>'[93]Trial Balance'!A42</f>
        <v>3046</v>
      </c>
      <c r="B1172" s="1089" t="str">
        <f>VLOOKUP(A1172,'[93]Trial Balance'!$1:$1048576,2,FALSE)</f>
        <v>M Sharif &amp; Co.</v>
      </c>
      <c r="C1172" s="1089"/>
      <c r="D1172" s="1075">
        <f>VLOOKUP(A1172,'[93]Trial Balance'!$1:$1048576,9,FALSE)</f>
        <v>39053</v>
      </c>
      <c r="E1172" s="1205">
        <f>VLOOKUP(A1172,'[95]Trial Balance'!$1:$1048576,9,FALSE)</f>
        <v>39053</v>
      </c>
      <c r="F1172" s="1197"/>
    </row>
    <row r="1173" spans="1:6" ht="15.75" customHeight="1">
      <c r="A1173" s="1135" t="str">
        <f>'[93]Trial Balance'!A43</f>
        <v>3063</v>
      </c>
      <c r="B1173" s="1089" t="str">
        <f>VLOOKUP(A1173,'[93]Trial Balance'!$1:$1048576,2,FALSE)</f>
        <v>Akbari Chemicals</v>
      </c>
      <c r="C1173" s="1089"/>
      <c r="D1173" s="1075">
        <f>VLOOKUP(A1173,'[93]Trial Balance'!$1:$1048576,9,FALSE)</f>
        <v>0</v>
      </c>
      <c r="E1173" s="1205">
        <f>VLOOKUP(A1173,'[95]Trial Balance'!$1:$1048576,9,FALSE)</f>
        <v>0</v>
      </c>
      <c r="F1173" s="1197"/>
    </row>
    <row r="1174" spans="1:6" ht="15.75" customHeight="1">
      <c r="A1174" s="1135" t="str">
        <f>'[93]Trial Balance'!A44</f>
        <v>3065</v>
      </c>
      <c r="B1174" s="1089" t="str">
        <f>VLOOKUP(A1174,'[93]Trial Balance'!$1:$1048576,2,FALSE)</f>
        <v>Mushtaq Iron &amp; Steel</v>
      </c>
      <c r="C1174" s="1089"/>
      <c r="D1174" s="1075">
        <f>VLOOKUP(A1174,'[93]Trial Balance'!$1:$1048576,9,FALSE)</f>
        <v>0</v>
      </c>
      <c r="E1174" s="1205">
        <f>VLOOKUP(A1174,'[95]Trial Balance'!$1:$1048576,9,FALSE)</f>
        <v>0</v>
      </c>
      <c r="F1174" s="1197"/>
    </row>
    <row r="1175" spans="1:6" ht="15.75" customHeight="1">
      <c r="A1175" s="1135" t="str">
        <f>'[93]Trial Balance'!A45</f>
        <v>3066</v>
      </c>
      <c r="B1175" s="1089" t="str">
        <f>VLOOKUP(A1175,'[93]Trial Balance'!$1:$1048576,2,FALSE)</f>
        <v>Arif Brothers</v>
      </c>
      <c r="C1175" s="1089"/>
      <c r="D1175" s="1075">
        <f>VLOOKUP(A1175,'[93]Trial Balance'!$1:$1048576,9,FALSE)</f>
        <v>0</v>
      </c>
      <c r="E1175" s="1205">
        <f>VLOOKUP(A1175,'[95]Trial Balance'!$1:$1048576,9,FALSE)</f>
        <v>452445</v>
      </c>
      <c r="F1175" s="1197"/>
    </row>
    <row r="1176" spans="1:6" ht="15.75" customHeight="1">
      <c r="A1176" s="1135" t="str">
        <f>'[93]Trial Balance'!A46</f>
        <v>3067</v>
      </c>
      <c r="B1176" s="1089" t="str">
        <f>VLOOKUP(A1176,'[93]Trial Balance'!$1:$1048576,2,FALSE)</f>
        <v>Omer Industries</v>
      </c>
      <c r="C1176" s="1089"/>
      <c r="D1176" s="1075">
        <f>VLOOKUP(A1176,'[93]Trial Balance'!$1:$1048576,9,FALSE)</f>
        <v>9048</v>
      </c>
      <c r="E1176" s="1205">
        <f>VLOOKUP(A1176,'[95]Trial Balance'!$1:$1048576,9,FALSE)</f>
        <v>9048</v>
      </c>
      <c r="F1176" s="1197"/>
    </row>
    <row r="1177" spans="1:6" ht="15.75" customHeight="1">
      <c r="A1177" s="1135" t="str">
        <f>'[93]Trial Balance'!A47</f>
        <v>3073</v>
      </c>
      <c r="B1177" s="1089" t="str">
        <f>VLOOKUP(A1177,'[93]Trial Balance'!$1:$1048576,2,FALSE)</f>
        <v>Mohsin Machinery Store</v>
      </c>
      <c r="C1177" s="1089"/>
      <c r="D1177" s="1075">
        <f>VLOOKUP(A1177,'[93]Trial Balance'!$1:$1048576,9,FALSE)</f>
        <v>120000</v>
      </c>
      <c r="E1177" s="1205">
        <f>VLOOKUP(A1177,'[95]Trial Balance'!$1:$1048576,9,FALSE)</f>
        <v>120000</v>
      </c>
      <c r="F1177" s="1197"/>
    </row>
    <row r="1178" spans="1:6" ht="15.75" customHeight="1">
      <c r="A1178" s="1135" t="str">
        <f>'[93]Trial Balance'!A48</f>
        <v>3076</v>
      </c>
      <c r="B1178" s="1089" t="str">
        <f>VLOOKUP(A1178,'[93]Trial Balance'!$1:$1048576,2,FALSE)</f>
        <v>A &amp; A Pipe Industries</v>
      </c>
      <c r="C1178" s="1089"/>
      <c r="D1178" s="1075">
        <f>VLOOKUP(A1178,'[93]Trial Balance'!$1:$1048576,9,FALSE)</f>
        <v>0</v>
      </c>
      <c r="E1178" s="1205">
        <f>VLOOKUP(A1178,'[95]Trial Balance'!$1:$1048576,9,FALSE)</f>
        <v>1857856</v>
      </c>
      <c r="F1178" s="1197"/>
    </row>
    <row r="1179" spans="1:6" ht="15.75" customHeight="1">
      <c r="A1179" s="1135" t="str">
        <f>'[93]Trial Balance'!A49</f>
        <v>3077</v>
      </c>
      <c r="B1179" s="1089" t="str">
        <f>VLOOKUP(A1179,'[93]Trial Balance'!$1:$1048576,2,FALSE)</f>
        <v>Usman International</v>
      </c>
      <c r="C1179" s="1089"/>
      <c r="D1179" s="1075">
        <f>VLOOKUP(A1179,'[93]Trial Balance'!$1:$1048576,9,FALSE)</f>
        <v>10626</v>
      </c>
      <c r="E1179" s="1205">
        <f>VLOOKUP(A1179,'[95]Trial Balance'!$1:$1048576,9,FALSE)</f>
        <v>477282</v>
      </c>
      <c r="F1179" s="1197"/>
    </row>
    <row r="1180" spans="1:6" ht="15.75" customHeight="1">
      <c r="A1180" s="1135" t="str">
        <f>'[93]Trial Balance'!A50</f>
        <v>3079</v>
      </c>
      <c r="B1180" s="1089" t="str">
        <f>VLOOKUP(A1180,'[93]Trial Balance'!$1:$1048576,2,FALSE)</f>
        <v>Arif Steel Centre</v>
      </c>
      <c r="C1180" s="1089"/>
      <c r="D1180" s="1075">
        <f>VLOOKUP(A1180,'[93]Trial Balance'!$1:$1048576,9,FALSE)</f>
        <v>164076</v>
      </c>
      <c r="E1180" s="1205">
        <f>VLOOKUP(A1180,'[95]Trial Balance'!$1:$1048576,9,FALSE)</f>
        <v>164076</v>
      </c>
      <c r="F1180" s="1197"/>
    </row>
    <row r="1181" spans="1:6" ht="15.75" customHeight="1">
      <c r="A1181" s="1135" t="str">
        <f>'[93]Trial Balance'!A51</f>
        <v>3084</v>
      </c>
      <c r="B1181" s="1089" t="str">
        <f>VLOOKUP(A1181,'[93]Trial Balance'!$1:$1048576,2,FALSE)</f>
        <v>QAMAR Steel Traders</v>
      </c>
      <c r="C1181" s="1089"/>
      <c r="D1181" s="1075">
        <f>VLOOKUP(A1181,'[93]Trial Balance'!$1:$1048576,9,FALSE)</f>
        <v>518998</v>
      </c>
      <c r="E1181" s="1205"/>
      <c r="F1181" s="1197"/>
    </row>
    <row r="1182" spans="1:6" ht="15.75" customHeight="1">
      <c r="A1182" s="1135" t="str">
        <f>'[93]Trial Balance'!A52</f>
        <v>3085</v>
      </c>
      <c r="B1182" s="1089" t="str">
        <f>VLOOKUP(A1182,'[93]Trial Balance'!$1:$1048576,2,FALSE)</f>
        <v>Automate Pakistan</v>
      </c>
      <c r="C1182" s="1089"/>
      <c r="D1182" s="1075">
        <f>VLOOKUP(A1182,'[93]Trial Balance'!$1:$1048576,9,FALSE)</f>
        <v>141727</v>
      </c>
      <c r="E1182" s="1205"/>
      <c r="F1182" s="1197"/>
    </row>
    <row r="1183" spans="1:6" ht="15.75" customHeight="1">
      <c r="A1183" s="1135" t="str">
        <f>'[93]Trial Balance'!A53</f>
        <v>3006</v>
      </c>
      <c r="B1183" s="1089" t="str">
        <f>VLOOKUP(A1183,'[93]Trial Balance'!$1:$1048576,2,FALSE)</f>
        <v>Briter Engineering Co.</v>
      </c>
      <c r="C1183" s="1089"/>
      <c r="D1183" s="1075">
        <f>VLOOKUP(A1183,'[93]Trial Balance'!$1:$1048576,9,FALSE)</f>
        <v>38</v>
      </c>
      <c r="E1183" s="1205">
        <f>VLOOKUP(A1183,'[95]Trial Balance'!$1:$1048576,9,FALSE)</f>
        <v>0</v>
      </c>
      <c r="F1183" s="1197"/>
    </row>
    <row r="1184" spans="1:6" ht="15.75" customHeight="1">
      <c r="A1184" s="1135" t="str">
        <f>'[93]Trial Balance'!A54</f>
        <v>3009</v>
      </c>
      <c r="B1184" s="1089" t="str">
        <f>VLOOKUP(A1184,'[93]Trial Balance'!$1:$1048576,2,FALSE)</f>
        <v>Shalimar Steel Re Rolling</v>
      </c>
      <c r="C1184" s="1089"/>
      <c r="D1184" s="1075">
        <f>VLOOKUP(A1184,'[93]Trial Balance'!$1:$1048576,9,FALSE)</f>
        <v>14501</v>
      </c>
      <c r="E1184" s="1205">
        <f>VLOOKUP(A1184,'[95]Trial Balance'!$1:$1048576,9,FALSE)</f>
        <v>0</v>
      </c>
      <c r="F1184" s="1197"/>
    </row>
    <row r="1185" spans="1:6" ht="15.75" customHeight="1">
      <c r="A1185" s="1135" t="str">
        <f>'[93]Trial Balance'!A55</f>
        <v>3044</v>
      </c>
      <c r="B1185" s="1089" t="str">
        <f>VLOOKUP(A1185,'[93]Trial Balance'!$1:$1048576,2,FALSE)</f>
        <v>Total Parco</v>
      </c>
      <c r="C1185" s="1089"/>
      <c r="D1185" s="1075">
        <f>VLOOKUP(A1185,'[93]Trial Balance'!$1:$1048576,9,FALSE)</f>
        <v>49018</v>
      </c>
      <c r="E1185" s="1205">
        <f>VLOOKUP(A1185,'[95]Trial Balance'!$1:$1048576,9,FALSE)</f>
        <v>0</v>
      </c>
      <c r="F1185" s="1197"/>
    </row>
    <row r="1186" spans="1:6" ht="15.75" customHeight="1">
      <c r="A1186" s="1135" t="str">
        <f>'[93]Trial Balance'!A56</f>
        <v>3048</v>
      </c>
      <c r="B1186" s="1089" t="str">
        <f>VLOOKUP(A1186,'[93]Trial Balance'!$1:$1048576,2,FALSE)</f>
        <v>Insha Industries</v>
      </c>
      <c r="C1186" s="1089"/>
      <c r="D1186" s="1075">
        <f>VLOOKUP(A1186,'[93]Trial Balance'!$1:$1048576,9,FALSE)</f>
        <v>216881</v>
      </c>
      <c r="E1186" s="1205">
        <f>VLOOKUP(A1186,'[95]Trial Balance'!$1:$1048576,9,FALSE)</f>
        <v>0</v>
      </c>
      <c r="F1186" s="1197"/>
    </row>
    <row r="1187" spans="1:6" ht="15.75" customHeight="1">
      <c r="A1187" s="1135"/>
      <c r="B1187" s="1074" t="s">
        <v>820</v>
      </c>
      <c r="C1187" s="1074"/>
      <c r="D1187" s="1081">
        <v>0</v>
      </c>
      <c r="E1187" s="1205">
        <v>6504542</v>
      </c>
      <c r="F1187" s="1197"/>
    </row>
    <row r="1188" spans="1:6" ht="15.75" customHeight="1">
      <c r="A1188" s="1135"/>
      <c r="B1188" s="1074" t="s">
        <v>821</v>
      </c>
      <c r="C1188" s="1074"/>
      <c r="D1188" s="1081">
        <v>0</v>
      </c>
      <c r="E1188" s="1205">
        <v>47271</v>
      </c>
      <c r="F1188" s="1197"/>
    </row>
    <row r="1189" spans="1:6" ht="15.75" customHeight="1">
      <c r="A1189" s="1135"/>
      <c r="B1189" s="1074" t="s">
        <v>822</v>
      </c>
      <c r="C1189" s="1074"/>
      <c r="D1189" s="1081">
        <v>0</v>
      </c>
      <c r="E1189" s="1205">
        <v>2</v>
      </c>
      <c r="F1189" s="1197"/>
    </row>
    <row r="1190" spans="1:6" ht="15.75" customHeight="1">
      <c r="A1190" s="1135"/>
      <c r="B1190" s="1074" t="s">
        <v>823</v>
      </c>
      <c r="C1190" s="1074"/>
      <c r="D1190" s="1081">
        <v>0</v>
      </c>
      <c r="E1190" s="1205">
        <v>462453</v>
      </c>
      <c r="F1190" s="1197"/>
    </row>
    <row r="1191" spans="1:6" ht="15.5">
      <c r="A1191" s="1135"/>
      <c r="B1191" s="1074"/>
      <c r="C1191" s="1074"/>
      <c r="D1191" s="1081"/>
      <c r="E1191" s="1205"/>
      <c r="F1191" s="1197"/>
    </row>
    <row r="1192" spans="1:6" ht="15.5">
      <c r="A1192" s="1135"/>
      <c r="B1192" s="1085"/>
      <c r="C1192" s="1085"/>
      <c r="D1192" s="1081"/>
      <c r="E1192" s="1205"/>
      <c r="F1192" s="1197"/>
    </row>
    <row r="1193" spans="1:6" ht="15.5">
      <c r="A1193" s="1404" t="s">
        <v>701</v>
      </c>
      <c r="B1193" s="1405"/>
      <c r="C1193" s="1087"/>
      <c r="D1193" s="1083">
        <f>SUM(D1165:D1187)</f>
        <v>48060197</v>
      </c>
      <c r="E1193" s="1206" t="e">
        <f>SUM(E1165:E1190)</f>
        <v>#N/A</v>
      </c>
      <c r="F1193" s="1197"/>
    </row>
    <row r="1194" spans="1:6" ht="15.5">
      <c r="A1194" s="1064"/>
      <c r="B1194" s="1197"/>
      <c r="C1194" s="1197"/>
      <c r="D1194" s="1215"/>
      <c r="E1194" s="1197"/>
      <c r="F1194" s="1197"/>
    </row>
    <row r="1195" spans="1:6" ht="15.5">
      <c r="A1195" s="1068" t="s">
        <v>824</v>
      </c>
      <c r="B1195" s="1068"/>
      <c r="C1195" s="1065"/>
      <c r="D1195" s="1066"/>
      <c r="E1195" s="1065"/>
      <c r="F1195" s="1197"/>
    </row>
    <row r="1196" spans="1:6" ht="15.5">
      <c r="A1196" s="1069" t="s">
        <v>690</v>
      </c>
      <c r="B1196" s="1070" t="s">
        <v>691</v>
      </c>
      <c r="C1196" s="1070" t="s">
        <v>692</v>
      </c>
      <c r="D1196" s="1071">
        <v>2014</v>
      </c>
      <c r="E1196" s="1088">
        <v>2013</v>
      </c>
      <c r="F1196" s="1197"/>
    </row>
    <row r="1197" spans="1:6" ht="15.75" customHeight="1">
      <c r="A1197" s="1135" t="s">
        <v>825</v>
      </c>
      <c r="B1197" s="1089" t="str">
        <f>VLOOKUP(A1197,'[93]Trial Balance'!$1:$1048576,2,FALSE)</f>
        <v>Employees Salary P/B</v>
      </c>
      <c r="C1197" s="1089"/>
      <c r="D1197" s="1075">
        <f>VLOOKUP(A1197,'[93]Trial Balance'!$1:$1048576,9,FALSE)</f>
        <v>1122792</v>
      </c>
      <c r="E1197" s="1205">
        <v>888183</v>
      </c>
      <c r="F1197" s="1197"/>
    </row>
    <row r="1198" spans="1:6" ht="15.75" customHeight="1">
      <c r="A1198" s="1135" t="s">
        <v>826</v>
      </c>
      <c r="B1198" s="1089" t="str">
        <f>VLOOKUP(A1198,'[93]Trial Balance'!$1:$1048576,2,FALSE)</f>
        <v>Staff Salary P/B</v>
      </c>
      <c r="C1198" s="1089"/>
      <c r="D1198" s="1075">
        <f>VLOOKUP(A1198,'[93]Trial Balance'!$1:$1048576,9,FALSE)</f>
        <v>453216</v>
      </c>
      <c r="E1198" s="1205">
        <v>375730</v>
      </c>
      <c r="F1198" s="1197"/>
    </row>
    <row r="1199" spans="1:6" ht="15.75" customHeight="1">
      <c r="A1199" s="1135" t="s">
        <v>827</v>
      </c>
      <c r="B1199" s="1089" t="str">
        <f>VLOOKUP(A1199,'[93]Trial Balance'!$1:$1048576,2,FALSE)</f>
        <v>Directors Salary P/B</v>
      </c>
      <c r="C1199" s="1089"/>
      <c r="D1199" s="1075">
        <f>VLOOKUP(A1199,'[93]Trial Balance'!$1:$1048576,9,FALSE)</f>
        <v>273000</v>
      </c>
      <c r="E1199" s="1205">
        <v>296000</v>
      </c>
      <c r="F1199" s="1197"/>
    </row>
    <row r="1200" spans="1:6" ht="15.5">
      <c r="A1200" s="1135"/>
      <c r="B1200" s="1089"/>
      <c r="C1200" s="1089"/>
      <c r="D1200" s="1075"/>
      <c r="E1200" s="1205"/>
      <c r="F1200" s="1197"/>
    </row>
    <row r="1201" spans="1:6" ht="15.5">
      <c r="A1201" s="1135"/>
      <c r="B1201" s="1089"/>
      <c r="C1201" s="1089"/>
      <c r="D1201" s="1075"/>
      <c r="E1201" s="1205"/>
      <c r="F1201" s="1197"/>
    </row>
    <row r="1202" spans="1:6" ht="15.5">
      <c r="A1202" s="1135"/>
      <c r="B1202" s="1089"/>
      <c r="C1202" s="1089"/>
      <c r="D1202" s="1075"/>
      <c r="E1202" s="1205"/>
      <c r="F1202" s="1197"/>
    </row>
    <row r="1203" spans="1:6" ht="15.5">
      <c r="A1203" s="1135"/>
      <c r="B1203" s="1089"/>
      <c r="C1203" s="1089"/>
      <c r="D1203" s="1075"/>
      <c r="E1203" s="1205"/>
      <c r="F1203" s="1197"/>
    </row>
    <row r="1204" spans="1:6" ht="15.5">
      <c r="A1204" s="1135"/>
      <c r="B1204" s="1089"/>
      <c r="C1204" s="1089"/>
      <c r="D1204" s="1075"/>
      <c r="E1204" s="1205"/>
      <c r="F1204" s="1197"/>
    </row>
    <row r="1205" spans="1:6" ht="15.5">
      <c r="A1205" s="1135"/>
      <c r="B1205" s="1089"/>
      <c r="C1205" s="1089"/>
      <c r="D1205" s="1075"/>
      <c r="E1205" s="1205"/>
      <c r="F1205" s="1197"/>
    </row>
    <row r="1206" spans="1:6" ht="15.5">
      <c r="A1206" s="1135"/>
      <c r="B1206" s="1089"/>
      <c r="C1206" s="1089"/>
      <c r="D1206" s="1075"/>
      <c r="E1206" s="1205"/>
      <c r="F1206" s="1197"/>
    </row>
    <row r="1207" spans="1:6" ht="15.5">
      <c r="A1207" s="1135"/>
      <c r="B1207" s="1089"/>
      <c r="C1207" s="1089"/>
      <c r="D1207" s="1075"/>
      <c r="E1207" s="1205"/>
      <c r="F1207" s="1197"/>
    </row>
    <row r="1208" spans="1:6" ht="15.5">
      <c r="A1208" s="1135"/>
      <c r="B1208" s="1089"/>
      <c r="C1208" s="1089"/>
      <c r="D1208" s="1075"/>
      <c r="E1208" s="1205"/>
      <c r="F1208" s="1197"/>
    </row>
    <row r="1209" spans="1:6" ht="15.5">
      <c r="A1209" s="1135"/>
      <c r="B1209" s="1089"/>
      <c r="C1209" s="1089"/>
      <c r="D1209" s="1075"/>
      <c r="E1209" s="1205"/>
      <c r="F1209" s="1197"/>
    </row>
    <row r="1210" spans="1:6" ht="15.5">
      <c r="A1210" s="1135"/>
      <c r="B1210" s="1089"/>
      <c r="C1210" s="1089"/>
      <c r="D1210" s="1075"/>
      <c r="E1210" s="1205"/>
      <c r="F1210" s="1197"/>
    </row>
    <row r="1211" spans="1:6" ht="15.5">
      <c r="A1211" s="1135"/>
      <c r="B1211" s="1089"/>
      <c r="C1211" s="1089"/>
      <c r="D1211" s="1075"/>
      <c r="E1211" s="1205"/>
      <c r="F1211" s="1197"/>
    </row>
    <row r="1212" spans="1:6" ht="15.5">
      <c r="A1212" s="1135"/>
      <c r="B1212" s="1089"/>
      <c r="C1212" s="1089"/>
      <c r="D1212" s="1075"/>
      <c r="E1212" s="1205"/>
      <c r="F1212" s="1197"/>
    </row>
    <row r="1213" spans="1:6" ht="15.5">
      <c r="A1213" s="1135"/>
      <c r="B1213" s="1089"/>
      <c r="C1213" s="1089"/>
      <c r="D1213" s="1075"/>
      <c r="E1213" s="1205"/>
      <c r="F1213" s="1197"/>
    </row>
    <row r="1214" spans="1:6" ht="15.5">
      <c r="A1214" s="1135"/>
      <c r="B1214" s="1074"/>
      <c r="C1214" s="1074"/>
      <c r="D1214" s="1081"/>
      <c r="E1214" s="1205"/>
      <c r="F1214" s="1197"/>
    </row>
    <row r="1215" spans="1:6" ht="15.5">
      <c r="A1215" s="1135"/>
      <c r="B1215" s="1074"/>
      <c r="C1215" s="1074"/>
      <c r="D1215" s="1081"/>
      <c r="E1215" s="1205"/>
      <c r="F1215" s="1197"/>
    </row>
    <row r="1216" spans="1:6" ht="15.5">
      <c r="A1216" s="1135"/>
      <c r="B1216" s="1085"/>
      <c r="C1216" s="1085"/>
      <c r="D1216" s="1081"/>
      <c r="E1216" s="1205"/>
      <c r="F1216" s="1197"/>
    </row>
    <row r="1217" spans="1:6" ht="15.5">
      <c r="A1217" s="1404" t="s">
        <v>701</v>
      </c>
      <c r="B1217" s="1405"/>
      <c r="C1217" s="1087"/>
      <c r="D1217" s="1083">
        <f>SUM(D1197:D1213)</f>
        <v>1849008</v>
      </c>
      <c r="E1217" s="1206">
        <f>SUM(E1197:E1214)</f>
        <v>1559913</v>
      </c>
      <c r="F1217" s="1197"/>
    </row>
    <row r="1218" spans="1:6" ht="15.5">
      <c r="A1218" s="1064"/>
      <c r="B1218" s="1197"/>
      <c r="C1218" s="1197"/>
      <c r="D1218" s="1215"/>
      <c r="E1218" s="1197"/>
      <c r="F1218" s="1197"/>
    </row>
    <row r="1219" spans="1:6" ht="15.5">
      <c r="A1219" s="1068" t="s">
        <v>828</v>
      </c>
      <c r="B1219" s="1068"/>
      <c r="C1219" s="1065"/>
      <c r="D1219" s="1066"/>
      <c r="E1219" s="1065"/>
      <c r="F1219" s="1197"/>
    </row>
    <row r="1220" spans="1:6" ht="15.5">
      <c r="A1220" s="1069" t="s">
        <v>690</v>
      </c>
      <c r="B1220" s="1070" t="s">
        <v>691</v>
      </c>
      <c r="C1220" s="1070" t="s">
        <v>692</v>
      </c>
      <c r="D1220" s="1071">
        <v>2014</v>
      </c>
      <c r="E1220" s="1088">
        <v>2013</v>
      </c>
      <c r="F1220" s="1197"/>
    </row>
    <row r="1221" spans="1:6" ht="15.75" customHeight="1">
      <c r="A1221" s="1135" t="s">
        <v>829</v>
      </c>
      <c r="B1221" s="1089" t="str">
        <f>VLOOKUP(A1221,'[93]Trial Balance'!$1:$1048576,2,FALSE)</f>
        <v>Telephone Payable -131</v>
      </c>
      <c r="C1221" s="1089"/>
      <c r="D1221" s="1075">
        <f>VLOOKUP(A1221,'[93]Trial Balance'!$1:$1048576,9,FALSE)</f>
        <v>9101</v>
      </c>
      <c r="E1221" s="1205">
        <v>13381</v>
      </c>
      <c r="F1221" s="1197"/>
    </row>
    <row r="1222" spans="1:6" ht="15.75" customHeight="1">
      <c r="A1222" s="1135" t="s">
        <v>830</v>
      </c>
      <c r="B1222" s="1089" t="str">
        <f>VLOOKUP(A1222,'[93]Trial Balance'!$1:$1048576,2,FALSE)</f>
        <v>Telephone Payable -132</v>
      </c>
      <c r="C1222" s="1089"/>
      <c r="D1222" s="1075">
        <f>VLOOKUP(A1222,'[93]Trial Balance'!$1:$1048576,9,FALSE)</f>
        <v>50</v>
      </c>
      <c r="E1222" s="1205">
        <v>280</v>
      </c>
      <c r="F1222" s="1197"/>
    </row>
    <row r="1223" spans="1:6" ht="15.75" customHeight="1">
      <c r="A1223" s="1135" t="s">
        <v>831</v>
      </c>
      <c r="B1223" s="1089" t="str">
        <f>VLOOKUP(A1223,'[93]Trial Balance'!$1:$1048576,2,FALSE)</f>
        <v>Telephone Payable -898</v>
      </c>
      <c r="C1223" s="1089"/>
      <c r="D1223" s="1075">
        <f>VLOOKUP(A1223,'[93]Trial Balance'!$1:$1048576,9,FALSE)</f>
        <v>170</v>
      </c>
      <c r="E1223" s="1205">
        <v>3210</v>
      </c>
      <c r="F1223" s="1197"/>
    </row>
    <row r="1224" spans="1:6" ht="15.75" customHeight="1">
      <c r="A1224" s="1135" t="s">
        <v>832</v>
      </c>
      <c r="B1224" s="1089" t="str">
        <f>VLOOKUP(A1224,'[93]Trial Balance'!$1:$1048576,2,FALSE)</f>
        <v>Electricity Payable 60-M</v>
      </c>
      <c r="C1224" s="1089"/>
      <c r="D1224" s="1075">
        <f>VLOOKUP(A1224,'[93]Trial Balance'!$1:$1048576,9,FALSE)</f>
        <v>23113</v>
      </c>
      <c r="E1224" s="1205">
        <v>22316</v>
      </c>
      <c r="F1224" s="1197"/>
    </row>
    <row r="1225" spans="1:6" ht="15.75" customHeight="1">
      <c r="A1225" s="1135" t="s">
        <v>833</v>
      </c>
      <c r="B1225" s="1089" t="str">
        <f>VLOOKUP(A1225,'[93]Trial Balance'!$1:$1048576,2,FALSE)</f>
        <v>Electricity Payable 131-S</v>
      </c>
      <c r="C1225" s="1089"/>
      <c r="D1225" s="1075">
        <f>VLOOKUP(A1225,'[93]Trial Balance'!$1:$1048576,9,FALSE)</f>
        <v>447502</v>
      </c>
      <c r="E1225" s="1205">
        <v>485793</v>
      </c>
      <c r="F1225" s="1197"/>
    </row>
    <row r="1226" spans="1:6" ht="15.75" customHeight="1">
      <c r="A1226" s="1135" t="s">
        <v>834</v>
      </c>
      <c r="B1226" s="1089" t="str">
        <f>VLOOKUP(A1226,'[93]Trial Balance'!$1:$1048576,2,FALSE)</f>
        <v>SUI Gas Payable</v>
      </c>
      <c r="C1226" s="1089"/>
      <c r="D1226" s="1075">
        <f>VLOOKUP(A1226,'[93]Trial Balance'!$1:$1048576,9,FALSE)</f>
        <v>71377</v>
      </c>
      <c r="E1226" s="1205">
        <v>91059</v>
      </c>
      <c r="F1226" s="1197"/>
    </row>
    <row r="1227" spans="1:6" ht="15.75" customHeight="1">
      <c r="A1227" s="1135" t="s">
        <v>835</v>
      </c>
      <c r="B1227" s="1089" t="str">
        <f>VLOOKUP(A1227,'[93]Trial Balance'!$1:$1048576,2,FALSE)</f>
        <v>Telephone Payable 60-M</v>
      </c>
      <c r="C1227" s="1089"/>
      <c r="D1227" s="1075">
        <f>VLOOKUP(A1227,'[93]Trial Balance'!$1:$1048576,9,FALSE)</f>
        <v>240</v>
      </c>
      <c r="E1227" s="1205">
        <v>1110</v>
      </c>
      <c r="F1227" s="1197"/>
    </row>
    <row r="1228" spans="1:6" ht="15.75" customHeight="1">
      <c r="A1228" s="1135" t="s">
        <v>836</v>
      </c>
      <c r="B1228" s="1089" t="str">
        <f>VLOOKUP(A1228,'[93]Trial Balance'!$1:$1048576,2,FALSE)</f>
        <v>PTCL Bill Payable 60-M (5675)</v>
      </c>
      <c r="C1228" s="1089"/>
      <c r="D1228" s="1075">
        <f>VLOOKUP(A1228,'[93]Trial Balance'!$1:$1048576,9,FALSE)</f>
        <v>0</v>
      </c>
      <c r="E1228" s="1205">
        <v>630</v>
      </c>
      <c r="F1228" s="1197"/>
    </row>
    <row r="1229" spans="1:6" ht="15.75" customHeight="1">
      <c r="A1229" s="1135"/>
      <c r="B1229" s="1089" t="s">
        <v>837</v>
      </c>
      <c r="C1229" s="1089"/>
      <c r="D1229" s="1075">
        <f>'[93]Trial Balance'!I26</f>
        <v>10929</v>
      </c>
      <c r="E1229" s="1205">
        <v>0</v>
      </c>
      <c r="F1229" s="1197"/>
    </row>
    <row r="1230" spans="1:6" ht="15.75" customHeight="1">
      <c r="A1230" s="1135" t="s">
        <v>838</v>
      </c>
      <c r="B1230" s="1089" t="str">
        <f>VLOOKUP(A1230,'[93]Trial Balance'!$1:$1048576,2,FALSE)</f>
        <v>PTCL Bill Payable 60-M (5676)</v>
      </c>
      <c r="C1230" s="1089"/>
      <c r="D1230" s="1075">
        <f>VLOOKUP(A1230,'[93]Trial Balance'!$1:$1048576,9,FALSE)</f>
        <v>380</v>
      </c>
      <c r="E1230" s="1205">
        <v>2760</v>
      </c>
      <c r="F1230" s="1197"/>
    </row>
    <row r="1231" spans="1:6" ht="15.5">
      <c r="A1231" s="1135"/>
      <c r="B1231" s="1089"/>
      <c r="C1231" s="1089"/>
      <c r="D1231" s="1075"/>
      <c r="E1231" s="1205"/>
      <c r="F1231" s="1197"/>
    </row>
    <row r="1232" spans="1:6" ht="15.5">
      <c r="A1232" s="1135"/>
      <c r="B1232" s="1089"/>
      <c r="C1232" s="1089"/>
      <c r="D1232" s="1075"/>
      <c r="E1232" s="1205"/>
      <c r="F1232" s="1197"/>
    </row>
    <row r="1233" spans="1:6" ht="15.5">
      <c r="A1233" s="1135"/>
      <c r="B1233" s="1089"/>
      <c r="C1233" s="1089"/>
      <c r="D1233" s="1075"/>
      <c r="E1233" s="1205"/>
      <c r="F1233" s="1197"/>
    </row>
    <row r="1234" spans="1:6" ht="15.5">
      <c r="A1234" s="1135"/>
      <c r="B1234" s="1089"/>
      <c r="C1234" s="1089"/>
      <c r="D1234" s="1075"/>
      <c r="E1234" s="1205"/>
      <c r="F1234" s="1197"/>
    </row>
    <row r="1235" spans="1:6" ht="15.5">
      <c r="A1235" s="1135"/>
      <c r="B1235" s="1089"/>
      <c r="C1235" s="1089"/>
      <c r="D1235" s="1075"/>
      <c r="E1235" s="1205"/>
      <c r="F1235" s="1197"/>
    </row>
    <row r="1236" spans="1:6" ht="15.5">
      <c r="A1236" s="1135"/>
      <c r="B1236" s="1089"/>
      <c r="C1236" s="1089"/>
      <c r="D1236" s="1075"/>
      <c r="E1236" s="1205"/>
      <c r="F1236" s="1197"/>
    </row>
    <row r="1237" spans="1:6" ht="15.5">
      <c r="A1237" s="1135"/>
      <c r="B1237" s="1089"/>
      <c r="C1237" s="1089"/>
      <c r="D1237" s="1075"/>
      <c r="E1237" s="1205"/>
      <c r="F1237" s="1197"/>
    </row>
    <row r="1238" spans="1:6" ht="15.5">
      <c r="A1238" s="1135"/>
      <c r="B1238" s="1089"/>
      <c r="C1238" s="1089"/>
      <c r="D1238" s="1075"/>
      <c r="E1238" s="1205"/>
      <c r="F1238" s="1197"/>
    </row>
    <row r="1239" spans="1:6" ht="15.5">
      <c r="A1239" s="1135"/>
      <c r="B1239" s="1089"/>
      <c r="C1239" s="1089"/>
      <c r="D1239" s="1075"/>
      <c r="E1239" s="1205"/>
      <c r="F1239" s="1197"/>
    </row>
    <row r="1240" spans="1:6" ht="15.5">
      <c r="A1240" s="1135"/>
      <c r="B1240" s="1089"/>
      <c r="C1240" s="1089"/>
      <c r="D1240" s="1075"/>
      <c r="E1240" s="1205"/>
      <c r="F1240" s="1197"/>
    </row>
    <row r="1241" spans="1:6" ht="15.5">
      <c r="A1241" s="1135"/>
      <c r="B1241" s="1089"/>
      <c r="C1241" s="1089"/>
      <c r="D1241" s="1075"/>
      <c r="E1241" s="1205"/>
      <c r="F1241" s="1197"/>
    </row>
    <row r="1242" spans="1:6" ht="15.5">
      <c r="A1242" s="1135"/>
      <c r="B1242" s="1089"/>
      <c r="C1242" s="1089"/>
      <c r="D1242" s="1075"/>
      <c r="E1242" s="1205"/>
      <c r="F1242" s="1197"/>
    </row>
    <row r="1243" spans="1:6" ht="15.5">
      <c r="A1243" s="1135"/>
      <c r="B1243" s="1074"/>
      <c r="C1243" s="1074"/>
      <c r="D1243" s="1081"/>
      <c r="E1243" s="1205"/>
      <c r="F1243" s="1197"/>
    </row>
    <row r="1244" spans="1:6" ht="15.5">
      <c r="A1244" s="1135"/>
      <c r="B1244" s="1074"/>
      <c r="C1244" s="1074"/>
      <c r="D1244" s="1081"/>
      <c r="E1244" s="1205"/>
      <c r="F1244" s="1197"/>
    </row>
    <row r="1245" spans="1:6" ht="15.5">
      <c r="A1245" s="1135"/>
      <c r="B1245" s="1074"/>
      <c r="C1245" s="1074"/>
      <c r="D1245" s="1081"/>
      <c r="E1245" s="1205"/>
      <c r="F1245" s="1197"/>
    </row>
    <row r="1246" spans="1:6" ht="15.5">
      <c r="A1246" s="1135"/>
      <c r="B1246" s="1074"/>
      <c r="C1246" s="1074"/>
      <c r="D1246" s="1081"/>
      <c r="E1246" s="1205"/>
      <c r="F1246" s="1197"/>
    </row>
    <row r="1247" spans="1:6" ht="15.5">
      <c r="A1247" s="1135"/>
      <c r="B1247" s="1074"/>
      <c r="C1247" s="1074"/>
      <c r="D1247" s="1081"/>
      <c r="E1247" s="1205"/>
      <c r="F1247" s="1197"/>
    </row>
    <row r="1248" spans="1:6" ht="15.5">
      <c r="A1248" s="1135"/>
      <c r="B1248" s="1085"/>
      <c r="C1248" s="1085"/>
      <c r="D1248" s="1081"/>
      <c r="E1248" s="1205"/>
      <c r="F1248" s="1197"/>
    </row>
    <row r="1249" spans="1:6" ht="15.5">
      <c r="A1249" s="1404" t="s">
        <v>701</v>
      </c>
      <c r="B1249" s="1405"/>
      <c r="C1249" s="1087"/>
      <c r="D1249" s="1083">
        <f>SUM(D1221:D1243)</f>
        <v>562862</v>
      </c>
      <c r="E1249" s="1206">
        <f>SUM(E1221:E1246)</f>
        <v>620539</v>
      </c>
      <c r="F1249" s="1197"/>
    </row>
    <row r="1250" spans="1:6" ht="15.5">
      <c r="A1250" s="1064"/>
      <c r="B1250" s="1197"/>
      <c r="C1250" s="1197"/>
      <c r="D1250" s="1215"/>
      <c r="E1250" s="1197"/>
      <c r="F1250" s="1197"/>
    </row>
    <row r="1251" spans="1:6" ht="15.5">
      <c r="A1251" s="1068" t="s">
        <v>839</v>
      </c>
      <c r="B1251" s="1068"/>
      <c r="C1251" s="1065"/>
      <c r="D1251" s="1066"/>
      <c r="E1251" s="1065"/>
      <c r="F1251" s="1197"/>
    </row>
    <row r="1252" spans="1:6" ht="15.5">
      <c r="A1252" s="1069" t="s">
        <v>690</v>
      </c>
      <c r="B1252" s="1070" t="s">
        <v>691</v>
      </c>
      <c r="C1252" s="1070" t="s">
        <v>692</v>
      </c>
      <c r="D1252" s="1071">
        <v>2014</v>
      </c>
      <c r="E1252" s="1088">
        <v>2013</v>
      </c>
      <c r="F1252" s="1197"/>
    </row>
    <row r="1253" spans="1:6" ht="15.75" customHeight="1">
      <c r="A1253" s="1135"/>
      <c r="B1253" s="1089" t="str">
        <f>'[93]Trial Balance'!B31</f>
        <v>Auditors Remuneration P/B</v>
      </c>
      <c r="C1253" s="1089"/>
      <c r="D1253" s="1075">
        <f>'[93]Trial Balance'!I31</f>
        <v>165000</v>
      </c>
      <c r="E1253" s="1205">
        <v>150000</v>
      </c>
      <c r="F1253" s="1197"/>
    </row>
    <row r="1254" spans="1:6" ht="15.75" customHeight="1">
      <c r="A1254" s="1135"/>
      <c r="B1254" s="1089" t="s">
        <v>840</v>
      </c>
      <c r="C1254" s="1089"/>
      <c r="D1254" s="1075">
        <f>'[93]Trial Balance'!I32</f>
        <v>202558</v>
      </c>
      <c r="E1254" s="1205">
        <v>0</v>
      </c>
      <c r="F1254" s="1197"/>
    </row>
    <row r="1255" spans="1:6" ht="15.5">
      <c r="A1255" s="1135"/>
      <c r="B1255" s="1089"/>
      <c r="C1255" s="1089"/>
      <c r="D1255" s="1075"/>
      <c r="E1255" s="1205"/>
      <c r="F1255" s="1197"/>
    </row>
    <row r="1256" spans="1:6" ht="15.5">
      <c r="A1256" s="1135"/>
      <c r="B1256" s="1089"/>
      <c r="C1256" s="1089"/>
      <c r="D1256" s="1075"/>
      <c r="E1256" s="1205"/>
      <c r="F1256" s="1197"/>
    </row>
    <row r="1257" spans="1:6" ht="15.5">
      <c r="A1257" s="1135"/>
      <c r="B1257" s="1089"/>
      <c r="C1257" s="1089"/>
      <c r="D1257" s="1075"/>
      <c r="E1257" s="1205"/>
      <c r="F1257" s="1197"/>
    </row>
    <row r="1258" spans="1:6" ht="15.5">
      <c r="A1258" s="1135"/>
      <c r="B1258" s="1089"/>
      <c r="C1258" s="1089"/>
      <c r="D1258" s="1075"/>
      <c r="E1258" s="1205"/>
      <c r="F1258" s="1197"/>
    </row>
    <row r="1259" spans="1:6" ht="15.5">
      <c r="A1259" s="1135"/>
      <c r="B1259" s="1089"/>
      <c r="C1259" s="1089"/>
      <c r="D1259" s="1075"/>
      <c r="E1259" s="1205"/>
      <c r="F1259" s="1197"/>
    </row>
    <row r="1260" spans="1:6" ht="15.5">
      <c r="A1260" s="1135"/>
      <c r="B1260" s="1089"/>
      <c r="C1260" s="1089"/>
      <c r="D1260" s="1075"/>
      <c r="E1260" s="1205"/>
      <c r="F1260" s="1197"/>
    </row>
    <row r="1261" spans="1:6" ht="15.5">
      <c r="A1261" s="1135"/>
      <c r="B1261" s="1089"/>
      <c r="C1261" s="1089"/>
      <c r="D1261" s="1075"/>
      <c r="E1261" s="1205"/>
      <c r="F1261" s="1197"/>
    </row>
    <row r="1262" spans="1:6" ht="15.5">
      <c r="A1262" s="1135"/>
      <c r="B1262" s="1089"/>
      <c r="C1262" s="1089"/>
      <c r="D1262" s="1075"/>
      <c r="E1262" s="1205"/>
      <c r="F1262" s="1197"/>
    </row>
    <row r="1263" spans="1:6" ht="15.5">
      <c r="A1263" s="1135"/>
      <c r="B1263" s="1089"/>
      <c r="C1263" s="1089"/>
      <c r="D1263" s="1075"/>
      <c r="E1263" s="1205"/>
      <c r="F1263" s="1197"/>
    </row>
    <row r="1264" spans="1:6" ht="15.5">
      <c r="A1264" s="1135"/>
      <c r="B1264" s="1089"/>
      <c r="C1264" s="1089"/>
      <c r="D1264" s="1075"/>
      <c r="E1264" s="1205"/>
      <c r="F1264" s="1197"/>
    </row>
    <row r="1265" spans="1:6" ht="15.5">
      <c r="A1265" s="1135"/>
      <c r="B1265" s="1089"/>
      <c r="C1265" s="1089"/>
      <c r="D1265" s="1075"/>
      <c r="E1265" s="1205"/>
      <c r="F1265" s="1197"/>
    </row>
    <row r="1266" spans="1:6" ht="15.5">
      <c r="A1266" s="1135"/>
      <c r="B1266" s="1089"/>
      <c r="C1266" s="1089"/>
      <c r="D1266" s="1075"/>
      <c r="E1266" s="1205"/>
      <c r="F1266" s="1197"/>
    </row>
    <row r="1267" spans="1:6" ht="15.5">
      <c r="A1267" s="1135"/>
      <c r="B1267" s="1089"/>
      <c r="C1267" s="1089"/>
      <c r="D1267" s="1075"/>
      <c r="E1267" s="1205"/>
      <c r="F1267" s="1197"/>
    </row>
    <row r="1268" spans="1:6" ht="15.5">
      <c r="A1268" s="1135"/>
      <c r="B1268" s="1089"/>
      <c r="C1268" s="1089"/>
      <c r="D1268" s="1075"/>
      <c r="E1268" s="1205"/>
      <c r="F1268" s="1197"/>
    </row>
    <row r="1269" spans="1:6" ht="15.5">
      <c r="A1269" s="1135"/>
      <c r="B1269" s="1089"/>
      <c r="C1269" s="1089"/>
      <c r="D1269" s="1075"/>
      <c r="E1269" s="1205"/>
      <c r="F1269" s="1197"/>
    </row>
    <row r="1270" spans="1:6" ht="15.5">
      <c r="A1270" s="1135"/>
      <c r="B1270" s="1089"/>
      <c r="C1270" s="1089"/>
      <c r="D1270" s="1075"/>
      <c r="E1270" s="1205"/>
      <c r="F1270" s="1197"/>
    </row>
    <row r="1271" spans="1:6" ht="15.5">
      <c r="A1271" s="1135"/>
      <c r="B1271" s="1089"/>
      <c r="C1271" s="1089"/>
      <c r="D1271" s="1075"/>
      <c r="E1271" s="1205"/>
      <c r="F1271" s="1197"/>
    </row>
    <row r="1272" spans="1:6" ht="15.5">
      <c r="A1272" s="1135"/>
      <c r="B1272" s="1089"/>
      <c r="C1272" s="1089"/>
      <c r="D1272" s="1075"/>
      <c r="E1272" s="1205"/>
      <c r="F1272" s="1197"/>
    </row>
    <row r="1273" spans="1:6" ht="15.5">
      <c r="A1273" s="1135"/>
      <c r="B1273" s="1089"/>
      <c r="C1273" s="1089"/>
      <c r="D1273" s="1075"/>
      <c r="E1273" s="1205"/>
      <c r="F1273" s="1197"/>
    </row>
    <row r="1274" spans="1:6" ht="15.5">
      <c r="A1274" s="1135"/>
      <c r="B1274" s="1089"/>
      <c r="C1274" s="1089"/>
      <c r="D1274" s="1075"/>
      <c r="E1274" s="1205"/>
      <c r="F1274" s="1197"/>
    </row>
    <row r="1275" spans="1:6" ht="15.5">
      <c r="A1275" s="1135"/>
      <c r="B1275" s="1074"/>
      <c r="C1275" s="1074"/>
      <c r="D1275" s="1081"/>
      <c r="E1275" s="1205"/>
      <c r="F1275" s="1197"/>
    </row>
    <row r="1276" spans="1:6" ht="15.5">
      <c r="A1276" s="1135"/>
      <c r="B1276" s="1074"/>
      <c r="C1276" s="1074"/>
      <c r="D1276" s="1081"/>
      <c r="E1276" s="1205"/>
      <c r="F1276" s="1197"/>
    </row>
    <row r="1277" spans="1:6" ht="15.5">
      <c r="A1277" s="1135"/>
      <c r="B1277" s="1074"/>
      <c r="C1277" s="1074"/>
      <c r="D1277" s="1081"/>
      <c r="E1277" s="1205"/>
      <c r="F1277" s="1197"/>
    </row>
    <row r="1278" spans="1:6" ht="15.5">
      <c r="A1278" s="1135"/>
      <c r="B1278" s="1074"/>
      <c r="C1278" s="1074"/>
      <c r="D1278" s="1081"/>
      <c r="E1278" s="1205"/>
      <c r="F1278" s="1197"/>
    </row>
    <row r="1279" spans="1:6" ht="15.5">
      <c r="A1279" s="1135"/>
      <c r="B1279" s="1074"/>
      <c r="C1279" s="1074"/>
      <c r="D1279" s="1081"/>
      <c r="E1279" s="1205"/>
      <c r="F1279" s="1197"/>
    </row>
    <row r="1280" spans="1:6" ht="15.5">
      <c r="A1280" s="1135"/>
      <c r="B1280" s="1085"/>
      <c r="C1280" s="1085"/>
      <c r="D1280" s="1081"/>
      <c r="E1280" s="1205"/>
      <c r="F1280" s="1197"/>
    </row>
    <row r="1281" spans="1:6" ht="15.5">
      <c r="A1281" s="1404" t="s">
        <v>701</v>
      </c>
      <c r="B1281" s="1405"/>
      <c r="C1281" s="1087"/>
      <c r="D1281" s="1209">
        <f>SUM(D1253:D1278)</f>
        <v>367558</v>
      </c>
      <c r="E1281" s="1206">
        <f>SUM(E1253:E1278)</f>
        <v>150000</v>
      </c>
      <c r="F1281" s="1197"/>
    </row>
    <row r="1282" spans="1:6" ht="15.5">
      <c r="A1282" s="1064"/>
      <c r="B1282" s="1197"/>
      <c r="C1282" s="1197"/>
      <c r="D1282" s="1215"/>
      <c r="E1282" s="1197"/>
      <c r="F1282" s="1197"/>
    </row>
    <row r="1283" spans="1:6" ht="15.5">
      <c r="A1283" s="1068" t="s">
        <v>841</v>
      </c>
      <c r="B1283" s="1068"/>
      <c r="C1283" s="1065"/>
      <c r="D1283" s="1066"/>
      <c r="E1283" s="1065"/>
      <c r="F1283" s="1197"/>
    </row>
    <row r="1284" spans="1:6" ht="15.5">
      <c r="A1284" s="1069" t="s">
        <v>690</v>
      </c>
      <c r="B1284" s="1070" t="s">
        <v>691</v>
      </c>
      <c r="C1284" s="1070" t="s">
        <v>692</v>
      </c>
      <c r="D1284" s="1071">
        <v>2014</v>
      </c>
      <c r="E1284" s="1088">
        <v>2013</v>
      </c>
      <c r="F1284" s="1197"/>
    </row>
    <row r="1285" spans="1:6" ht="15.75" customHeight="1">
      <c r="A1285" s="1135" t="s">
        <v>842</v>
      </c>
      <c r="B1285" s="1089" t="str">
        <f>VLOOKUP(A1285,'[93]Trial Balance'!$1:$1048576,2,FALSE)</f>
        <v>Salary Tax Payable</v>
      </c>
      <c r="C1285" s="1089"/>
      <c r="D1285" s="1075">
        <f>VLOOKUP(A1285,'[93]Trial Balance'!$1:$1048576,9,FALSE)</f>
        <v>5382</v>
      </c>
      <c r="E1285" s="1205">
        <v>0</v>
      </c>
      <c r="F1285" s="1197"/>
    </row>
    <row r="1286" spans="1:6" ht="15.5">
      <c r="A1286" s="1135"/>
      <c r="B1286" s="1089"/>
      <c r="C1286" s="1089"/>
      <c r="D1286" s="1075"/>
      <c r="E1286" s="1205"/>
      <c r="F1286" s="1197"/>
    </row>
    <row r="1287" spans="1:6" ht="15.5">
      <c r="A1287" s="1135"/>
      <c r="B1287" s="1089"/>
      <c r="C1287" s="1089"/>
      <c r="D1287" s="1075"/>
      <c r="E1287" s="1205"/>
      <c r="F1287" s="1197"/>
    </row>
    <row r="1288" spans="1:6" ht="15.5">
      <c r="A1288" s="1135"/>
      <c r="B1288" s="1089"/>
      <c r="C1288" s="1089"/>
      <c r="D1288" s="1075"/>
      <c r="E1288" s="1205"/>
      <c r="F1288" s="1197"/>
    </row>
    <row r="1289" spans="1:6" ht="15.5">
      <c r="A1289" s="1135"/>
      <c r="B1289" s="1089"/>
      <c r="C1289" s="1089"/>
      <c r="D1289" s="1075"/>
      <c r="E1289" s="1205"/>
      <c r="F1289" s="1197"/>
    </row>
    <row r="1290" spans="1:6" ht="15.5">
      <c r="A1290" s="1135"/>
      <c r="B1290" s="1089"/>
      <c r="C1290" s="1089"/>
      <c r="D1290" s="1075"/>
      <c r="E1290" s="1205"/>
      <c r="F1290" s="1197"/>
    </row>
    <row r="1291" spans="1:6" ht="15.5">
      <c r="A1291" s="1135"/>
      <c r="B1291" s="1089"/>
      <c r="C1291" s="1089"/>
      <c r="D1291" s="1075"/>
      <c r="E1291" s="1205"/>
      <c r="F1291" s="1197"/>
    </row>
    <row r="1292" spans="1:6" ht="15.5">
      <c r="A1292" s="1135"/>
      <c r="B1292" s="1089"/>
      <c r="C1292" s="1089"/>
      <c r="D1292" s="1075"/>
      <c r="E1292" s="1205"/>
      <c r="F1292" s="1197"/>
    </row>
    <row r="1293" spans="1:6" ht="15.5">
      <c r="A1293" s="1135"/>
      <c r="B1293" s="1089"/>
      <c r="C1293" s="1089"/>
      <c r="D1293" s="1075"/>
      <c r="E1293" s="1205"/>
      <c r="F1293" s="1197"/>
    </row>
    <row r="1294" spans="1:6" ht="15.5">
      <c r="A1294" s="1135"/>
      <c r="B1294" s="1089"/>
      <c r="C1294" s="1089"/>
      <c r="D1294" s="1075"/>
      <c r="E1294" s="1205"/>
      <c r="F1294" s="1197"/>
    </row>
    <row r="1295" spans="1:6" ht="15.5">
      <c r="A1295" s="1135"/>
      <c r="B1295" s="1089"/>
      <c r="C1295" s="1089"/>
      <c r="D1295" s="1075"/>
      <c r="E1295" s="1205"/>
      <c r="F1295" s="1197"/>
    </row>
    <row r="1296" spans="1:6" ht="15.5">
      <c r="A1296" s="1135"/>
      <c r="B1296" s="1089"/>
      <c r="C1296" s="1089"/>
      <c r="D1296" s="1075"/>
      <c r="E1296" s="1205"/>
      <c r="F1296" s="1197"/>
    </row>
    <row r="1297" spans="1:6" ht="15.5">
      <c r="A1297" s="1135"/>
      <c r="B1297" s="1089"/>
      <c r="C1297" s="1089"/>
      <c r="D1297" s="1075"/>
      <c r="E1297" s="1205"/>
      <c r="F1297" s="1197"/>
    </row>
    <row r="1298" spans="1:6" ht="15.5">
      <c r="A1298" s="1135"/>
      <c r="B1298" s="1089"/>
      <c r="C1298" s="1089"/>
      <c r="D1298" s="1075"/>
      <c r="E1298" s="1205"/>
      <c r="F1298" s="1197"/>
    </row>
    <row r="1299" spans="1:6" ht="15.5">
      <c r="A1299" s="1135"/>
      <c r="B1299" s="1089"/>
      <c r="C1299" s="1089"/>
      <c r="D1299" s="1075"/>
      <c r="E1299" s="1205"/>
      <c r="F1299" s="1197"/>
    </row>
    <row r="1300" spans="1:6" ht="15.5">
      <c r="A1300" s="1135"/>
      <c r="B1300" s="1089"/>
      <c r="C1300" s="1089"/>
      <c r="D1300" s="1075"/>
      <c r="E1300" s="1205"/>
      <c r="F1300" s="1197"/>
    </row>
    <row r="1301" spans="1:6" ht="15.5">
      <c r="A1301" s="1135"/>
      <c r="B1301" s="1089"/>
      <c r="C1301" s="1089"/>
      <c r="D1301" s="1075"/>
      <c r="E1301" s="1205"/>
      <c r="F1301" s="1197"/>
    </row>
    <row r="1302" spans="1:6" ht="15.5">
      <c r="A1302" s="1135"/>
      <c r="B1302" s="1089"/>
      <c r="C1302" s="1089"/>
      <c r="D1302" s="1075"/>
      <c r="E1302" s="1205"/>
      <c r="F1302" s="1197"/>
    </row>
    <row r="1303" spans="1:6" ht="15.5">
      <c r="A1303" s="1135"/>
      <c r="B1303" s="1089"/>
      <c r="C1303" s="1089"/>
      <c r="D1303" s="1075"/>
      <c r="E1303" s="1205"/>
      <c r="F1303" s="1197"/>
    </row>
    <row r="1304" spans="1:6" ht="15.5">
      <c r="A1304" s="1135"/>
      <c r="B1304" s="1089"/>
      <c r="C1304" s="1089"/>
      <c r="D1304" s="1075"/>
      <c r="E1304" s="1205"/>
      <c r="F1304" s="1197"/>
    </row>
    <row r="1305" spans="1:6" ht="15.5">
      <c r="A1305" s="1135"/>
      <c r="B1305" s="1089"/>
      <c r="C1305" s="1089"/>
      <c r="D1305" s="1075"/>
      <c r="E1305" s="1205"/>
      <c r="F1305" s="1197"/>
    </row>
    <row r="1306" spans="1:6" ht="15.5">
      <c r="A1306" s="1135"/>
      <c r="B1306" s="1089"/>
      <c r="C1306" s="1089"/>
      <c r="D1306" s="1075"/>
      <c r="E1306" s="1205"/>
      <c r="F1306" s="1197"/>
    </row>
    <row r="1307" spans="1:6" ht="15.5">
      <c r="A1307" s="1135"/>
      <c r="B1307" s="1074"/>
      <c r="C1307" s="1074"/>
      <c r="D1307" s="1081"/>
      <c r="E1307" s="1205"/>
      <c r="F1307" s="1197"/>
    </row>
    <row r="1308" spans="1:6" ht="15.5">
      <c r="A1308" s="1135"/>
      <c r="B1308" s="1074"/>
      <c r="C1308" s="1074"/>
      <c r="D1308" s="1081"/>
      <c r="E1308" s="1205"/>
      <c r="F1308" s="1197"/>
    </row>
    <row r="1309" spans="1:6" ht="15.5">
      <c r="A1309" s="1135"/>
      <c r="B1309" s="1074"/>
      <c r="C1309" s="1074"/>
      <c r="D1309" s="1081"/>
      <c r="E1309" s="1205"/>
      <c r="F1309" s="1197"/>
    </row>
    <row r="1310" spans="1:6" ht="15.5">
      <c r="A1310" s="1135"/>
      <c r="B1310" s="1074"/>
      <c r="C1310" s="1074"/>
      <c r="D1310" s="1081"/>
      <c r="E1310" s="1205"/>
      <c r="F1310" s="1197"/>
    </row>
    <row r="1311" spans="1:6" ht="15.5">
      <c r="A1311" s="1135"/>
      <c r="B1311" s="1074"/>
      <c r="C1311" s="1074"/>
      <c r="D1311" s="1081"/>
      <c r="E1311" s="1205"/>
      <c r="F1311" s="1197"/>
    </row>
    <row r="1312" spans="1:6" ht="15.5">
      <c r="A1312" s="1135"/>
      <c r="B1312" s="1085"/>
      <c r="C1312" s="1085"/>
      <c r="D1312" s="1081"/>
      <c r="E1312" s="1205"/>
      <c r="F1312" s="1197"/>
    </row>
    <row r="1313" spans="1:6" ht="15.5">
      <c r="A1313" s="1404" t="s">
        <v>701</v>
      </c>
      <c r="B1313" s="1405"/>
      <c r="C1313" s="1087"/>
      <c r="D1313" s="1083">
        <f>SUM(D1285:D1307)</f>
        <v>5382</v>
      </c>
      <c r="E1313" s="1206">
        <f>SUM(E1285:E1310)</f>
        <v>0</v>
      </c>
      <c r="F1313" s="1197"/>
    </row>
    <row r="1314" spans="1:6" ht="15.5">
      <c r="A1314" s="1064"/>
      <c r="B1314" s="1197"/>
      <c r="C1314" s="1197"/>
      <c r="D1314" s="1215"/>
      <c r="E1314" s="1197"/>
      <c r="F1314" s="1197"/>
    </row>
    <row r="1315" spans="1:6" ht="15.5">
      <c r="A1315" s="1068" t="s">
        <v>843</v>
      </c>
      <c r="B1315" s="1068"/>
      <c r="C1315" s="1065"/>
      <c r="D1315" s="1066"/>
      <c r="E1315" s="1065"/>
      <c r="F1315" s="1197"/>
    </row>
    <row r="1316" spans="1:6" ht="15.5">
      <c r="A1316" s="1069" t="s">
        <v>690</v>
      </c>
      <c r="B1316" s="1070" t="s">
        <v>691</v>
      </c>
      <c r="C1316" s="1070" t="s">
        <v>692</v>
      </c>
      <c r="D1316" s="1071">
        <v>2014</v>
      </c>
      <c r="E1316" s="1088">
        <v>2013</v>
      </c>
      <c r="F1316" s="1197"/>
    </row>
    <row r="1317" spans="1:6" ht="15.75" customHeight="1">
      <c r="A1317" s="1135" t="s">
        <v>844</v>
      </c>
      <c r="B1317" s="1089" t="str">
        <f>VLOOKUP(A1317,'[93]Trial Balance'!$1:$1048576,2,FALSE)</f>
        <v>Workers WPPF Payable</v>
      </c>
      <c r="C1317" s="1089"/>
      <c r="D1317" s="1075">
        <f>VLOOKUP(A1317,'[93]Trial Balance'!$1:$1048576,9,FALSE)</f>
        <v>419896</v>
      </c>
      <c r="E1317" s="1205">
        <f>VLOOKUP(A1317,'[95]Trial Balance'!$1:$1048576,9,FALSE)</f>
        <v>902819</v>
      </c>
      <c r="F1317" s="1197"/>
    </row>
    <row r="1318" spans="1:6" ht="15.75" customHeight="1">
      <c r="A1318" s="1135" t="s">
        <v>845</v>
      </c>
      <c r="B1318" s="1089" t="str">
        <f>VLOOKUP(A1318,'[93]Trial Balance'!$1:$1048576,2,FALSE)</f>
        <v>Workers Welfare Fund</v>
      </c>
      <c r="C1318" s="1089"/>
      <c r="D1318" s="1075">
        <f>VLOOKUP(A1318,'[93]Trial Balance'!$1:$1048576,9,FALSE)</f>
        <v>179482</v>
      </c>
      <c r="E1318" s="1205">
        <f>VLOOKUP(A1318,'[95]Trial Balance'!$1:$1048576,9,FALSE)</f>
        <v>337244</v>
      </c>
      <c r="F1318" s="1197"/>
    </row>
    <row r="1319" spans="1:6" ht="15.5">
      <c r="A1319" s="1135"/>
      <c r="B1319" s="1089"/>
      <c r="C1319" s="1089"/>
      <c r="D1319" s="1075"/>
      <c r="E1319" s="1205"/>
      <c r="F1319" s="1197"/>
    </row>
    <row r="1320" spans="1:6" ht="15.5">
      <c r="A1320" s="1135"/>
      <c r="B1320" s="1089"/>
      <c r="C1320" s="1089"/>
      <c r="D1320" s="1075"/>
      <c r="E1320" s="1205"/>
      <c r="F1320" s="1197"/>
    </row>
    <row r="1321" spans="1:6" ht="15.5">
      <c r="A1321" s="1135"/>
      <c r="B1321" s="1089"/>
      <c r="C1321" s="1089"/>
      <c r="D1321" s="1075"/>
      <c r="E1321" s="1205"/>
      <c r="F1321" s="1197"/>
    </row>
    <row r="1322" spans="1:6" ht="15.5">
      <c r="A1322" s="1135"/>
      <c r="B1322" s="1089"/>
      <c r="C1322" s="1089"/>
      <c r="D1322" s="1075"/>
      <c r="E1322" s="1205"/>
      <c r="F1322" s="1197"/>
    </row>
    <row r="1323" spans="1:6" ht="15.5">
      <c r="A1323" s="1135"/>
      <c r="B1323" s="1089"/>
      <c r="C1323" s="1089"/>
      <c r="D1323" s="1075"/>
      <c r="E1323" s="1205"/>
      <c r="F1323" s="1197"/>
    </row>
    <row r="1324" spans="1:6" ht="15.5">
      <c r="A1324" s="1135"/>
      <c r="B1324" s="1089"/>
      <c r="C1324" s="1089"/>
      <c r="D1324" s="1075"/>
      <c r="E1324" s="1205"/>
      <c r="F1324" s="1197"/>
    </row>
    <row r="1325" spans="1:6" ht="15.5">
      <c r="A1325" s="1135"/>
      <c r="B1325" s="1089"/>
      <c r="C1325" s="1089"/>
      <c r="D1325" s="1075"/>
      <c r="E1325" s="1205"/>
      <c r="F1325" s="1197"/>
    </row>
    <row r="1326" spans="1:6" ht="15.5">
      <c r="A1326" s="1135"/>
      <c r="B1326" s="1089"/>
      <c r="C1326" s="1089"/>
      <c r="D1326" s="1075"/>
      <c r="E1326" s="1205"/>
      <c r="F1326" s="1197"/>
    </row>
    <row r="1327" spans="1:6" ht="15.5">
      <c r="A1327" s="1135"/>
      <c r="B1327" s="1089"/>
      <c r="C1327" s="1089"/>
      <c r="D1327" s="1075"/>
      <c r="E1327" s="1205"/>
      <c r="F1327" s="1197"/>
    </row>
    <row r="1328" spans="1:6" ht="15.5">
      <c r="A1328" s="1135"/>
      <c r="B1328" s="1089"/>
      <c r="C1328" s="1089"/>
      <c r="D1328" s="1075"/>
      <c r="E1328" s="1205"/>
      <c r="F1328" s="1197"/>
    </row>
    <row r="1329" spans="1:6" ht="15.5">
      <c r="A1329" s="1135"/>
      <c r="B1329" s="1089"/>
      <c r="C1329" s="1089"/>
      <c r="D1329" s="1075"/>
      <c r="E1329" s="1205"/>
      <c r="F1329" s="1197"/>
    </row>
    <row r="1330" spans="1:6" ht="15.5">
      <c r="A1330" s="1135"/>
      <c r="B1330" s="1089"/>
      <c r="C1330" s="1089"/>
      <c r="D1330" s="1075"/>
      <c r="E1330" s="1205"/>
      <c r="F1330" s="1197"/>
    </row>
    <row r="1331" spans="1:6" ht="15.5">
      <c r="A1331" s="1135"/>
      <c r="B1331" s="1089"/>
      <c r="C1331" s="1089"/>
      <c r="D1331" s="1075"/>
      <c r="E1331" s="1205"/>
      <c r="F1331" s="1197"/>
    </row>
    <row r="1332" spans="1:6" ht="15.5">
      <c r="A1332" s="1135"/>
      <c r="B1332" s="1089"/>
      <c r="C1332" s="1089"/>
      <c r="D1332" s="1075"/>
      <c r="E1332" s="1205"/>
      <c r="F1332" s="1197"/>
    </row>
    <row r="1333" spans="1:6" ht="15.5">
      <c r="A1333" s="1135"/>
      <c r="B1333" s="1089"/>
      <c r="C1333" s="1089"/>
      <c r="D1333" s="1075"/>
      <c r="E1333" s="1205"/>
      <c r="F1333" s="1197"/>
    </row>
    <row r="1334" spans="1:6" ht="15.5">
      <c r="A1334" s="1135"/>
      <c r="B1334" s="1089"/>
      <c r="C1334" s="1089"/>
      <c r="D1334" s="1075"/>
      <c r="E1334" s="1205"/>
      <c r="F1334" s="1197"/>
    </row>
    <row r="1335" spans="1:6" ht="15.5">
      <c r="A1335" s="1135"/>
      <c r="B1335" s="1089"/>
      <c r="C1335" s="1089"/>
      <c r="D1335" s="1075"/>
      <c r="E1335" s="1205"/>
      <c r="F1335" s="1197"/>
    </row>
    <row r="1336" spans="1:6" ht="15.5">
      <c r="A1336" s="1135"/>
      <c r="B1336" s="1089"/>
      <c r="C1336" s="1089"/>
      <c r="D1336" s="1075"/>
      <c r="E1336" s="1205"/>
      <c r="F1336" s="1197"/>
    </row>
    <row r="1337" spans="1:6" ht="15.5">
      <c r="A1337" s="1135"/>
      <c r="B1337" s="1089"/>
      <c r="C1337" s="1089"/>
      <c r="D1337" s="1075"/>
      <c r="E1337" s="1205"/>
      <c r="F1337" s="1197"/>
    </row>
    <row r="1338" spans="1:6" ht="15.5">
      <c r="A1338" s="1135"/>
      <c r="B1338" s="1089"/>
      <c r="C1338" s="1089"/>
      <c r="D1338" s="1075"/>
      <c r="E1338" s="1205"/>
      <c r="F1338" s="1197"/>
    </row>
    <row r="1339" spans="1:6" ht="15.5">
      <c r="A1339" s="1135"/>
      <c r="B1339" s="1074"/>
      <c r="C1339" s="1074"/>
      <c r="D1339" s="1081"/>
      <c r="E1339" s="1205"/>
      <c r="F1339" s="1197"/>
    </row>
    <row r="1340" spans="1:6" ht="15.5">
      <c r="A1340" s="1135"/>
      <c r="B1340" s="1074"/>
      <c r="C1340" s="1074"/>
      <c r="D1340" s="1081"/>
      <c r="E1340" s="1205"/>
      <c r="F1340" s="1197"/>
    </row>
    <row r="1341" spans="1:6" ht="15.5">
      <c r="A1341" s="1135"/>
      <c r="B1341" s="1074"/>
      <c r="C1341" s="1074"/>
      <c r="D1341" s="1081"/>
      <c r="E1341" s="1205"/>
      <c r="F1341" s="1197"/>
    </row>
    <row r="1342" spans="1:6" ht="15.5">
      <c r="A1342" s="1135"/>
      <c r="B1342" s="1074"/>
      <c r="C1342" s="1074"/>
      <c r="D1342" s="1081"/>
      <c r="E1342" s="1205"/>
      <c r="F1342" s="1197"/>
    </row>
    <row r="1343" spans="1:6" ht="15.5">
      <c r="A1343" s="1135"/>
      <c r="B1343" s="1074"/>
      <c r="C1343" s="1074"/>
      <c r="D1343" s="1081"/>
      <c r="E1343" s="1205"/>
      <c r="F1343" s="1197"/>
    </row>
    <row r="1344" spans="1:6" ht="15.5">
      <c r="A1344" s="1135"/>
      <c r="B1344" s="1085"/>
      <c r="C1344" s="1085"/>
      <c r="D1344" s="1081"/>
      <c r="E1344" s="1205"/>
      <c r="F1344" s="1197"/>
    </row>
    <row r="1345" spans="1:6" ht="15.5">
      <c r="A1345" s="1404" t="s">
        <v>701</v>
      </c>
      <c r="B1345" s="1405"/>
      <c r="C1345" s="1087"/>
      <c r="D1345" s="1083">
        <f>SUM(D1317:D1339)</f>
        <v>599378</v>
      </c>
      <c r="E1345" s="1206">
        <f>SUM(E1317:E1342)</f>
        <v>1240063</v>
      </c>
      <c r="F1345" s="1197"/>
    </row>
    <row r="1346" spans="1:6" ht="15.5">
      <c r="A1346" s="1064"/>
      <c r="B1346" s="1197"/>
      <c r="C1346" s="1197"/>
      <c r="D1346" s="1215"/>
      <c r="E1346" s="1197"/>
      <c r="F1346" s="1197"/>
    </row>
    <row r="1347" spans="1:6" ht="15.5">
      <c r="A1347" s="1068" t="s">
        <v>846</v>
      </c>
      <c r="B1347" s="1068"/>
      <c r="C1347" s="1065"/>
      <c r="D1347" s="1066"/>
      <c r="E1347" s="1065"/>
      <c r="F1347" s="1197"/>
    </row>
    <row r="1348" spans="1:6" ht="15.5">
      <c r="A1348" s="1069" t="s">
        <v>690</v>
      </c>
      <c r="B1348" s="1070" t="s">
        <v>691</v>
      </c>
      <c r="C1348" s="1070" t="s">
        <v>692</v>
      </c>
      <c r="D1348" s="1071">
        <v>2014</v>
      </c>
      <c r="E1348" s="1088">
        <v>2013</v>
      </c>
      <c r="F1348" s="1197"/>
    </row>
    <row r="1349" spans="1:6" ht="15.75" customHeight="1">
      <c r="A1349" s="1135"/>
      <c r="B1349" s="1089" t="s">
        <v>180</v>
      </c>
      <c r="C1349" s="1089"/>
      <c r="D1349" s="1075">
        <f>D1193</f>
        <v>48060197</v>
      </c>
      <c r="E1349" s="1207" t="e">
        <f>E1193</f>
        <v>#N/A</v>
      </c>
      <c r="F1349" s="1197"/>
    </row>
    <row r="1350" spans="1:6" ht="15.75" customHeight="1">
      <c r="A1350" s="1135"/>
      <c r="B1350" s="1089" t="s">
        <v>803</v>
      </c>
      <c r="C1350" s="1089"/>
      <c r="D1350" s="1075">
        <f>D1217+D1249+D1281+D1313</f>
        <v>2784810</v>
      </c>
      <c r="E1350" s="1207">
        <f>E1217+E1249+E1281+E1313</f>
        <v>2330452</v>
      </c>
      <c r="F1350" s="1197"/>
    </row>
    <row r="1351" spans="1:6" ht="15.75" customHeight="1">
      <c r="A1351" s="1135"/>
      <c r="B1351" s="1089" t="s">
        <v>847</v>
      </c>
      <c r="C1351" s="1089"/>
      <c r="D1351" s="1075">
        <f>D1409</f>
        <v>131855</v>
      </c>
      <c r="E1351" s="1207">
        <f>E1409</f>
        <v>0</v>
      </c>
      <c r="F1351" s="1197"/>
    </row>
    <row r="1352" spans="1:6" ht="15.75" customHeight="1">
      <c r="A1352" s="1135"/>
      <c r="B1352" s="1089" t="s">
        <v>848</v>
      </c>
      <c r="C1352" s="1089"/>
      <c r="D1352" s="1075">
        <f>D1317</f>
        <v>419896</v>
      </c>
      <c r="E1352" s="1207">
        <f>E1317</f>
        <v>902819</v>
      </c>
      <c r="F1352" s="1197"/>
    </row>
    <row r="1353" spans="1:6" ht="15.75" customHeight="1">
      <c r="A1353" s="1135"/>
      <c r="B1353" s="1089" t="s">
        <v>849</v>
      </c>
      <c r="C1353" s="1089"/>
      <c r="D1353" s="1075">
        <f>D1318</f>
        <v>179482</v>
      </c>
      <c r="E1353" s="1207">
        <f>E1318</f>
        <v>337244</v>
      </c>
      <c r="F1353" s="1197"/>
    </row>
    <row r="1354" spans="1:6" ht="15.5">
      <c r="A1354" s="1135"/>
      <c r="B1354" s="1089"/>
      <c r="C1354" s="1089"/>
      <c r="D1354" s="1075"/>
      <c r="E1354" s="1205"/>
      <c r="F1354" s="1197"/>
    </row>
    <row r="1355" spans="1:6" ht="15.5">
      <c r="A1355" s="1135"/>
      <c r="B1355" s="1089"/>
      <c r="C1355" s="1089"/>
      <c r="D1355" s="1075"/>
      <c r="E1355" s="1205"/>
      <c r="F1355" s="1197"/>
    </row>
    <row r="1356" spans="1:6" ht="15.5">
      <c r="A1356" s="1135"/>
      <c r="B1356" s="1089"/>
      <c r="C1356" s="1089"/>
      <c r="D1356" s="1075"/>
      <c r="E1356" s="1205"/>
      <c r="F1356" s="1197"/>
    </row>
    <row r="1357" spans="1:6" ht="15.5">
      <c r="A1357" s="1135"/>
      <c r="B1357" s="1089"/>
      <c r="C1357" s="1089"/>
      <c r="D1357" s="1075"/>
      <c r="E1357" s="1205"/>
      <c r="F1357" s="1197"/>
    </row>
    <row r="1358" spans="1:6" ht="15.5">
      <c r="A1358" s="1135"/>
      <c r="B1358" s="1089"/>
      <c r="C1358" s="1089"/>
      <c r="D1358" s="1075"/>
      <c r="E1358" s="1205"/>
      <c r="F1358" s="1197"/>
    </row>
    <row r="1359" spans="1:6" ht="15.5">
      <c r="A1359" s="1135"/>
      <c r="B1359" s="1089"/>
      <c r="C1359" s="1089"/>
      <c r="D1359" s="1075"/>
      <c r="E1359" s="1205"/>
      <c r="F1359" s="1197"/>
    </row>
    <row r="1360" spans="1:6" ht="15.5">
      <c r="A1360" s="1135"/>
      <c r="B1360" s="1089"/>
      <c r="C1360" s="1089"/>
      <c r="D1360" s="1075"/>
      <c r="E1360" s="1205"/>
      <c r="F1360" s="1197"/>
    </row>
    <row r="1361" spans="1:6" ht="15.5">
      <c r="A1361" s="1135"/>
      <c r="B1361" s="1089"/>
      <c r="C1361" s="1089"/>
      <c r="D1361" s="1075"/>
      <c r="E1361" s="1205"/>
      <c r="F1361" s="1197"/>
    </row>
    <row r="1362" spans="1:6" ht="15.5">
      <c r="A1362" s="1135"/>
      <c r="B1362" s="1089"/>
      <c r="C1362" s="1089"/>
      <c r="D1362" s="1075"/>
      <c r="E1362" s="1205"/>
      <c r="F1362" s="1197"/>
    </row>
    <row r="1363" spans="1:6" ht="15.5">
      <c r="A1363" s="1135"/>
      <c r="B1363" s="1089"/>
      <c r="C1363" s="1089"/>
      <c r="D1363" s="1075"/>
      <c r="E1363" s="1205"/>
      <c r="F1363" s="1197"/>
    </row>
    <row r="1364" spans="1:6" ht="15.5">
      <c r="A1364" s="1135"/>
      <c r="B1364" s="1089"/>
      <c r="C1364" s="1089"/>
      <c r="D1364" s="1075"/>
      <c r="E1364" s="1205"/>
      <c r="F1364" s="1197"/>
    </row>
    <row r="1365" spans="1:6" ht="15.5">
      <c r="A1365" s="1135"/>
      <c r="B1365" s="1089"/>
      <c r="C1365" s="1089"/>
      <c r="D1365" s="1075"/>
      <c r="E1365" s="1205"/>
      <c r="F1365" s="1197"/>
    </row>
    <row r="1366" spans="1:6" ht="15.5">
      <c r="A1366" s="1135"/>
      <c r="B1366" s="1089"/>
      <c r="C1366" s="1089"/>
      <c r="D1366" s="1075"/>
      <c r="E1366" s="1205"/>
      <c r="F1366" s="1197"/>
    </row>
    <row r="1367" spans="1:6" ht="15.5">
      <c r="A1367" s="1135"/>
      <c r="B1367" s="1089"/>
      <c r="C1367" s="1089"/>
      <c r="D1367" s="1075"/>
      <c r="E1367" s="1205"/>
      <c r="F1367" s="1197"/>
    </row>
    <row r="1368" spans="1:6" ht="15.5">
      <c r="A1368" s="1135"/>
      <c r="B1368" s="1089"/>
      <c r="C1368" s="1089"/>
      <c r="D1368" s="1075"/>
      <c r="E1368" s="1205"/>
      <c r="F1368" s="1197"/>
    </row>
    <row r="1369" spans="1:6" ht="15.5">
      <c r="A1369" s="1135"/>
      <c r="B1369" s="1089"/>
      <c r="C1369" s="1089"/>
      <c r="D1369" s="1075"/>
      <c r="E1369" s="1205"/>
      <c r="F1369" s="1197"/>
    </row>
    <row r="1370" spans="1:6" ht="15.5">
      <c r="A1370" s="1135"/>
      <c r="B1370" s="1089"/>
      <c r="C1370" s="1089"/>
      <c r="D1370" s="1075"/>
      <c r="E1370" s="1205"/>
      <c r="F1370" s="1197"/>
    </row>
    <row r="1371" spans="1:6" ht="15.5">
      <c r="A1371" s="1135"/>
      <c r="B1371" s="1074"/>
      <c r="C1371" s="1074"/>
      <c r="D1371" s="1081"/>
      <c r="E1371" s="1205"/>
      <c r="F1371" s="1197"/>
    </row>
    <row r="1372" spans="1:6" ht="15.5">
      <c r="A1372" s="1135"/>
      <c r="B1372" s="1074"/>
      <c r="C1372" s="1074"/>
      <c r="D1372" s="1081"/>
      <c r="E1372" s="1205"/>
      <c r="F1372" s="1197"/>
    </row>
    <row r="1373" spans="1:6" ht="15.5">
      <c r="A1373" s="1135"/>
      <c r="B1373" s="1074"/>
      <c r="C1373" s="1074"/>
      <c r="D1373" s="1081"/>
      <c r="E1373" s="1205"/>
      <c r="F1373" s="1197"/>
    </row>
    <row r="1374" spans="1:6" ht="15.5">
      <c r="A1374" s="1135"/>
      <c r="B1374" s="1074"/>
      <c r="C1374" s="1074"/>
      <c r="D1374" s="1081"/>
      <c r="E1374" s="1205"/>
      <c r="F1374" s="1197"/>
    </row>
    <row r="1375" spans="1:6" ht="15.5">
      <c r="A1375" s="1135"/>
      <c r="B1375" s="1074"/>
      <c r="C1375" s="1074"/>
      <c r="D1375" s="1081"/>
      <c r="E1375" s="1205"/>
      <c r="F1375" s="1197"/>
    </row>
    <row r="1376" spans="1:6" ht="15.5">
      <c r="A1376" s="1135"/>
      <c r="B1376" s="1085"/>
      <c r="C1376" s="1085"/>
      <c r="D1376" s="1081"/>
      <c r="E1376" s="1205"/>
      <c r="F1376" s="1197"/>
    </row>
    <row r="1377" spans="1:6" ht="15.5">
      <c r="A1377" s="1404" t="s">
        <v>701</v>
      </c>
      <c r="B1377" s="1405"/>
      <c r="C1377" s="1087"/>
      <c r="D1377" s="1083">
        <f>SUM(D1349:D1371)</f>
        <v>51576240</v>
      </c>
      <c r="E1377" s="1206" t="e">
        <f>SUM(E1349:E1374)</f>
        <v>#N/A</v>
      </c>
      <c r="F1377" s="1197"/>
    </row>
    <row r="1378" spans="1:6" ht="15.5">
      <c r="A1378" s="1064"/>
      <c r="B1378" s="1197"/>
      <c r="C1378" s="1197"/>
      <c r="D1378" s="1215"/>
      <c r="E1378" s="1197"/>
      <c r="F1378" s="1197"/>
    </row>
    <row r="1379" spans="1:6" ht="15.5">
      <c r="A1379" s="1068" t="s">
        <v>850</v>
      </c>
      <c r="B1379" s="1068"/>
      <c r="C1379" s="1065"/>
      <c r="D1379" s="1066"/>
      <c r="E1379" s="1065"/>
      <c r="F1379" s="1197"/>
    </row>
    <row r="1380" spans="1:6" ht="15.5">
      <c r="A1380" s="1069" t="s">
        <v>690</v>
      </c>
      <c r="B1380" s="1070" t="s">
        <v>691</v>
      </c>
      <c r="C1380" s="1070" t="s">
        <v>692</v>
      </c>
      <c r="D1380" s="1071">
        <v>2014</v>
      </c>
      <c r="E1380" s="1088">
        <v>2013</v>
      </c>
      <c r="F1380" s="1197"/>
    </row>
    <row r="1381" spans="1:6" ht="15.75" customHeight="1">
      <c r="A1381" s="1135" t="s">
        <v>851</v>
      </c>
      <c r="B1381" s="1089" t="str">
        <f>VLOOKUP(A1381,'[93]Trial Balance'!$1:$1048576,2,FALSE)</f>
        <v>Tax Akram &amp; Sons.</v>
      </c>
      <c r="C1381" s="1089"/>
      <c r="D1381" s="1075">
        <f>VLOOKUP(A1381,'[93]Trial Balance'!$1:$1048576,9,FALSE)</f>
        <v>622</v>
      </c>
      <c r="E1381" s="1205">
        <v>0</v>
      </c>
      <c r="F1381" s="1197"/>
    </row>
    <row r="1382" spans="1:6" ht="15.75" customHeight="1">
      <c r="A1382" s="1135" t="s">
        <v>852</v>
      </c>
      <c r="B1382" s="1089" t="str">
        <f>VLOOKUP(A1382,'[93]Trial Balance'!$1:$1048576,2,FALSE)</f>
        <v>Tax Automate pakistan</v>
      </c>
      <c r="C1382" s="1089"/>
      <c r="D1382" s="1075">
        <f>VLOOKUP(A1382,'[93]Trial Balance'!$1:$1048576,9,FALSE)</f>
        <v>111738</v>
      </c>
      <c r="E1382" s="1205">
        <v>0</v>
      </c>
      <c r="F1382" s="1197"/>
    </row>
    <row r="1383" spans="1:6" ht="15.75" customHeight="1">
      <c r="A1383" s="1135" t="s">
        <v>853</v>
      </c>
      <c r="B1383" s="1089" t="str">
        <f>VLOOKUP(A1383,'[93]Trial Balance'!$1:$1048576,2,FALSE)</f>
        <v>Tax Tehama Packeges</v>
      </c>
      <c r="C1383" s="1089"/>
      <c r="D1383" s="1075">
        <f>VLOOKUP(A1383,'[93]Trial Balance'!$1:$1048576,9,FALSE)</f>
        <v>82</v>
      </c>
      <c r="E1383" s="1205">
        <v>0</v>
      </c>
      <c r="F1383" s="1197"/>
    </row>
    <row r="1384" spans="1:6" ht="15.75" customHeight="1">
      <c r="A1384" s="1135" t="s">
        <v>854</v>
      </c>
      <c r="B1384" s="1089" t="str">
        <f>VLOOKUP(A1384,'[93]Trial Balance'!$1:$1048576,2,FALSE)</f>
        <v>Tax Techmen Engg</v>
      </c>
      <c r="C1384" s="1089"/>
      <c r="D1384" s="1075">
        <f>VLOOKUP(A1384,'[93]Trial Balance'!$1:$1048576,9,FALSE)</f>
        <v>19413</v>
      </c>
      <c r="E1384" s="1205">
        <f>VLOOKUP(A1384,'[95]Trial Balance'!$1:$1048576,9,FALSE)</f>
        <v>0</v>
      </c>
      <c r="F1384" s="1197"/>
    </row>
    <row r="1385" spans="1:6" ht="15.75" customHeight="1">
      <c r="A1385" s="1135" t="s">
        <v>855</v>
      </c>
      <c r="B1385" s="1089" t="str">
        <f>VLOOKUP(A1385,'[93]Trial Balance'!$1:$1048576,2,FALSE)</f>
        <v>S.T.W.H AHL</v>
      </c>
      <c r="C1385" s="1089"/>
      <c r="D1385" s="1075">
        <f>VLOOKUP(A1385,'[93]Trial Balance'!$1:$1048576,9,FALSE)</f>
        <v>0</v>
      </c>
      <c r="E1385" s="1205">
        <f>VLOOKUP(A1385,'[95]Trial Balance'!$1:$1048576,9,FALSE)</f>
        <v>0</v>
      </c>
      <c r="F1385" s="1197"/>
    </row>
    <row r="1386" spans="1:6" ht="15.75" customHeight="1">
      <c r="A1386" s="1135" t="s">
        <v>856</v>
      </c>
      <c r="B1386" s="1089" t="str">
        <f>VLOOKUP(A1386,'[93]Trial Balance'!$1:$1048576,2,FALSE)</f>
        <v>S.T.W.H PQM</v>
      </c>
      <c r="C1386" s="1089"/>
      <c r="D1386" s="1075">
        <f>VLOOKUP(A1386,'[93]Trial Balance'!$1:$1048576,9,FALSE)</f>
        <v>0</v>
      </c>
      <c r="E1386" s="1205">
        <f>VLOOKUP(A1386,'[95]Trial Balance'!$1:$1048576,9,FALSE)</f>
        <v>0</v>
      </c>
      <c r="F1386" s="1197"/>
    </row>
    <row r="1387" spans="1:6" ht="15.75" customHeight="1">
      <c r="A1387" s="1135" t="s">
        <v>857</v>
      </c>
      <c r="B1387" s="1089" t="str">
        <f>VLOOKUP(A1387,'[93]Trial Balance'!$1:$1048576,2,FALSE)</f>
        <v>S.T.W.H Tehama Packages</v>
      </c>
      <c r="C1387" s="1089"/>
      <c r="D1387" s="1075">
        <f>VLOOKUP(A1387,'[93]Trial Balance'!$1:$1048576,9,FALSE)</f>
        <v>0</v>
      </c>
      <c r="E1387" s="1205">
        <v>0</v>
      </c>
      <c r="F1387" s="1197"/>
    </row>
    <row r="1388" spans="1:6" ht="15.75" customHeight="1">
      <c r="A1388" s="1135" t="s">
        <v>858</v>
      </c>
      <c r="B1388" s="1089" t="str">
        <f>VLOOKUP(A1388,'[93]Trial Balance'!$1:$1048576,2,FALSE)</f>
        <v>S.T.W.H Technocall</v>
      </c>
      <c r="C1388" s="1089"/>
      <c r="D1388" s="1075">
        <f>VLOOKUP(A1388,'[93]Trial Balance'!$1:$1048576,9,FALSE)</f>
        <v>0</v>
      </c>
      <c r="E1388" s="1205">
        <v>0</v>
      </c>
      <c r="F1388" s="1197"/>
    </row>
    <row r="1389" spans="1:6" ht="15.75" customHeight="1">
      <c r="A1389" s="1135" t="s">
        <v>859</v>
      </c>
      <c r="B1389" s="1089" t="str">
        <f>VLOOKUP(A1389,'[93]Trial Balance'!$1:$1048576,2,FALSE)</f>
        <v>S.T.W.H Techmen</v>
      </c>
      <c r="C1389" s="1089"/>
      <c r="D1389" s="1075">
        <f>VLOOKUP(A1389,'[93]Trial Balance'!$1:$1048576,9,FALSE)</f>
        <v>0</v>
      </c>
      <c r="E1389" s="1205">
        <v>0</v>
      </c>
      <c r="F1389" s="1197"/>
    </row>
    <row r="1390" spans="1:6" ht="15.75" customHeight="1">
      <c r="A1390" s="1135" t="s">
        <v>860</v>
      </c>
      <c r="B1390" s="1089" t="str">
        <f>VLOOKUP(A1390,'[93]Trial Balance'!$1:$1048576,2,FALSE)</f>
        <v>S.T.W.H. Omar Industries</v>
      </c>
      <c r="C1390" s="1089"/>
      <c r="D1390" s="1075">
        <f>VLOOKUP(A1390,'[93]Trial Balance'!$1:$1048576,9,FALSE)</f>
        <v>0</v>
      </c>
      <c r="E1390" s="1205">
        <v>0</v>
      </c>
      <c r="F1390" s="1197"/>
    </row>
    <row r="1391" spans="1:6" ht="15.75" customHeight="1">
      <c r="A1391" s="1135" t="s">
        <v>861</v>
      </c>
      <c r="B1391" s="1089" t="str">
        <f>VLOOKUP(A1391,'[93]Trial Balance'!$1:$1048576,2,FALSE)</f>
        <v>S.T.W.H New Light Hous</v>
      </c>
      <c r="C1391" s="1089"/>
      <c r="D1391" s="1075">
        <f>VLOOKUP(A1391,'[93]Trial Balance'!$1:$1048576,9,FALSE)</f>
        <v>0</v>
      </c>
      <c r="E1391" s="1205">
        <v>0</v>
      </c>
      <c r="F1391" s="1197"/>
    </row>
    <row r="1392" spans="1:6" ht="15.5">
      <c r="A1392" s="1135"/>
      <c r="B1392" s="1089"/>
      <c r="C1392" s="1089"/>
      <c r="D1392" s="1075"/>
      <c r="E1392" s="1205"/>
      <c r="F1392" s="1197"/>
    </row>
    <row r="1393" spans="1:6" ht="15.5">
      <c r="A1393" s="1135"/>
      <c r="B1393" s="1089"/>
      <c r="C1393" s="1089"/>
      <c r="D1393" s="1075"/>
      <c r="E1393" s="1205"/>
      <c r="F1393" s="1197"/>
    </row>
    <row r="1394" spans="1:6" ht="15.5">
      <c r="A1394" s="1135"/>
      <c r="B1394" s="1089"/>
      <c r="C1394" s="1089"/>
      <c r="D1394" s="1075"/>
      <c r="E1394" s="1205"/>
      <c r="F1394" s="1197"/>
    </row>
    <row r="1395" spans="1:6" ht="15.5">
      <c r="A1395" s="1135"/>
      <c r="B1395" s="1089"/>
      <c r="C1395" s="1089"/>
      <c r="D1395" s="1075"/>
      <c r="E1395" s="1205"/>
      <c r="F1395" s="1197"/>
    </row>
    <row r="1396" spans="1:6" ht="15.5">
      <c r="A1396" s="1135"/>
      <c r="B1396" s="1089"/>
      <c r="C1396" s="1089"/>
      <c r="D1396" s="1075"/>
      <c r="E1396" s="1205"/>
      <c r="F1396" s="1197"/>
    </row>
    <row r="1397" spans="1:6" ht="15.5">
      <c r="A1397" s="1135"/>
      <c r="B1397" s="1089"/>
      <c r="C1397" s="1089"/>
      <c r="D1397" s="1075"/>
      <c r="E1397" s="1205"/>
      <c r="F1397" s="1197"/>
    </row>
    <row r="1398" spans="1:6" ht="15.5">
      <c r="A1398" s="1135"/>
      <c r="B1398" s="1089"/>
      <c r="C1398" s="1089"/>
      <c r="D1398" s="1075"/>
      <c r="E1398" s="1205"/>
      <c r="F1398" s="1197"/>
    </row>
    <row r="1399" spans="1:6" ht="15.5">
      <c r="A1399" s="1135"/>
      <c r="B1399" s="1089"/>
      <c r="C1399" s="1089"/>
      <c r="D1399" s="1075"/>
      <c r="E1399" s="1205"/>
      <c r="F1399" s="1197"/>
    </row>
    <row r="1400" spans="1:6" ht="15.5">
      <c r="A1400" s="1135"/>
      <c r="B1400" s="1089"/>
      <c r="C1400" s="1089"/>
      <c r="D1400" s="1075"/>
      <c r="E1400" s="1205"/>
      <c r="F1400" s="1197"/>
    </row>
    <row r="1401" spans="1:6" ht="15.5">
      <c r="A1401" s="1135"/>
      <c r="B1401" s="1089"/>
      <c r="C1401" s="1089"/>
      <c r="D1401" s="1075"/>
      <c r="E1401" s="1205"/>
      <c r="F1401" s="1197"/>
    </row>
    <row r="1402" spans="1:6" ht="15.5">
      <c r="A1402" s="1135"/>
      <c r="B1402" s="1089"/>
      <c r="C1402" s="1089"/>
      <c r="D1402" s="1075"/>
      <c r="E1402" s="1205"/>
      <c r="F1402" s="1197"/>
    </row>
    <row r="1403" spans="1:6" ht="15.5">
      <c r="A1403" s="1135"/>
      <c r="B1403" s="1074"/>
      <c r="C1403" s="1074"/>
      <c r="D1403" s="1081"/>
      <c r="E1403" s="1205"/>
      <c r="F1403" s="1197"/>
    </row>
    <row r="1404" spans="1:6" ht="15.5">
      <c r="A1404" s="1135"/>
      <c r="B1404" s="1074"/>
      <c r="C1404" s="1074"/>
      <c r="D1404" s="1081"/>
      <c r="E1404" s="1205"/>
      <c r="F1404" s="1197"/>
    </row>
    <row r="1405" spans="1:6" ht="15.5">
      <c r="A1405" s="1135"/>
      <c r="B1405" s="1074"/>
      <c r="C1405" s="1074"/>
      <c r="D1405" s="1081"/>
      <c r="E1405" s="1205"/>
      <c r="F1405" s="1197"/>
    </row>
    <row r="1406" spans="1:6" ht="15.5">
      <c r="A1406" s="1135"/>
      <c r="B1406" s="1074"/>
      <c r="C1406" s="1074"/>
      <c r="D1406" s="1081"/>
      <c r="E1406" s="1205"/>
      <c r="F1406" s="1197"/>
    </row>
    <row r="1407" spans="1:6" ht="15.5">
      <c r="A1407" s="1135"/>
      <c r="B1407" s="1074"/>
      <c r="C1407" s="1074"/>
      <c r="D1407" s="1081"/>
      <c r="E1407" s="1205"/>
      <c r="F1407" s="1197"/>
    </row>
    <row r="1408" spans="1:6" ht="15.5">
      <c r="A1408" s="1135"/>
      <c r="B1408" s="1085"/>
      <c r="C1408" s="1085"/>
      <c r="D1408" s="1081"/>
      <c r="E1408" s="1205"/>
      <c r="F1408" s="1197"/>
    </row>
    <row r="1409" spans="1:6" ht="15.5">
      <c r="A1409" s="1404" t="s">
        <v>701</v>
      </c>
      <c r="B1409" s="1405"/>
      <c r="C1409" s="1087"/>
      <c r="D1409" s="1083">
        <f>SUM(D1381:D1403)</f>
        <v>131855</v>
      </c>
      <c r="E1409" s="1208">
        <f>SUM(E1381:E1406)</f>
        <v>0</v>
      </c>
      <c r="F1409" s="1197"/>
    </row>
    <row r="1410" spans="1:6" ht="15.5">
      <c r="A1410" s="1064"/>
      <c r="B1410" s="1197"/>
      <c r="C1410" s="1197"/>
      <c r="D1410" s="1215"/>
      <c r="E1410" s="1197"/>
      <c r="F1410" s="1197"/>
    </row>
    <row r="1411" spans="1:6" ht="15.5">
      <c r="A1411" s="1068" t="s">
        <v>862</v>
      </c>
      <c r="B1411" s="1068"/>
      <c r="C1411" s="1065"/>
      <c r="D1411" s="1066"/>
      <c r="E1411" s="1065"/>
      <c r="F1411" s="1197"/>
    </row>
    <row r="1412" spans="1:6" ht="15.5">
      <c r="A1412" s="1069" t="s">
        <v>690</v>
      </c>
      <c r="B1412" s="1070" t="s">
        <v>691</v>
      </c>
      <c r="C1412" s="1070" t="s">
        <v>692</v>
      </c>
      <c r="D1412" s="1071">
        <v>2014</v>
      </c>
      <c r="E1412" s="1088">
        <v>2013</v>
      </c>
      <c r="F1412" s="1197"/>
    </row>
    <row r="1413" spans="1:6" ht="15.75" customHeight="1">
      <c r="A1413" s="1135" t="s">
        <v>863</v>
      </c>
      <c r="B1413" s="1089" t="s">
        <v>864</v>
      </c>
      <c r="C1413" s="1089"/>
      <c r="D1413" s="1075">
        <f>VLOOKUP(A1413,'[93]Trial Balance'!$1:$1048576,9,FALSE)+1</f>
        <v>15729866</v>
      </c>
      <c r="E1413" s="1205">
        <f>VLOOKUP(A1413,'[95]Trial Balance'!$1:$1048576,9,FALSE)+1</f>
        <v>13788217</v>
      </c>
      <c r="F1413" s="1197"/>
    </row>
    <row r="1414" spans="1:6" ht="15.75" customHeight="1">
      <c r="A1414" s="1135" t="s">
        <v>865</v>
      </c>
      <c r="B1414" s="1089" t="str">
        <f>VLOOKUP(A1414,'[93]Trial Balance'!$1:$1048576,2,FALSE)</f>
        <v>Meezan Murabaha Account</v>
      </c>
      <c r="C1414" s="1089"/>
      <c r="D1414" s="1075">
        <f>VLOOKUP(A1414,'[93]Trial Balance'!$1:$1048576,9,FALSE)</f>
        <v>24915367</v>
      </c>
      <c r="E1414" s="1205">
        <f>VLOOKUP(A1414,'[95]Trial Balance'!$1:$1048576,9,FALSE)</f>
        <v>12400000</v>
      </c>
      <c r="F1414" s="1197"/>
    </row>
    <row r="1415" spans="1:6" ht="15.5">
      <c r="A1415" s="1135"/>
      <c r="B1415" s="1089"/>
      <c r="C1415" s="1089"/>
      <c r="D1415" s="1075"/>
      <c r="E1415" s="1205"/>
      <c r="F1415" s="1197"/>
    </row>
    <row r="1416" spans="1:6" ht="15.5">
      <c r="A1416" s="1135"/>
      <c r="B1416" s="1089"/>
      <c r="C1416" s="1089"/>
      <c r="D1416" s="1075"/>
      <c r="E1416" s="1205"/>
      <c r="F1416" s="1197"/>
    </row>
    <row r="1417" spans="1:6" ht="15.5">
      <c r="A1417" s="1135"/>
      <c r="B1417" s="1089"/>
      <c r="C1417" s="1089"/>
      <c r="D1417" s="1075"/>
      <c r="E1417" s="1205"/>
      <c r="F1417" s="1197"/>
    </row>
    <row r="1418" spans="1:6" ht="15.5">
      <c r="A1418" s="1135"/>
      <c r="B1418" s="1089"/>
      <c r="C1418" s="1089"/>
      <c r="D1418" s="1075"/>
      <c r="E1418" s="1205"/>
      <c r="F1418" s="1197"/>
    </row>
    <row r="1419" spans="1:6" ht="15.5">
      <c r="A1419" s="1135"/>
      <c r="B1419" s="1089"/>
      <c r="C1419" s="1089"/>
      <c r="D1419" s="1075"/>
      <c r="E1419" s="1205"/>
      <c r="F1419" s="1197"/>
    </row>
    <row r="1420" spans="1:6" ht="15.5">
      <c r="A1420" s="1135"/>
      <c r="B1420" s="1089"/>
      <c r="C1420" s="1089"/>
      <c r="D1420" s="1075"/>
      <c r="E1420" s="1205"/>
      <c r="F1420" s="1197"/>
    </row>
    <row r="1421" spans="1:6" ht="15.5">
      <c r="A1421" s="1135"/>
      <c r="B1421" s="1089"/>
      <c r="C1421" s="1089"/>
      <c r="D1421" s="1075"/>
      <c r="E1421" s="1205"/>
      <c r="F1421" s="1197"/>
    </row>
    <row r="1422" spans="1:6" ht="15.5">
      <c r="A1422" s="1135"/>
      <c r="B1422" s="1089"/>
      <c r="C1422" s="1089"/>
      <c r="D1422" s="1075"/>
      <c r="E1422" s="1205"/>
      <c r="F1422" s="1197"/>
    </row>
    <row r="1423" spans="1:6" ht="15.5">
      <c r="A1423" s="1135"/>
      <c r="B1423" s="1089"/>
      <c r="C1423" s="1089"/>
      <c r="D1423" s="1075"/>
      <c r="E1423" s="1205"/>
      <c r="F1423" s="1197"/>
    </row>
    <row r="1424" spans="1:6" ht="15.5">
      <c r="A1424" s="1135"/>
      <c r="B1424" s="1089"/>
      <c r="C1424" s="1089"/>
      <c r="D1424" s="1075"/>
      <c r="E1424" s="1205"/>
      <c r="F1424" s="1197"/>
    </row>
    <row r="1425" spans="1:6" ht="15.5">
      <c r="A1425" s="1135"/>
      <c r="B1425" s="1089"/>
      <c r="C1425" s="1089"/>
      <c r="D1425" s="1075"/>
      <c r="E1425" s="1205"/>
      <c r="F1425" s="1197"/>
    </row>
    <row r="1426" spans="1:6" ht="15.5">
      <c r="A1426" s="1135"/>
      <c r="B1426" s="1074"/>
      <c r="C1426" s="1074"/>
      <c r="D1426" s="1081"/>
      <c r="E1426" s="1205"/>
      <c r="F1426" s="1197"/>
    </row>
    <row r="1427" spans="1:6" ht="15.5">
      <c r="A1427" s="1135"/>
      <c r="B1427" s="1074"/>
      <c r="C1427" s="1074"/>
      <c r="D1427" s="1081"/>
      <c r="E1427" s="1205"/>
      <c r="F1427" s="1197"/>
    </row>
    <row r="1428" spans="1:6" ht="15.5">
      <c r="A1428" s="1135"/>
      <c r="B1428" s="1074"/>
      <c r="C1428" s="1074"/>
      <c r="D1428" s="1081"/>
      <c r="E1428" s="1205"/>
      <c r="F1428" s="1197"/>
    </row>
    <row r="1429" spans="1:6" ht="15.5">
      <c r="A1429" s="1135"/>
      <c r="B1429" s="1074"/>
      <c r="C1429" s="1074"/>
      <c r="D1429" s="1081"/>
      <c r="E1429" s="1205"/>
      <c r="F1429" s="1197"/>
    </row>
    <row r="1430" spans="1:6" ht="15.5">
      <c r="A1430" s="1135"/>
      <c r="B1430" s="1074"/>
      <c r="C1430" s="1074"/>
      <c r="D1430" s="1081"/>
      <c r="E1430" s="1205"/>
      <c r="F1430" s="1197"/>
    </row>
    <row r="1431" spans="1:6" ht="15.5">
      <c r="A1431" s="1135"/>
      <c r="B1431" s="1085"/>
      <c r="C1431" s="1085"/>
      <c r="D1431" s="1081"/>
      <c r="E1431" s="1205"/>
      <c r="F1431" s="1197"/>
    </row>
    <row r="1432" spans="1:6" ht="15.5">
      <c r="A1432" s="1404" t="s">
        <v>701</v>
      </c>
      <c r="B1432" s="1405"/>
      <c r="C1432" s="1087"/>
      <c r="D1432" s="1083">
        <f>SUM(D1413:D1426)</f>
        <v>40645233</v>
      </c>
      <c r="E1432" s="1206">
        <f>SUM(E1413:E1429)</f>
        <v>26188217</v>
      </c>
      <c r="F1432" s="1197"/>
    </row>
    <row r="1433" spans="1:6" ht="15.5">
      <c r="A1433" s="1064"/>
      <c r="B1433" s="1197"/>
      <c r="C1433" s="1197"/>
      <c r="D1433" s="1215"/>
      <c r="E1433" s="1197"/>
      <c r="F1433" s="1197"/>
    </row>
    <row r="1434" spans="1:6" ht="15.5">
      <c r="A1434" s="1068" t="s">
        <v>866</v>
      </c>
      <c r="B1434" s="1068"/>
      <c r="C1434" s="1065"/>
      <c r="D1434" s="1066"/>
      <c r="E1434" s="1065"/>
      <c r="F1434" s="1197"/>
    </row>
    <row r="1435" spans="1:6" ht="15.5">
      <c r="A1435" s="1069" t="s">
        <v>690</v>
      </c>
      <c r="B1435" s="1070" t="s">
        <v>691</v>
      </c>
      <c r="C1435" s="1070" t="s">
        <v>692</v>
      </c>
      <c r="D1435" s="1187">
        <v>2014</v>
      </c>
      <c r="E1435" s="1198">
        <v>2013</v>
      </c>
      <c r="F1435" s="1197"/>
    </row>
    <row r="1436" spans="1:6" ht="15.75" customHeight="1">
      <c r="A1436" s="1135" t="s">
        <v>867</v>
      </c>
      <c r="B1436" s="1218" t="str">
        <f>VLOOKUP(A1436,'[93]Trial Balance'!$1:$1048576,2,FALSE)</f>
        <v>Sales GST</v>
      </c>
      <c r="C1436" s="1091"/>
      <c r="D1436" s="1077">
        <f>VLOOKUP(A1436,'[93]Trial Balance'!$1:$1048576,9,FALSE)+D1441</f>
        <v>248287595</v>
      </c>
      <c r="E1436" s="1233">
        <f>VLOOKUP(A1436,'[95]Trial Balance'!$1:$1048576,9,FALSE)+E1441</f>
        <v>239489138</v>
      </c>
      <c r="F1436" s="1197"/>
    </row>
    <row r="1437" spans="1:6" ht="16.5" customHeight="1">
      <c r="A1437" s="1135" t="s">
        <v>868</v>
      </c>
      <c r="B1437" s="1219" t="str">
        <f>VLOOKUP(A1437,'[93]Trial Balance'!$1:$1048576,2,FALSE)</f>
        <v>Zero Rated Sales</v>
      </c>
      <c r="C1437" s="1091"/>
      <c r="D1437" s="1079">
        <f>VLOOKUP(A1437,'[93]Trial Balance'!$1:$1048576,9,FALSE)</f>
        <v>1800000</v>
      </c>
      <c r="E1437" s="1234">
        <f>VLOOKUP(A1437,'[95]Trial Balance'!$1:$1048576,9,FALSE)</f>
        <v>154000</v>
      </c>
      <c r="F1437" s="1197"/>
    </row>
    <row r="1438" spans="1:6" ht="15.75" customHeight="1">
      <c r="A1438" s="1135"/>
      <c r="B1438" s="1220" t="s">
        <v>869</v>
      </c>
      <c r="C1438" s="1089"/>
      <c r="D1438" s="1221">
        <f>D1436+D1437</f>
        <v>250087595</v>
      </c>
      <c r="E1438" s="1235">
        <f>E1436+E1437</f>
        <v>239643138</v>
      </c>
      <c r="F1438" s="1197"/>
    </row>
    <row r="1439" spans="1:6" ht="16.5" customHeight="1">
      <c r="A1439" s="1135" t="s">
        <v>870</v>
      </c>
      <c r="B1439" s="1222" t="s">
        <v>871</v>
      </c>
      <c r="C1439" s="1089"/>
      <c r="D1439" s="1223">
        <f>VLOOKUP(A1439,'[93]Trial Balance'!$1:$1048576,8,FALSE)</f>
        <v>1622774</v>
      </c>
      <c r="E1439" s="1236">
        <f>VLOOKUP(A1439,'[95]Trial Balance'!$1:$1048576,8,FALSE)</f>
        <v>2628842</v>
      </c>
      <c r="F1439" s="1197"/>
    </row>
    <row r="1440" spans="1:6" ht="15.5">
      <c r="A1440" s="1135"/>
      <c r="B1440" s="1219"/>
      <c r="C1440" s="1089"/>
      <c r="D1440" s="1221">
        <f>D1438-D1439</f>
        <v>248464821</v>
      </c>
      <c r="E1440" s="1235">
        <f>E1438-E1439</f>
        <v>237014296</v>
      </c>
      <c r="F1440" s="1197"/>
    </row>
    <row r="1441" spans="1:6" ht="16.5" customHeight="1">
      <c r="A1441" s="1135"/>
      <c r="B1441" s="1222" t="s">
        <v>872</v>
      </c>
      <c r="C1441" s="1089"/>
      <c r="D1441" s="1223">
        <v>35859121</v>
      </c>
      <c r="E1441" s="1236">
        <v>32832424</v>
      </c>
      <c r="F1441" s="1197"/>
    </row>
    <row r="1442" spans="1:6" ht="16.5" customHeight="1">
      <c r="A1442" s="1135"/>
      <c r="B1442" s="1220" t="s">
        <v>873</v>
      </c>
      <c r="C1442" s="1091"/>
      <c r="D1442" s="1189">
        <f>D1440-D1441</f>
        <v>212605700</v>
      </c>
      <c r="E1442" s="1199">
        <f>E1440-E1441</f>
        <v>204181872</v>
      </c>
      <c r="F1442" s="1197"/>
    </row>
    <row r="1443" spans="1:6" ht="15.5">
      <c r="A1443" s="1135"/>
      <c r="B1443" s="1219"/>
      <c r="C1443" s="1089"/>
      <c r="D1443" s="1221"/>
      <c r="E1443" s="1204"/>
      <c r="F1443" s="1197"/>
    </row>
    <row r="1444" spans="1:6" ht="15.5">
      <c r="A1444" s="1135"/>
      <c r="B1444" s="1219"/>
      <c r="C1444" s="1089"/>
      <c r="D1444" s="1075"/>
      <c r="E1444" s="1205"/>
      <c r="F1444" s="1197"/>
    </row>
    <row r="1445" spans="1:6" ht="15.5">
      <c r="A1445" s="1135"/>
      <c r="B1445" s="1219"/>
      <c r="C1445" s="1089"/>
      <c r="D1445" s="1075"/>
      <c r="E1445" s="1205"/>
      <c r="F1445" s="1197"/>
    </row>
    <row r="1446" spans="1:6" ht="15.5">
      <c r="A1446" s="1135"/>
      <c r="B1446" s="1219"/>
      <c r="C1446" s="1089"/>
      <c r="D1446" s="1075"/>
      <c r="E1446" s="1205"/>
      <c r="F1446" s="1197"/>
    </row>
    <row r="1447" spans="1:6" ht="15.5">
      <c r="A1447" s="1135"/>
      <c r="B1447" s="1219"/>
      <c r="C1447" s="1089"/>
      <c r="D1447" s="1075"/>
      <c r="E1447" s="1205"/>
      <c r="F1447" s="1197"/>
    </row>
    <row r="1448" spans="1:6" ht="15.5">
      <c r="A1448" s="1135"/>
      <c r="B1448" s="1219"/>
      <c r="C1448" s="1089"/>
      <c r="D1448" s="1075"/>
      <c r="E1448" s="1205"/>
      <c r="F1448" s="1197"/>
    </row>
    <row r="1449" spans="1:6" ht="15.5">
      <c r="A1449" s="1135"/>
      <c r="B1449" s="1219"/>
      <c r="C1449" s="1074"/>
      <c r="D1449" s="1081"/>
      <c r="E1449" s="1205"/>
      <c r="F1449" s="1197"/>
    </row>
    <row r="1450" spans="1:6" ht="15.5">
      <c r="A1450" s="1135"/>
      <c r="B1450" s="1219"/>
      <c r="C1450" s="1074"/>
      <c r="D1450" s="1081"/>
      <c r="E1450" s="1205"/>
      <c r="F1450" s="1197"/>
    </row>
    <row r="1451" spans="1:6" ht="15.5">
      <c r="A1451" s="1135"/>
      <c r="B1451" s="1219"/>
      <c r="C1451" s="1074"/>
      <c r="D1451" s="1081"/>
      <c r="E1451" s="1205"/>
      <c r="F1451" s="1197"/>
    </row>
    <row r="1452" spans="1:6" ht="15.5">
      <c r="A1452" s="1135"/>
      <c r="B1452" s="1219"/>
      <c r="C1452" s="1074"/>
      <c r="D1452" s="1081"/>
      <c r="E1452" s="1205"/>
      <c r="F1452" s="1197"/>
    </row>
    <row r="1453" spans="1:6" ht="15.5">
      <c r="A1453" s="1135"/>
      <c r="B1453" s="1219"/>
      <c r="C1453" s="1074"/>
      <c r="D1453" s="1081"/>
      <c r="E1453" s="1205"/>
      <c r="F1453" s="1197"/>
    </row>
    <row r="1454" spans="1:6" ht="15.5">
      <c r="A1454" s="1135"/>
      <c r="B1454" s="1219"/>
      <c r="C1454" s="1085"/>
      <c r="D1454" s="1081"/>
      <c r="E1454" s="1205"/>
      <c r="F1454" s="1197"/>
    </row>
    <row r="1455" spans="1:6" ht="15.5">
      <c r="A1455" s="1404" t="s">
        <v>701</v>
      </c>
      <c r="B1455" s="1405"/>
      <c r="C1455" s="1087"/>
      <c r="D1455" s="1083">
        <f>D1442</f>
        <v>212605700</v>
      </c>
      <c r="E1455" s="1206">
        <f>E1442</f>
        <v>204181872</v>
      </c>
      <c r="F1455" s="1197"/>
    </row>
    <row r="1456" spans="1:6" ht="15.5">
      <c r="A1456" s="1064"/>
      <c r="B1456" s="1197"/>
      <c r="C1456" s="1197"/>
      <c r="D1456" s="1215"/>
      <c r="E1456" s="1197"/>
      <c r="F1456" s="1197"/>
    </row>
    <row r="1457" spans="1:6" ht="15.5">
      <c r="A1457" s="1068" t="s">
        <v>874</v>
      </c>
      <c r="B1457" s="1068"/>
      <c r="C1457" s="1065"/>
      <c r="D1457" s="1066"/>
      <c r="E1457" s="1065"/>
      <c r="F1457" s="1197"/>
    </row>
    <row r="1458" spans="1:6" ht="15.5">
      <c r="A1458" s="1069" t="s">
        <v>690</v>
      </c>
      <c r="B1458" s="1070" t="s">
        <v>691</v>
      </c>
      <c r="C1458" s="1070" t="s">
        <v>692</v>
      </c>
      <c r="D1458" s="1071">
        <v>2014</v>
      </c>
      <c r="E1458" s="1088">
        <v>2013</v>
      </c>
      <c r="F1458" s="1197"/>
    </row>
    <row r="1459" spans="1:6" ht="15.75" customHeight="1">
      <c r="A1459" s="1135"/>
      <c r="B1459" s="1224" t="s">
        <v>875</v>
      </c>
      <c r="C1459" s="1089"/>
      <c r="D1459" s="1075">
        <f>[93]NOTES!L164</f>
        <v>7101759</v>
      </c>
      <c r="E1459" s="1205">
        <v>8643716</v>
      </c>
      <c r="F1459" s="1197"/>
    </row>
    <row r="1460" spans="1:6" ht="16.5" customHeight="1">
      <c r="A1460" s="1135"/>
      <c r="B1460" s="1225" t="s">
        <v>876</v>
      </c>
      <c r="C1460" s="1089"/>
      <c r="D1460" s="1162"/>
      <c r="E1460" s="1216"/>
      <c r="F1460" s="1197"/>
    </row>
    <row r="1461" spans="1:6" ht="15.75" customHeight="1">
      <c r="A1461" s="1135" t="s">
        <v>877</v>
      </c>
      <c r="B1461" s="1224" t="str">
        <f>VLOOKUP(A1461,'[93]Trial Balance'!$1:$1048576,2,FALSE)</f>
        <v>Purchase GST</v>
      </c>
      <c r="C1461" s="1091"/>
      <c r="D1461" s="1077">
        <f>VLOOKUP(A1461,'[93]Trial Balance'!$1:$1048576,8,FALSE)</f>
        <v>149399512</v>
      </c>
      <c r="E1461" s="1233">
        <f>VLOOKUP(A1461,'[95]Trial Balance'!$1:$1048576,8,FALSE)</f>
        <v>158262948</v>
      </c>
      <c r="F1461" s="1197"/>
    </row>
    <row r="1462" spans="1:6" ht="15.75" customHeight="1">
      <c r="A1462" s="1135" t="s">
        <v>878</v>
      </c>
      <c r="B1462" s="1224" t="str">
        <f>VLOOKUP(A1462,'[93]Trial Balance'!$1:$1048576,2,FALSE)</f>
        <v>Purchase Non GST</v>
      </c>
      <c r="C1462" s="1091"/>
      <c r="D1462" s="1078">
        <f>VLOOKUP(A1462,'[93]Trial Balance'!$1:$1048576,8,FALSE)</f>
        <v>0</v>
      </c>
      <c r="E1462" s="1237">
        <f>VLOOKUP(A1462,'[95]Trial Balance'!$1:$1048576,8,FALSE)</f>
        <v>22620</v>
      </c>
      <c r="F1462" s="1197"/>
    </row>
    <row r="1463" spans="1:6" ht="15.75" customHeight="1">
      <c r="A1463" s="1135" t="s">
        <v>879</v>
      </c>
      <c r="B1463" s="1224" t="str">
        <f>VLOOKUP(A1463,'[93]Trial Balance'!$1:$1048576,2,FALSE)</f>
        <v>Imports</v>
      </c>
      <c r="C1463" s="1091"/>
      <c r="D1463" s="1078">
        <f>VLOOKUP(A1463,'[93]Trial Balance'!$1:$1048576,8,FALSE)</f>
        <v>7810455</v>
      </c>
      <c r="E1463" s="1237">
        <v>0</v>
      </c>
      <c r="F1463" s="1197"/>
    </row>
    <row r="1464" spans="1:6" ht="15.75" customHeight="1">
      <c r="A1464" s="1135" t="s">
        <v>880</v>
      </c>
      <c r="B1464" s="1224" t="str">
        <f>VLOOKUP(A1464,'[93]Trial Balance'!$1:$1048576,2,FALSE)</f>
        <v>Custom &amp; Clearing Charges</v>
      </c>
      <c r="C1464" s="1091"/>
      <c r="D1464" s="1078">
        <f>VLOOKUP(A1464,'[93]Trial Balance'!$1:$1048576,8,FALSE)</f>
        <v>1789732</v>
      </c>
      <c r="E1464" s="1237">
        <v>0</v>
      </c>
      <c r="F1464" s="1197"/>
    </row>
    <row r="1465" spans="1:6" ht="15.75" customHeight="1">
      <c r="A1465" s="1135" t="s">
        <v>881</v>
      </c>
      <c r="B1465" s="1224" t="str">
        <f>VLOOKUP(A1465,'[93]Trial Balance'!$1:$1048576,2,FALSE)</f>
        <v>Transportation</v>
      </c>
      <c r="C1465" s="1091"/>
      <c r="D1465" s="1078">
        <f>VLOOKUP(A1465,'[93]Trial Balance'!$1:$1048576,8,FALSE)</f>
        <v>84600</v>
      </c>
      <c r="E1465" s="1237">
        <f>VLOOKUP(A1465,'[95]Trial Balance'!$1:$1048576,8,FALSE)</f>
        <v>315</v>
      </c>
      <c r="F1465" s="1197"/>
    </row>
    <row r="1466" spans="1:6" ht="15.75" customHeight="1">
      <c r="A1466" s="1226" t="s">
        <v>882</v>
      </c>
      <c r="B1466" s="1227" t="str">
        <f>VLOOKUP(A1466,'[93]Trial Balance'!$1:$1048576,2,FALSE)</f>
        <v>Purchase Return GST</v>
      </c>
      <c r="C1466" s="1228"/>
      <c r="D1466" s="1079">
        <f>VLOOKUP(A1466,'[93]Trial Balance'!$1:$1048576,9,FALSE)</f>
        <v>0</v>
      </c>
      <c r="E1466" s="1234">
        <f>VLOOKUP(A1466,'[95]Trial Balance'!$1:$1048576,9,FALSE)</f>
        <v>38999</v>
      </c>
      <c r="F1466" s="1197"/>
    </row>
    <row r="1467" spans="1:6" ht="15.75" customHeight="1">
      <c r="A1467" s="1135"/>
      <c r="B1467" s="1229" t="s">
        <v>883</v>
      </c>
      <c r="C1467" s="1089"/>
      <c r="D1467" s="1221">
        <f>SUM(D1461:D1465)-D1466</f>
        <v>159084299</v>
      </c>
      <c r="E1467" s="1235">
        <f>SUM(E1461:E1465)-E1466</f>
        <v>158246884</v>
      </c>
      <c r="F1467" s="1197"/>
    </row>
    <row r="1468" spans="1:6" ht="15.75" customHeight="1">
      <c r="A1468" s="1230"/>
      <c r="B1468" s="1231" t="s">
        <v>884</v>
      </c>
      <c r="C1468" s="1232"/>
      <c r="D1468" s="1221">
        <f>D1459+D1467</f>
        <v>166186058</v>
      </c>
      <c r="E1468" s="1235">
        <f>E1459+E1467</f>
        <v>166890600</v>
      </c>
      <c r="F1468" s="1197"/>
    </row>
    <row r="1469" spans="1:6" ht="15.75" customHeight="1">
      <c r="A1469" s="1135" t="s">
        <v>885</v>
      </c>
      <c r="B1469" s="1225" t="s">
        <v>886</v>
      </c>
      <c r="C1469" s="1091"/>
      <c r="D1469" s="1223">
        <f>VLOOKUP(A1469,'[93]Trial Balance'!$1:$1048576,8,FALSE)</f>
        <v>19605884</v>
      </c>
      <c r="E1469" s="1236">
        <f>[93]NOTES!L164</f>
        <v>7101759</v>
      </c>
      <c r="F1469" s="1197"/>
    </row>
    <row r="1470" spans="1:6" ht="15.75" customHeight="1">
      <c r="A1470" s="1135"/>
      <c r="B1470" s="1229" t="s">
        <v>887</v>
      </c>
      <c r="C1470" s="1091"/>
      <c r="D1470" s="1221">
        <f>D1468-D1469</f>
        <v>146580174</v>
      </c>
      <c r="E1470" s="1235">
        <f>E1468-E1469</f>
        <v>159788841</v>
      </c>
      <c r="F1470" s="1197"/>
    </row>
    <row r="1471" spans="1:6" ht="15.5">
      <c r="A1471" s="1135"/>
      <c r="B1471" s="1224"/>
      <c r="C1471" s="1089"/>
      <c r="D1471" s="1221"/>
      <c r="E1471" s="1204"/>
      <c r="F1471" s="1197"/>
    </row>
    <row r="1472" spans="1:6" ht="16.5" customHeight="1">
      <c r="A1472" s="1135"/>
      <c r="B1472" s="1224" t="s">
        <v>888</v>
      </c>
      <c r="C1472" s="1089"/>
      <c r="D1472" s="1162"/>
      <c r="E1472" s="1216"/>
      <c r="F1472" s="1197"/>
    </row>
    <row r="1473" spans="1:6" ht="15.75" customHeight="1">
      <c r="A1473" s="1135" t="s">
        <v>889</v>
      </c>
      <c r="B1473" s="1224" t="str">
        <f>VLOOKUP(A1473,'[93]Trial Balance'!$1:$1048576,2,FALSE)</f>
        <v>Stores</v>
      </c>
      <c r="C1473" s="1091"/>
      <c r="D1473" s="1077">
        <f>VLOOKUP(A1473,'[93]Trial Balance'!$1:$1048576,8,FALSE)</f>
        <v>3898957</v>
      </c>
      <c r="E1473" s="1233">
        <f>VLOOKUP(A1473,'[95]Trial Balance'!$1:$1048576,8,FALSE)</f>
        <v>1652117</v>
      </c>
      <c r="F1473" s="1197"/>
    </row>
    <row r="1474" spans="1:6" ht="15.75" customHeight="1">
      <c r="A1474" s="1135" t="s">
        <v>890</v>
      </c>
      <c r="B1474" s="1224" t="str">
        <f>VLOOKUP(A1474,'[93]Trial Balance'!$1:$1048576,2,FALSE)</f>
        <v>Employees Salary Expense</v>
      </c>
      <c r="C1474" s="1091"/>
      <c r="D1474" s="1078">
        <f>VLOOKUP(A1474,'[93]Trial Balance'!$1:$1048576,8,FALSE)</f>
        <v>13580629</v>
      </c>
      <c r="E1474" s="1237">
        <f>VLOOKUP(A1474,'[95]Trial Balance'!$1:$1048576,8,FALSE)</f>
        <v>8549484</v>
      </c>
      <c r="F1474" s="1197"/>
    </row>
    <row r="1475" spans="1:6" ht="15.75" customHeight="1">
      <c r="A1475" s="1135" t="s">
        <v>891</v>
      </c>
      <c r="B1475" s="1224" t="str">
        <f>VLOOKUP(A1475,'[93]Trial Balance'!$1:$1048576,2,FALSE)</f>
        <v>SUI Gas Expense</v>
      </c>
      <c r="C1475" s="1091"/>
      <c r="D1475" s="1078">
        <f>VLOOKUP(A1475,'[93]Trial Balance'!$1:$1048576,8,FALSE)</f>
        <v>1249475</v>
      </c>
      <c r="E1475" s="1237">
        <f>VLOOKUP(A1475,'[95]Trial Balance'!$1:$1048576,8,FALSE)</f>
        <v>1585512</v>
      </c>
      <c r="F1475" s="1197"/>
    </row>
    <row r="1476" spans="1:6" ht="15.75" customHeight="1">
      <c r="A1476" s="1135" t="s">
        <v>892</v>
      </c>
      <c r="B1476" s="1224" t="str">
        <f>VLOOKUP(A1476,'[93]Trial Balance'!$1:$1048576,2,FALSE)</f>
        <v>Electricity Expense</v>
      </c>
      <c r="C1476" s="1091"/>
      <c r="D1476" s="1078">
        <f>VLOOKUP(A1476,'[93]Trial Balance'!$1:$1048576,8,FALSE)</f>
        <v>7584456</v>
      </c>
      <c r="E1476" s="1237">
        <f>VLOOKUP(A1476,'[95]Trial Balance'!$1:$1048576,8,FALSE)</f>
        <v>5622782</v>
      </c>
      <c r="F1476" s="1197"/>
    </row>
    <row r="1477" spans="1:6" ht="15.75" customHeight="1">
      <c r="A1477" s="1135" t="s">
        <v>893</v>
      </c>
      <c r="B1477" s="1224" t="str">
        <f>VLOOKUP(A1477,'[93]Trial Balance'!$1:$1048576,2,FALSE)</f>
        <v>Fuel for Generator</v>
      </c>
      <c r="C1477" s="1091"/>
      <c r="D1477" s="1078">
        <f>VLOOKUP(A1477,'[93]Trial Balance'!$1:$1048576,8,FALSE)</f>
        <v>1139831</v>
      </c>
      <c r="E1477" s="1237">
        <f>VLOOKUP(A1477,'[95]Trial Balance'!$1:$1048576,8,FALSE)</f>
        <v>674720</v>
      </c>
      <c r="F1477" s="1197"/>
    </row>
    <row r="1478" spans="1:6" ht="15.75" customHeight="1">
      <c r="A1478" s="1135" t="s">
        <v>894</v>
      </c>
      <c r="B1478" s="1224" t="str">
        <f>VLOOKUP(A1478,'[93]Trial Balance'!$1:$1048576,2,FALSE)</f>
        <v>Dies Consumed</v>
      </c>
      <c r="C1478" s="1091"/>
      <c r="D1478" s="1078">
        <f>VLOOKUP(A1478,'[93]Trial Balance'!$1:$1048576,8,FALSE)</f>
        <v>9719</v>
      </c>
      <c r="E1478" s="1237">
        <f>VLOOKUP(A1478,'[95]Trial Balance'!$1:$1048576,8,FALSE)</f>
        <v>304860</v>
      </c>
      <c r="F1478" s="1197"/>
    </row>
    <row r="1479" spans="1:6" ht="15.75" customHeight="1">
      <c r="A1479" s="1135" t="s">
        <v>895</v>
      </c>
      <c r="B1479" s="1224" t="str">
        <f>VLOOKUP(A1479,'[93]Trial Balance'!$1:$1048576,2,FALSE)</f>
        <v>Repair &amp; Maint. Factory</v>
      </c>
      <c r="C1479" s="1091"/>
      <c r="D1479" s="1078">
        <f>VLOOKUP(A1479,'[93]Trial Balance'!$1:$1048576,8,FALSE)</f>
        <v>921128</v>
      </c>
      <c r="E1479" s="1237">
        <f>VLOOKUP(A1479,'[95]Trial Balance'!$1:$1048576,8,FALSE)</f>
        <v>385639</v>
      </c>
      <c r="F1479" s="1197"/>
    </row>
    <row r="1480" spans="1:6" ht="15.75" customHeight="1">
      <c r="A1480" s="1135"/>
      <c r="B1480" s="1224" t="s">
        <v>759</v>
      </c>
      <c r="C1480" s="1175"/>
      <c r="D1480" s="1195">
        <f>'[93]Trial Balance'!H235</f>
        <v>1082512</v>
      </c>
      <c r="E1480" s="1234">
        <v>836872</v>
      </c>
      <c r="F1480" s="1197"/>
    </row>
    <row r="1481" spans="1:6" ht="15.5">
      <c r="A1481" s="1135"/>
      <c r="B1481" s="1224"/>
      <c r="C1481" s="1085"/>
      <c r="D1481" s="1080">
        <f>SUM(D1473:D1480)</f>
        <v>29466707</v>
      </c>
      <c r="E1481" s="1204">
        <f>SUM(E1473:E1480)</f>
        <v>19611986</v>
      </c>
      <c r="F1481" s="1197"/>
    </row>
    <row r="1482" spans="1:6" ht="15.5">
      <c r="A1482" s="1135"/>
      <c r="B1482" s="1085"/>
      <c r="C1482" s="1085"/>
      <c r="D1482" s="1082"/>
      <c r="E1482" s="1216"/>
      <c r="F1482" s="1197"/>
    </row>
    <row r="1483" spans="1:6" ht="16.5" customHeight="1">
      <c r="A1483" s="1135"/>
      <c r="B1483" s="1238" t="s">
        <v>896</v>
      </c>
      <c r="C1483" s="1175"/>
      <c r="D1483" s="1214">
        <f>D1470+D1481</f>
        <v>176046881</v>
      </c>
      <c r="E1483" s="1217">
        <f>E1470+E1481</f>
        <v>179400827</v>
      </c>
      <c r="F1483" s="1197"/>
    </row>
    <row r="1484" spans="1:6" ht="15.5">
      <c r="A1484" s="1135"/>
      <c r="B1484" s="1224"/>
      <c r="C1484" s="1089"/>
      <c r="D1484" s="1221"/>
      <c r="E1484" s="1204"/>
      <c r="F1484" s="1197"/>
    </row>
    <row r="1485" spans="1:6" ht="15.75" customHeight="1">
      <c r="A1485" s="1135"/>
      <c r="B1485" s="1225" t="s">
        <v>897</v>
      </c>
      <c r="C1485" s="1089"/>
      <c r="D1485" s="1221">
        <f>[93]NOTES!L165</f>
        <v>19358576</v>
      </c>
      <c r="E1485" s="1204">
        <v>13689021</v>
      </c>
      <c r="F1485" s="1197"/>
    </row>
    <row r="1486" spans="1:6" ht="16.5" customHeight="1">
      <c r="A1486" s="1135"/>
      <c r="B1486" s="1225" t="s">
        <v>898</v>
      </c>
      <c r="C1486" s="1089"/>
      <c r="D1486" s="1223">
        <f>[93]NOTES!J165</f>
        <v>9479000</v>
      </c>
      <c r="E1486" s="1236">
        <f>[93]NOTES!L165</f>
        <v>19358576</v>
      </c>
      <c r="F1486" s="1197"/>
    </row>
    <row r="1487" spans="1:6" ht="15.5">
      <c r="A1487" s="1135"/>
      <c r="B1487" s="1224"/>
      <c r="C1487" s="1089"/>
      <c r="D1487" s="1080">
        <f>D1485-D1486</f>
        <v>9879576</v>
      </c>
      <c r="E1487" s="1204">
        <f>E1485-E1486</f>
        <v>-5669555</v>
      </c>
      <c r="F1487" s="1197"/>
    </row>
    <row r="1488" spans="1:6" ht="15.5">
      <c r="A1488" s="1135"/>
      <c r="B1488" s="1085"/>
      <c r="C1488" s="1085"/>
      <c r="D1488" s="1080"/>
      <c r="E1488" s="1204"/>
      <c r="F1488" s="1197"/>
    </row>
    <row r="1489" spans="1:6" ht="15.5">
      <c r="A1489" s="1404" t="s">
        <v>701</v>
      </c>
      <c r="B1489" s="1405"/>
      <c r="C1489" s="1087"/>
      <c r="D1489" s="1083">
        <f>D1483+D1487</f>
        <v>185926457</v>
      </c>
      <c r="E1489" s="1206">
        <f>E1483+E1487</f>
        <v>173731272</v>
      </c>
      <c r="F1489" s="1197"/>
    </row>
    <row r="1490" spans="1:6" ht="15.5">
      <c r="A1490" s="1064"/>
      <c r="B1490" s="1197"/>
      <c r="C1490" s="1197"/>
      <c r="D1490" s="1215"/>
      <c r="E1490" s="1197"/>
      <c r="F1490" s="1197"/>
    </row>
    <row r="1491" spans="1:6" ht="15.5">
      <c r="A1491" s="1068" t="s">
        <v>899</v>
      </c>
      <c r="B1491" s="1068"/>
      <c r="C1491" s="1065"/>
      <c r="D1491" s="1066"/>
      <c r="E1491" s="1065"/>
      <c r="F1491" s="1197"/>
    </row>
    <row r="1492" spans="1:6" ht="15.5">
      <c r="A1492" s="1069" t="s">
        <v>690</v>
      </c>
      <c r="B1492" s="1070" t="s">
        <v>691</v>
      </c>
      <c r="C1492" s="1070" t="s">
        <v>692</v>
      </c>
      <c r="D1492" s="1071">
        <v>2014</v>
      </c>
      <c r="E1492" s="1088">
        <v>2013</v>
      </c>
      <c r="F1492" s="1197"/>
    </row>
    <row r="1493" spans="1:6" ht="15.75" customHeight="1">
      <c r="A1493" s="1135" t="s">
        <v>900</v>
      </c>
      <c r="B1493" s="1089" t="str">
        <f>VLOOKUP(A1493,'[93]Trial Balance'!$1:$1048576,2,FALSE)</f>
        <v>Directors Salary Expense</v>
      </c>
      <c r="C1493" s="1089"/>
      <c r="D1493" s="1075">
        <f>VLOOKUP(A1493,'[93]Trial Balance'!$1:$1048576,8,FALSE)</f>
        <v>3276000</v>
      </c>
      <c r="E1493" s="1205">
        <f>VLOOKUP(A1493,'[95]Trial Balance'!$1:$1048576,8,FALSE)</f>
        <v>3113500</v>
      </c>
      <c r="F1493" s="1197"/>
    </row>
    <row r="1494" spans="1:6" ht="15.75" customHeight="1">
      <c r="A1494" s="1135"/>
      <c r="B1494" s="1089" t="s">
        <v>901</v>
      </c>
      <c r="C1494" s="1089"/>
      <c r="D1494" s="1075">
        <f>D1539</f>
        <v>5622678</v>
      </c>
      <c r="E1494" s="1207">
        <f>E1539</f>
        <v>3877265</v>
      </c>
      <c r="F1494" s="1197"/>
    </row>
    <row r="1495" spans="1:6" ht="15.75" customHeight="1">
      <c r="A1495" s="1135"/>
      <c r="B1495" s="1089" t="s">
        <v>902</v>
      </c>
      <c r="C1495" s="1089"/>
      <c r="D1495" s="1075">
        <f>D1562</f>
        <v>352946</v>
      </c>
      <c r="E1495" s="1207">
        <f>E1562</f>
        <v>249786</v>
      </c>
      <c r="F1495" s="1197"/>
    </row>
    <row r="1496" spans="1:6" ht="15.75" customHeight="1">
      <c r="A1496" s="1135" t="s">
        <v>903</v>
      </c>
      <c r="B1496" s="1089" t="str">
        <f>VLOOKUP(A1496,'[93]Trial Balance'!$1:$1048576,2,FALSE)</f>
        <v>Travelling &amp; Conveyance</v>
      </c>
      <c r="C1496" s="1089"/>
      <c r="D1496" s="1075">
        <f>VLOOKUP(A1496,'[93]Trial Balance'!$1:$1048576,8,FALSE)</f>
        <v>273879</v>
      </c>
      <c r="E1496" s="1205">
        <f>VLOOKUP(A1496,'[95]Trial Balance'!$1:$1048576,8,FALSE)</f>
        <v>5829</v>
      </c>
      <c r="F1496" s="1197"/>
    </row>
    <row r="1497" spans="1:6" ht="15.75" customHeight="1">
      <c r="A1497" s="1135"/>
      <c r="B1497" s="1089" t="s">
        <v>904</v>
      </c>
      <c r="C1497" s="1089"/>
      <c r="D1497" s="1075">
        <f>'[93]Trial Balance'!H249+'[93]Trial Balance'!H262</f>
        <v>0</v>
      </c>
      <c r="E1497" s="1205">
        <v>111220</v>
      </c>
      <c r="F1497" s="1197"/>
    </row>
    <row r="1498" spans="1:6" ht="15.75" customHeight="1">
      <c r="A1498" s="1135" t="s">
        <v>905</v>
      </c>
      <c r="B1498" s="1089" t="str">
        <f>VLOOKUP(A1498,'[93]Trial Balance'!$1:$1048576,2,FALSE)</f>
        <v>Postage &amp; Courier</v>
      </c>
      <c r="C1498" s="1089"/>
      <c r="D1498" s="1075">
        <f>VLOOKUP(A1498,'[93]Trial Balance'!$1:$1048576,8,FALSE)</f>
        <v>15510</v>
      </c>
      <c r="E1498" s="1205">
        <f>VLOOKUP(A1498,'[95]Trial Balance'!$1:$1048576,8,FALSE)</f>
        <v>8725</v>
      </c>
      <c r="F1498" s="1197"/>
    </row>
    <row r="1499" spans="1:6" ht="15.75" customHeight="1">
      <c r="A1499" s="1135" t="s">
        <v>906</v>
      </c>
      <c r="B1499" s="1089" t="str">
        <f>VLOOKUP(A1499,'[93]Trial Balance'!$1:$1048576,2,FALSE)</f>
        <v>Telephone Expense</v>
      </c>
      <c r="C1499" s="1089"/>
      <c r="D1499" s="1075">
        <f>VLOOKUP(A1499,'[93]Trial Balance'!$1:$1048576,8,FALSE)</f>
        <v>108489</v>
      </c>
      <c r="E1499" s="1205">
        <f>VLOOKUP(A1499,'[95]Trial Balance'!$1:$1048576,8,FALSE)</f>
        <v>119309</v>
      </c>
      <c r="F1499" s="1197"/>
    </row>
    <row r="1500" spans="1:6" ht="15.75" customHeight="1">
      <c r="A1500" s="1135" t="s">
        <v>907</v>
      </c>
      <c r="B1500" s="1089" t="str">
        <f>VLOOKUP(A1500,'[93]Trial Balance'!$1:$1048576,2,FALSE)</f>
        <v>Printing &amp; Stationery</v>
      </c>
      <c r="C1500" s="1089"/>
      <c r="D1500" s="1075">
        <f>VLOOKUP(A1500,'[93]Trial Balance'!$1:$1048576,8,FALSE)</f>
        <v>193627</v>
      </c>
      <c r="E1500" s="1205">
        <f>VLOOKUP(A1500,'[95]Trial Balance'!$1:$1048576,8,FALSE)</f>
        <v>66296</v>
      </c>
      <c r="F1500" s="1197"/>
    </row>
    <row r="1501" spans="1:6" ht="15.75" customHeight="1">
      <c r="A1501" s="1135" t="s">
        <v>908</v>
      </c>
      <c r="B1501" s="1089" t="str">
        <f>VLOOKUP(A1501,'[93]Trial Balance'!$1:$1048576,2,FALSE)</f>
        <v>Carriage &amp; Freight</v>
      </c>
      <c r="C1501" s="1089"/>
      <c r="D1501" s="1075">
        <f>VLOOKUP(A1501,'[93]Trial Balance'!$1:$1048576,8,FALSE)</f>
        <v>95880</v>
      </c>
      <c r="E1501" s="1205">
        <v>0</v>
      </c>
      <c r="F1501" s="1197"/>
    </row>
    <row r="1502" spans="1:6" ht="15.75" customHeight="1">
      <c r="A1502" s="1135"/>
      <c r="B1502" s="1089" t="s">
        <v>909</v>
      </c>
      <c r="C1502" s="1089"/>
      <c r="D1502" s="1075">
        <f>'[93]Trial Balance'!H265</f>
        <v>150000</v>
      </c>
      <c r="E1502" s="1205">
        <v>150000</v>
      </c>
      <c r="F1502" s="1197"/>
    </row>
    <row r="1503" spans="1:6" ht="15.75" customHeight="1">
      <c r="A1503" s="1135"/>
      <c r="B1503" s="1089" t="s">
        <v>910</v>
      </c>
      <c r="C1503" s="1089"/>
      <c r="D1503" s="1075">
        <f>D1585</f>
        <v>290712</v>
      </c>
      <c r="E1503" s="1207">
        <f>E1585</f>
        <v>325645</v>
      </c>
      <c r="F1503" s="1197"/>
    </row>
    <row r="1504" spans="1:6" ht="15.75" customHeight="1">
      <c r="A1504" s="1135" t="s">
        <v>911</v>
      </c>
      <c r="B1504" s="1089" t="str">
        <f>VLOOKUP(A1504,'[93]Trial Balance'!$1:$1048576,2,FALSE)</f>
        <v>Newspaper &amp; Periodical</v>
      </c>
      <c r="C1504" s="1089"/>
      <c r="D1504" s="1075">
        <f>VLOOKUP(A1504,'[93]Trial Balance'!$1:$1048576,8,FALSE)</f>
        <v>28967</v>
      </c>
      <c r="E1504" s="1205">
        <f>VLOOKUP(A1504,'[95]Trial Balance'!$1:$1048576,8,FALSE)</f>
        <v>25389</v>
      </c>
      <c r="F1504" s="1197"/>
    </row>
    <row r="1505" spans="1:6" ht="15.75" customHeight="1">
      <c r="A1505" s="1135" t="s">
        <v>912</v>
      </c>
      <c r="B1505" s="1089" t="str">
        <f>VLOOKUP(A1505,'[93]Trial Balance'!$1:$1048576,2,FALSE)</f>
        <v>Entertainment</v>
      </c>
      <c r="C1505" s="1089"/>
      <c r="D1505" s="1075">
        <f>VLOOKUP(A1505,'[93]Trial Balance'!$1:$1048576,8,FALSE)</f>
        <v>398479</v>
      </c>
      <c r="E1505" s="1205">
        <f>VLOOKUP(A1505,'[95]Trial Balance'!$1:$1048576,8,FALSE)</f>
        <v>289219</v>
      </c>
      <c r="F1505" s="1197"/>
    </row>
    <row r="1506" spans="1:6" ht="15.75" customHeight="1">
      <c r="A1506" s="1135" t="s">
        <v>913</v>
      </c>
      <c r="B1506" s="1089" t="str">
        <f>VLOOKUP(A1506,'[93]Trial Balance'!$1:$1048576,2,FALSE)</f>
        <v>Packig material</v>
      </c>
      <c r="C1506" s="1089"/>
      <c r="D1506" s="1075">
        <f>VLOOKUP(A1506,'[93]Trial Balance'!$1:$1048576,8,FALSE)</f>
        <v>220851</v>
      </c>
      <c r="E1506" s="1205">
        <v>805341</v>
      </c>
      <c r="F1506" s="1197"/>
    </row>
    <row r="1507" spans="1:6" ht="15.75" customHeight="1">
      <c r="A1507" s="1135" t="s">
        <v>914</v>
      </c>
      <c r="B1507" s="1089" t="str">
        <f>VLOOKUP(A1507,'[93]Trial Balance'!$1:$1048576,2,FALSE)</f>
        <v>Insurance</v>
      </c>
      <c r="C1507" s="1089"/>
      <c r="D1507" s="1075">
        <f>VLOOKUP(A1507,'[93]Trial Balance'!$1:$1048576,8,FALSE)</f>
        <v>128738</v>
      </c>
      <c r="E1507" s="1205">
        <f>VLOOKUP(A1507,'[95]Trial Balance'!$1:$1048576,8,FALSE)</f>
        <v>160820</v>
      </c>
      <c r="F1507" s="1197"/>
    </row>
    <row r="1508" spans="1:6" ht="15.75" customHeight="1">
      <c r="A1508" s="1135"/>
      <c r="B1508" s="1074" t="s">
        <v>915</v>
      </c>
      <c r="C1508" s="1074"/>
      <c r="D1508" s="1081">
        <v>0</v>
      </c>
      <c r="E1508" s="1205">
        <v>0</v>
      </c>
      <c r="F1508" s="1197"/>
    </row>
    <row r="1509" spans="1:6" ht="15.75" customHeight="1">
      <c r="A1509" s="1135"/>
      <c r="B1509" s="1074" t="s">
        <v>916</v>
      </c>
      <c r="C1509" s="1074"/>
      <c r="D1509" s="1081">
        <f>D1608</f>
        <v>497798</v>
      </c>
      <c r="E1509" s="1205">
        <f>E1608</f>
        <v>146250</v>
      </c>
      <c r="F1509" s="1197"/>
    </row>
    <row r="1510" spans="1:6" ht="15.75" customHeight="1">
      <c r="A1510" s="1135"/>
      <c r="B1510" s="1074" t="s">
        <v>917</v>
      </c>
      <c r="C1510" s="1074"/>
      <c r="D1510" s="1081">
        <f>'[93]Trial Balance'!H266</f>
        <v>0</v>
      </c>
      <c r="E1510" s="1205">
        <v>281696</v>
      </c>
      <c r="F1510" s="1197"/>
    </row>
    <row r="1511" spans="1:6" ht="15.75" customHeight="1">
      <c r="A1511" s="1135" t="s">
        <v>918</v>
      </c>
      <c r="B1511" s="1089" t="str">
        <f>VLOOKUP(A1511,'[93]Trial Balance'!$1:$1048576,2,FALSE)</f>
        <v>CAR IJARAH rentalsExpense</v>
      </c>
      <c r="C1511" s="1089"/>
      <c r="D1511" s="1075">
        <f>VLOOKUP(A1511,'[93]Trial Balance'!$1:$1048576,8,FALSE)</f>
        <v>2510438</v>
      </c>
      <c r="E1511" s="1205">
        <v>0</v>
      </c>
      <c r="F1511" s="1197"/>
    </row>
    <row r="1512" spans="1:6" ht="15.75" customHeight="1">
      <c r="A1512" s="1135"/>
      <c r="B1512" s="1074" t="s">
        <v>759</v>
      </c>
      <c r="C1512" s="1074"/>
      <c r="D1512" s="1081">
        <f>'[93]Trial Balance'!H267</f>
        <v>99043</v>
      </c>
      <c r="E1512" s="1205">
        <v>79250</v>
      </c>
      <c r="F1512" s="1197"/>
    </row>
    <row r="1513" spans="1:6" ht="15.5">
      <c r="A1513" s="1135"/>
      <c r="B1513" s="1074" t="s">
        <v>919</v>
      </c>
      <c r="C1513" s="1074"/>
      <c r="D1513" s="1081">
        <f>D1630</f>
        <v>113732</v>
      </c>
      <c r="E1513" s="1205">
        <f>E1630</f>
        <v>38858</v>
      </c>
      <c r="F1513" s="1197"/>
    </row>
    <row r="1514" spans="1:6" ht="15.5">
      <c r="A1514" s="1135"/>
      <c r="B1514" s="1074"/>
      <c r="C1514" s="1074"/>
      <c r="D1514" s="1081"/>
      <c r="E1514" s="1205"/>
      <c r="F1514" s="1197"/>
    </row>
    <row r="1515" spans="1:6" ht="15.5">
      <c r="A1515" s="1135"/>
      <c r="B1515" s="1085"/>
      <c r="C1515" s="1085"/>
      <c r="D1515" s="1081"/>
      <c r="E1515" s="1205"/>
      <c r="F1515" s="1197"/>
    </row>
    <row r="1516" spans="1:6" ht="15.5">
      <c r="A1516" s="1404" t="s">
        <v>701</v>
      </c>
      <c r="B1516" s="1405"/>
      <c r="C1516" s="1087"/>
      <c r="D1516" s="1083">
        <f>SUM(D1493:D1515)</f>
        <v>14377767</v>
      </c>
      <c r="E1516" s="1206">
        <f>SUM(E1493:E1515)</f>
        <v>9854398</v>
      </c>
      <c r="F1516" s="1197"/>
    </row>
    <row r="1517" spans="1:6" ht="15.5">
      <c r="A1517" s="1064"/>
      <c r="B1517" s="1197"/>
      <c r="C1517" s="1197"/>
      <c r="D1517" s="1215"/>
      <c r="E1517" s="1197"/>
      <c r="F1517" s="1197"/>
    </row>
    <row r="1518" spans="1:6" ht="15.5">
      <c r="A1518" s="1068" t="s">
        <v>920</v>
      </c>
      <c r="B1518" s="1068"/>
      <c r="C1518" s="1065"/>
      <c r="D1518" s="1066"/>
      <c r="E1518" s="1065"/>
      <c r="F1518" s="1197"/>
    </row>
    <row r="1519" spans="1:6" ht="15.5">
      <c r="A1519" s="1069" t="s">
        <v>690</v>
      </c>
      <c r="B1519" s="1070" t="s">
        <v>691</v>
      </c>
      <c r="C1519" s="1070" t="s">
        <v>692</v>
      </c>
      <c r="D1519" s="1071">
        <v>2014</v>
      </c>
      <c r="E1519" s="1088">
        <v>2013</v>
      </c>
      <c r="F1519" s="1197"/>
    </row>
    <row r="1520" spans="1:6" ht="15.75" customHeight="1">
      <c r="A1520" s="1135" t="s">
        <v>921</v>
      </c>
      <c r="B1520" s="1089" t="str">
        <f>VLOOKUP(A1520,'[93]Trial Balance'!$1:$1048576,2,FALSE)</f>
        <v>Staff Salary Expense</v>
      </c>
      <c r="C1520" s="1089"/>
      <c r="D1520" s="1075">
        <f>VLOOKUP(A1520,'[93]Trial Balance'!$1:$1048576,8,FALSE)</f>
        <v>4893433</v>
      </c>
      <c r="E1520" s="1205">
        <f>VLOOKUP(A1520,'[95]Trial Balance'!$1:$1048576,8,FALSE)</f>
        <v>3276326</v>
      </c>
      <c r="F1520" s="1197"/>
    </row>
    <row r="1521" spans="1:6" ht="15.5">
      <c r="A1521" s="1135" t="s">
        <v>922</v>
      </c>
      <c r="B1521" s="1089" t="str">
        <f>VLOOKUP(A1521,'[93]Trial Balance'!$1:$1048576,2,FALSE)</f>
        <v>EOBI</v>
      </c>
      <c r="C1521" s="1089"/>
      <c r="D1521" s="1075">
        <f>VLOOKUP(A1521,'[93]Trial Balance'!$1:$1048576,8,FALSE)</f>
        <v>201168</v>
      </c>
      <c r="E1521" s="1205">
        <f>VLOOKUP(A1521,'[95]Trial Balance'!$1:$1048576,8,FALSE)</f>
        <v>210000</v>
      </c>
      <c r="F1521" s="1197"/>
    </row>
    <row r="1522" spans="1:6" ht="15.5">
      <c r="A1522" s="1135" t="s">
        <v>923</v>
      </c>
      <c r="B1522" s="1089" t="str">
        <f>VLOOKUP(A1522,'[93]Trial Balance'!$1:$1048576,2,FALSE)</f>
        <v>PESSI</v>
      </c>
      <c r="C1522" s="1089"/>
      <c r="D1522" s="1075">
        <f>VLOOKUP(A1522,'[93]Trial Balance'!$1:$1048576,8,FALSE)</f>
        <v>363035</v>
      </c>
      <c r="E1522" s="1205">
        <f>VLOOKUP(A1522,'[95]Trial Balance'!$1:$1048576,8,FALSE)</f>
        <v>370446</v>
      </c>
      <c r="F1522" s="1197"/>
    </row>
    <row r="1523" spans="1:6" ht="15.75" customHeight="1">
      <c r="A1523" s="1135" t="s">
        <v>924</v>
      </c>
      <c r="B1523" s="1089" t="str">
        <f>VLOOKUP(A1523,'[93]Trial Balance'!$1:$1048576,2,FALSE)</f>
        <v>Medical Expense</v>
      </c>
      <c r="C1523" s="1089"/>
      <c r="D1523" s="1075">
        <f>VLOOKUP(A1523,'[93]Trial Balance'!$1:$1048576,8,FALSE)</f>
        <v>165042</v>
      </c>
      <c r="E1523" s="1205">
        <f>VLOOKUP(A1523,'[95]Trial Balance'!$1:$1048576,8,FALSE)</f>
        <v>20493</v>
      </c>
      <c r="F1523" s="1197"/>
    </row>
    <row r="1524" spans="1:6" ht="15.5">
      <c r="A1524" s="1135"/>
      <c r="B1524" s="1089"/>
      <c r="C1524" s="1089"/>
      <c r="D1524" s="1075"/>
      <c r="E1524" s="1205"/>
      <c r="F1524" s="1197"/>
    </row>
    <row r="1525" spans="1:6" ht="15.5">
      <c r="A1525" s="1135"/>
      <c r="B1525" s="1089"/>
      <c r="C1525" s="1089"/>
      <c r="D1525" s="1075"/>
      <c r="E1525" s="1205"/>
      <c r="F1525" s="1197"/>
    </row>
    <row r="1526" spans="1:6" ht="15.5">
      <c r="A1526" s="1135"/>
      <c r="B1526" s="1089"/>
      <c r="C1526" s="1089"/>
      <c r="D1526" s="1075"/>
      <c r="E1526" s="1205"/>
      <c r="F1526" s="1197"/>
    </row>
    <row r="1527" spans="1:6" ht="15.5">
      <c r="A1527" s="1135"/>
      <c r="B1527" s="1089"/>
      <c r="C1527" s="1089"/>
      <c r="D1527" s="1075"/>
      <c r="E1527" s="1205"/>
      <c r="F1527" s="1197"/>
    </row>
    <row r="1528" spans="1:6" ht="15.5">
      <c r="A1528" s="1135"/>
      <c r="B1528" s="1089"/>
      <c r="C1528" s="1089"/>
      <c r="D1528" s="1075"/>
      <c r="E1528" s="1205"/>
      <c r="F1528" s="1197"/>
    </row>
    <row r="1529" spans="1:6" ht="15.5">
      <c r="A1529" s="1135"/>
      <c r="B1529" s="1089"/>
      <c r="C1529" s="1089"/>
      <c r="D1529" s="1075"/>
      <c r="E1529" s="1205"/>
      <c r="F1529" s="1197"/>
    </row>
    <row r="1530" spans="1:6" ht="15.5">
      <c r="A1530" s="1135"/>
      <c r="B1530" s="1089"/>
      <c r="C1530" s="1089"/>
      <c r="D1530" s="1075"/>
      <c r="E1530" s="1205"/>
      <c r="F1530" s="1197"/>
    </row>
    <row r="1531" spans="1:6" ht="15.5">
      <c r="A1531" s="1135"/>
      <c r="B1531" s="1089"/>
      <c r="C1531" s="1089"/>
      <c r="D1531" s="1075"/>
      <c r="E1531" s="1205"/>
      <c r="F1531" s="1197"/>
    </row>
    <row r="1532" spans="1:6" ht="15.5">
      <c r="A1532" s="1135"/>
      <c r="B1532" s="1089"/>
      <c r="C1532" s="1089"/>
      <c r="D1532" s="1075"/>
      <c r="E1532" s="1205"/>
      <c r="F1532" s="1197"/>
    </row>
    <row r="1533" spans="1:6" ht="15.5">
      <c r="A1533" s="1135"/>
      <c r="B1533" s="1074"/>
      <c r="C1533" s="1074"/>
      <c r="D1533" s="1081"/>
      <c r="E1533" s="1205"/>
      <c r="F1533" s="1197"/>
    </row>
    <row r="1534" spans="1:6" ht="15.5">
      <c r="A1534" s="1135"/>
      <c r="B1534" s="1074"/>
      <c r="C1534" s="1074"/>
      <c r="D1534" s="1081"/>
      <c r="E1534" s="1205"/>
      <c r="F1534" s="1197"/>
    </row>
    <row r="1535" spans="1:6" ht="15.5">
      <c r="A1535" s="1135"/>
      <c r="B1535" s="1074"/>
      <c r="C1535" s="1074"/>
      <c r="D1535" s="1081"/>
      <c r="E1535" s="1205"/>
      <c r="F1535" s="1197"/>
    </row>
    <row r="1536" spans="1:6" ht="15.5">
      <c r="A1536" s="1135"/>
      <c r="B1536" s="1074"/>
      <c r="C1536" s="1074"/>
      <c r="D1536" s="1081"/>
      <c r="E1536" s="1205"/>
      <c r="F1536" s="1197"/>
    </row>
    <row r="1537" spans="1:6" ht="15.5">
      <c r="A1537" s="1135"/>
      <c r="B1537" s="1074"/>
      <c r="C1537" s="1074"/>
      <c r="D1537" s="1081"/>
      <c r="E1537" s="1205"/>
      <c r="F1537" s="1197"/>
    </row>
    <row r="1538" spans="1:6" ht="15.5">
      <c r="A1538" s="1135"/>
      <c r="B1538" s="1085"/>
      <c r="C1538" s="1085"/>
      <c r="D1538" s="1081"/>
      <c r="E1538" s="1205"/>
      <c r="F1538" s="1197"/>
    </row>
    <row r="1539" spans="1:6" ht="15.5">
      <c r="A1539" s="1404" t="s">
        <v>701</v>
      </c>
      <c r="B1539" s="1405"/>
      <c r="C1539" s="1087"/>
      <c r="D1539" s="1083">
        <f>SUM(D1520:D1533)</f>
        <v>5622678</v>
      </c>
      <c r="E1539" s="1206">
        <f>SUM(E1520:E1536)</f>
        <v>3877265</v>
      </c>
      <c r="F1539" s="1197"/>
    </row>
    <row r="1540" spans="1:6" ht="15.5">
      <c r="A1540" s="1064"/>
      <c r="B1540" s="1197"/>
      <c r="C1540" s="1197"/>
      <c r="D1540" s="1215"/>
      <c r="E1540" s="1197"/>
      <c r="F1540" s="1197"/>
    </row>
    <row r="1541" spans="1:6" ht="15.5">
      <c r="A1541" s="1068" t="s">
        <v>925</v>
      </c>
      <c r="B1541" s="1068"/>
      <c r="C1541" s="1065"/>
      <c r="D1541" s="1066"/>
      <c r="E1541" s="1065"/>
      <c r="F1541" s="1197"/>
    </row>
    <row r="1542" spans="1:6" ht="15.5">
      <c r="A1542" s="1069" t="s">
        <v>690</v>
      </c>
      <c r="B1542" s="1070" t="s">
        <v>691</v>
      </c>
      <c r="C1542" s="1070" t="s">
        <v>692</v>
      </c>
      <c r="D1542" s="1071">
        <v>2014</v>
      </c>
      <c r="E1542" s="1088">
        <v>2013</v>
      </c>
      <c r="F1542" s="1197"/>
    </row>
    <row r="1543" spans="1:6" ht="15.75" customHeight="1">
      <c r="A1543" s="1135" t="s">
        <v>926</v>
      </c>
      <c r="B1543" s="1089" t="str">
        <f>VLOOKUP(A1543,'[93]Trial Balance'!$1:$1048576,2,FALSE)</f>
        <v>Water Expense 60-M</v>
      </c>
      <c r="C1543" s="1089"/>
      <c r="D1543" s="1075">
        <f>VLOOKUP(A1543,'[93]Trial Balance'!$1:$1048576,8,FALSE)</f>
        <v>35100</v>
      </c>
      <c r="E1543" s="1205">
        <f>VLOOKUP(A1543,'[95]Trial Balance'!$1:$1048576,8,FALSE)</f>
        <v>15500</v>
      </c>
      <c r="F1543" s="1197"/>
    </row>
    <row r="1544" spans="1:6" ht="15.75" customHeight="1">
      <c r="A1544" s="1135" t="s">
        <v>927</v>
      </c>
      <c r="B1544" s="1089" t="str">
        <f>VLOOKUP(A1544,'[93]Trial Balance'!$1:$1048576,2,FALSE)</f>
        <v>Water Expense</v>
      </c>
      <c r="C1544" s="1089"/>
      <c r="D1544" s="1075">
        <f>VLOOKUP(A1544,'[93]Trial Balance'!$1:$1048576,8,FALSE)</f>
        <v>317846</v>
      </c>
      <c r="E1544" s="1205">
        <f>VLOOKUP(A1544,'[95]Trial Balance'!$1:$1048576,8,FALSE)</f>
        <v>234286</v>
      </c>
      <c r="F1544" s="1197"/>
    </row>
    <row r="1545" spans="1:6" ht="15.5">
      <c r="A1545" s="1135"/>
      <c r="B1545" s="1089"/>
      <c r="C1545" s="1089"/>
      <c r="D1545" s="1075"/>
      <c r="E1545" s="1205"/>
      <c r="F1545" s="1197"/>
    </row>
    <row r="1546" spans="1:6" ht="15.5">
      <c r="A1546" s="1135"/>
      <c r="B1546" s="1089"/>
      <c r="C1546" s="1089"/>
      <c r="D1546" s="1075"/>
      <c r="E1546" s="1205"/>
      <c r="F1546" s="1197"/>
    </row>
    <row r="1547" spans="1:6" ht="15.5">
      <c r="A1547" s="1135"/>
      <c r="B1547" s="1089"/>
      <c r="C1547" s="1089"/>
      <c r="D1547" s="1075"/>
      <c r="E1547" s="1205"/>
      <c r="F1547" s="1197"/>
    </row>
    <row r="1548" spans="1:6" ht="15.5">
      <c r="A1548" s="1135"/>
      <c r="B1548" s="1089"/>
      <c r="C1548" s="1089"/>
      <c r="D1548" s="1075"/>
      <c r="E1548" s="1205"/>
      <c r="F1548" s="1197"/>
    </row>
    <row r="1549" spans="1:6" ht="15.5">
      <c r="A1549" s="1135"/>
      <c r="B1549" s="1089"/>
      <c r="C1549" s="1089"/>
      <c r="D1549" s="1075"/>
      <c r="E1549" s="1205"/>
      <c r="F1549" s="1197"/>
    </row>
    <row r="1550" spans="1:6" ht="15.5">
      <c r="A1550" s="1135"/>
      <c r="B1550" s="1089"/>
      <c r="C1550" s="1089"/>
      <c r="D1550" s="1075"/>
      <c r="E1550" s="1205"/>
      <c r="F1550" s="1197"/>
    </row>
    <row r="1551" spans="1:6" ht="15.5">
      <c r="A1551" s="1135"/>
      <c r="B1551" s="1089"/>
      <c r="C1551" s="1089"/>
      <c r="D1551" s="1075"/>
      <c r="E1551" s="1205"/>
      <c r="F1551" s="1197"/>
    </row>
    <row r="1552" spans="1:6" ht="15.5">
      <c r="A1552" s="1135"/>
      <c r="B1552" s="1089"/>
      <c r="C1552" s="1089"/>
      <c r="D1552" s="1075"/>
      <c r="E1552" s="1205"/>
      <c r="F1552" s="1197"/>
    </row>
    <row r="1553" spans="1:6" ht="15.5">
      <c r="A1553" s="1135"/>
      <c r="B1553" s="1089"/>
      <c r="C1553" s="1089"/>
      <c r="D1553" s="1075"/>
      <c r="E1553" s="1205"/>
      <c r="F1553" s="1197"/>
    </row>
    <row r="1554" spans="1:6" ht="15.5">
      <c r="A1554" s="1135"/>
      <c r="B1554" s="1089"/>
      <c r="C1554" s="1089"/>
      <c r="D1554" s="1075"/>
      <c r="E1554" s="1205"/>
      <c r="F1554" s="1197"/>
    </row>
    <row r="1555" spans="1:6" ht="15.5">
      <c r="A1555" s="1135"/>
      <c r="B1555" s="1089"/>
      <c r="C1555" s="1089"/>
      <c r="D1555" s="1075"/>
      <c r="E1555" s="1205"/>
      <c r="F1555" s="1197"/>
    </row>
    <row r="1556" spans="1:6" ht="15.5">
      <c r="A1556" s="1135"/>
      <c r="B1556" s="1074"/>
      <c r="C1556" s="1074"/>
      <c r="D1556" s="1081"/>
      <c r="E1556" s="1205"/>
      <c r="F1556" s="1197"/>
    </row>
    <row r="1557" spans="1:6" ht="15.5">
      <c r="A1557" s="1135"/>
      <c r="B1557" s="1074"/>
      <c r="C1557" s="1074"/>
      <c r="D1557" s="1081"/>
      <c r="E1557" s="1205"/>
      <c r="F1557" s="1197"/>
    </row>
    <row r="1558" spans="1:6" ht="15.5">
      <c r="A1558" s="1135"/>
      <c r="B1558" s="1074"/>
      <c r="C1558" s="1074"/>
      <c r="D1558" s="1081"/>
      <c r="E1558" s="1205"/>
      <c r="F1558" s="1197"/>
    </row>
    <row r="1559" spans="1:6" ht="15.5">
      <c r="A1559" s="1135"/>
      <c r="B1559" s="1074"/>
      <c r="C1559" s="1074"/>
      <c r="D1559" s="1081"/>
      <c r="E1559" s="1205"/>
      <c r="F1559" s="1197"/>
    </row>
    <row r="1560" spans="1:6" ht="15.5">
      <c r="A1560" s="1135"/>
      <c r="B1560" s="1074"/>
      <c r="C1560" s="1074"/>
      <c r="D1560" s="1081"/>
      <c r="E1560" s="1205"/>
      <c r="F1560" s="1197"/>
    </row>
    <row r="1561" spans="1:6" ht="15.5">
      <c r="A1561" s="1135"/>
      <c r="B1561" s="1085"/>
      <c r="C1561" s="1085"/>
      <c r="D1561" s="1081"/>
      <c r="E1561" s="1205"/>
      <c r="F1561" s="1197"/>
    </row>
    <row r="1562" spans="1:6" ht="15.5">
      <c r="A1562" s="1404" t="s">
        <v>701</v>
      </c>
      <c r="B1562" s="1405"/>
      <c r="C1562" s="1087"/>
      <c r="D1562" s="1083">
        <f>SUM(D1543:D1556)</f>
        <v>352946</v>
      </c>
      <c r="E1562" s="1206">
        <f>SUM(E1543:E1559)</f>
        <v>249786</v>
      </c>
      <c r="F1562" s="1197"/>
    </row>
    <row r="1563" spans="1:6" ht="15.5">
      <c r="A1563" s="1064"/>
      <c r="B1563" s="1197"/>
      <c r="C1563" s="1197"/>
      <c r="D1563" s="1215"/>
      <c r="E1563" s="1197"/>
      <c r="F1563" s="1197"/>
    </row>
    <row r="1564" spans="1:6" ht="15.5">
      <c r="A1564" s="1068" t="s">
        <v>928</v>
      </c>
      <c r="B1564" s="1068"/>
      <c r="C1564" s="1065"/>
      <c r="D1564" s="1066"/>
      <c r="E1564" s="1065"/>
      <c r="F1564" s="1197"/>
    </row>
    <row r="1565" spans="1:6" ht="15.5">
      <c r="A1565" s="1069" t="s">
        <v>690</v>
      </c>
      <c r="B1565" s="1070" t="s">
        <v>691</v>
      </c>
      <c r="C1565" s="1070" t="s">
        <v>692</v>
      </c>
      <c r="D1565" s="1071">
        <v>2014</v>
      </c>
      <c r="E1565" s="1088">
        <v>2013</v>
      </c>
      <c r="F1565" s="1197"/>
    </row>
    <row r="1566" spans="1:6" ht="15.75" customHeight="1">
      <c r="A1566" s="1135" t="s">
        <v>929</v>
      </c>
      <c r="B1566" s="1089" t="str">
        <f>VLOOKUP(A1566,'[93]Trial Balance'!$1:$1048576,2,FALSE)</f>
        <v>Vehicle Running</v>
      </c>
      <c r="C1566" s="1089"/>
      <c r="D1566" s="1075">
        <f>VLOOKUP(A1566,'[93]Trial Balance'!$1:$1048576,8,FALSE)</f>
        <v>277712</v>
      </c>
      <c r="E1566" s="1205">
        <f>VLOOKUP(A1566,'[95]Trial Balance'!$1:$1048576,8,FALSE)</f>
        <v>318145</v>
      </c>
      <c r="F1566" s="1197"/>
    </row>
    <row r="1567" spans="1:6" ht="15.75" customHeight="1">
      <c r="A1567" s="1135" t="s">
        <v>930</v>
      </c>
      <c r="B1567" s="1089" t="str">
        <f>VLOOKUP(A1567,'[93]Trial Balance'!$1:$1048576,2,FALSE)</f>
        <v>Vehicle Running</v>
      </c>
      <c r="C1567" s="1089"/>
      <c r="D1567" s="1075">
        <f>VLOOKUP(A1567,'[93]Trial Balance'!$1:$1048576,8,FALSE)</f>
        <v>13000</v>
      </c>
      <c r="E1567" s="1205">
        <f>VLOOKUP(A1567,'[95]Trial Balance'!$1:$1048576,8,FALSE)</f>
        <v>7500</v>
      </c>
      <c r="F1567" s="1197"/>
    </row>
    <row r="1568" spans="1:6" ht="15.5">
      <c r="A1568" s="1135"/>
      <c r="B1568" s="1089"/>
      <c r="C1568" s="1089"/>
      <c r="D1568" s="1075"/>
      <c r="E1568" s="1205"/>
      <c r="F1568" s="1197"/>
    </row>
    <row r="1569" spans="1:6" ht="15.5">
      <c r="A1569" s="1135"/>
      <c r="B1569" s="1089"/>
      <c r="C1569" s="1089"/>
      <c r="D1569" s="1075"/>
      <c r="E1569" s="1205"/>
      <c r="F1569" s="1197"/>
    </row>
    <row r="1570" spans="1:6" ht="15.5">
      <c r="A1570" s="1135"/>
      <c r="B1570" s="1089"/>
      <c r="C1570" s="1089"/>
      <c r="D1570" s="1075"/>
      <c r="E1570" s="1205"/>
      <c r="F1570" s="1197"/>
    </row>
    <row r="1571" spans="1:6" ht="15.5">
      <c r="A1571" s="1135"/>
      <c r="B1571" s="1089"/>
      <c r="C1571" s="1089"/>
      <c r="D1571" s="1075"/>
      <c r="E1571" s="1205"/>
      <c r="F1571" s="1197"/>
    </row>
    <row r="1572" spans="1:6" ht="15.5">
      <c r="A1572" s="1135"/>
      <c r="B1572" s="1089"/>
      <c r="C1572" s="1089"/>
      <c r="D1572" s="1075"/>
      <c r="E1572" s="1205"/>
      <c r="F1572" s="1197"/>
    </row>
    <row r="1573" spans="1:6" ht="15.5">
      <c r="A1573" s="1135"/>
      <c r="B1573" s="1089"/>
      <c r="C1573" s="1089"/>
      <c r="D1573" s="1075"/>
      <c r="E1573" s="1205"/>
      <c r="F1573" s="1197"/>
    </row>
    <row r="1574" spans="1:6" ht="15.5">
      <c r="A1574" s="1135"/>
      <c r="B1574" s="1089"/>
      <c r="C1574" s="1089"/>
      <c r="D1574" s="1075"/>
      <c r="E1574" s="1205"/>
      <c r="F1574" s="1197"/>
    </row>
    <row r="1575" spans="1:6" ht="15.5">
      <c r="A1575" s="1135"/>
      <c r="B1575" s="1089"/>
      <c r="C1575" s="1089"/>
      <c r="D1575" s="1075"/>
      <c r="E1575" s="1205"/>
      <c r="F1575" s="1197"/>
    </row>
    <row r="1576" spans="1:6" ht="15.5">
      <c r="A1576" s="1135"/>
      <c r="B1576" s="1089"/>
      <c r="C1576" s="1089"/>
      <c r="D1576" s="1075"/>
      <c r="E1576" s="1205"/>
      <c r="F1576" s="1197"/>
    </row>
    <row r="1577" spans="1:6" ht="15.5">
      <c r="A1577" s="1135"/>
      <c r="B1577" s="1089"/>
      <c r="C1577" s="1089"/>
      <c r="D1577" s="1075"/>
      <c r="E1577" s="1205"/>
      <c r="F1577" s="1197"/>
    </row>
    <row r="1578" spans="1:6" ht="15.5">
      <c r="A1578" s="1135"/>
      <c r="B1578" s="1089"/>
      <c r="C1578" s="1089"/>
      <c r="D1578" s="1075"/>
      <c r="E1578" s="1205"/>
      <c r="F1578" s="1197"/>
    </row>
    <row r="1579" spans="1:6" ht="15.5">
      <c r="A1579" s="1135"/>
      <c r="B1579" s="1074"/>
      <c r="C1579" s="1074"/>
      <c r="D1579" s="1081"/>
      <c r="E1579" s="1205"/>
      <c r="F1579" s="1197"/>
    </row>
    <row r="1580" spans="1:6" ht="15.5">
      <c r="A1580" s="1135"/>
      <c r="B1580" s="1074"/>
      <c r="C1580" s="1074"/>
      <c r="D1580" s="1081"/>
      <c r="E1580" s="1205"/>
      <c r="F1580" s="1197"/>
    </row>
    <row r="1581" spans="1:6" ht="15.5">
      <c r="A1581" s="1135"/>
      <c r="B1581" s="1074"/>
      <c r="C1581" s="1074"/>
      <c r="D1581" s="1081"/>
      <c r="E1581" s="1205"/>
      <c r="F1581" s="1197"/>
    </row>
    <row r="1582" spans="1:6" ht="15.5">
      <c r="A1582" s="1135"/>
      <c r="B1582" s="1074"/>
      <c r="C1582" s="1074"/>
      <c r="D1582" s="1081"/>
      <c r="E1582" s="1205"/>
      <c r="F1582" s="1197"/>
    </row>
    <row r="1583" spans="1:6" ht="15.5">
      <c r="A1583" s="1135"/>
      <c r="B1583" s="1074"/>
      <c r="C1583" s="1074"/>
      <c r="D1583" s="1081"/>
      <c r="E1583" s="1205"/>
      <c r="F1583" s="1197"/>
    </row>
    <row r="1584" spans="1:6" ht="15.5">
      <c r="A1584" s="1135"/>
      <c r="B1584" s="1085"/>
      <c r="C1584" s="1085"/>
      <c r="D1584" s="1081"/>
      <c r="E1584" s="1205"/>
      <c r="F1584" s="1197"/>
    </row>
    <row r="1585" spans="1:6" ht="15.5">
      <c r="A1585" s="1404" t="s">
        <v>701</v>
      </c>
      <c r="B1585" s="1405"/>
      <c r="C1585" s="1087"/>
      <c r="D1585" s="1083">
        <f>SUM(D1566:D1579)</f>
        <v>290712</v>
      </c>
      <c r="E1585" s="1206">
        <f>SUM(E1566:E1582)</f>
        <v>325645</v>
      </c>
      <c r="F1585" s="1197"/>
    </row>
    <row r="1586" spans="1:6" ht="15.5">
      <c r="A1586" s="1064"/>
      <c r="B1586" s="1197"/>
      <c r="C1586" s="1197"/>
      <c r="D1586" s="1215"/>
      <c r="E1586" s="1197"/>
      <c r="F1586" s="1197"/>
    </row>
    <row r="1587" spans="1:6" ht="15.5">
      <c r="A1587" s="1068" t="s">
        <v>931</v>
      </c>
      <c r="B1587" s="1068"/>
      <c r="C1587" s="1065"/>
      <c r="D1587" s="1066"/>
      <c r="E1587" s="1065"/>
      <c r="F1587" s="1197"/>
    </row>
    <row r="1588" spans="1:6" ht="15.5">
      <c r="A1588" s="1069" t="s">
        <v>690</v>
      </c>
      <c r="B1588" s="1070" t="s">
        <v>691</v>
      </c>
      <c r="C1588" s="1070" t="s">
        <v>692</v>
      </c>
      <c r="D1588" s="1071">
        <v>2014</v>
      </c>
      <c r="E1588" s="1088">
        <v>2013</v>
      </c>
      <c r="F1588" s="1197"/>
    </row>
    <row r="1589" spans="1:6" ht="15.75" customHeight="1">
      <c r="A1589" s="1135" t="s">
        <v>932</v>
      </c>
      <c r="B1589" s="1089" t="str">
        <f>VLOOKUP(A1589,'[93]Trial Balance'!$1:$1048576,2,FALSE)</f>
        <v>Legal &amp; Professional Charges</v>
      </c>
      <c r="C1589" s="1089"/>
      <c r="D1589" s="1075">
        <f>VLOOKUP(A1589,'[93]Trial Balance'!$1:$1048576,8,FALSE)</f>
        <v>497798</v>
      </c>
      <c r="E1589" s="1205">
        <f>VLOOKUP(A1589,'[95]Trial Balance'!$1:$1048576,8,FALSE)</f>
        <v>97250</v>
      </c>
      <c r="F1589" s="1197"/>
    </row>
    <row r="1590" spans="1:6" ht="15.75" customHeight="1">
      <c r="A1590" s="1135" t="s">
        <v>933</v>
      </c>
      <c r="B1590" s="1089" t="str">
        <f>VLOOKUP(A1590,'[93]Trial Balance'!$1:$1048576,2,FALSE)</f>
        <v>Fee &amp; Subscription</v>
      </c>
      <c r="C1590" s="1089"/>
      <c r="D1590" s="1075">
        <f>VLOOKUP(A1590,'[93]Trial Balance'!$1:$1048576,8,FALSE)</f>
        <v>0</v>
      </c>
      <c r="E1590" s="1205">
        <f>VLOOKUP(A1590,'[95]Trial Balance'!$1:$1048576,8,FALSE)</f>
        <v>49000</v>
      </c>
      <c r="F1590" s="1197"/>
    </row>
    <row r="1591" spans="1:6" ht="15.5">
      <c r="A1591" s="1135"/>
      <c r="B1591" s="1089"/>
      <c r="C1591" s="1089"/>
      <c r="D1591" s="1075"/>
      <c r="E1591" s="1205"/>
      <c r="F1591" s="1197"/>
    </row>
    <row r="1592" spans="1:6" ht="15.5">
      <c r="A1592" s="1135"/>
      <c r="B1592" s="1089"/>
      <c r="C1592" s="1089"/>
      <c r="D1592" s="1075"/>
      <c r="E1592" s="1205"/>
      <c r="F1592" s="1197"/>
    </row>
    <row r="1593" spans="1:6" ht="15.5">
      <c r="A1593" s="1135"/>
      <c r="B1593" s="1089"/>
      <c r="C1593" s="1089"/>
      <c r="D1593" s="1075"/>
      <c r="E1593" s="1205"/>
      <c r="F1593" s="1197"/>
    </row>
    <row r="1594" spans="1:6" ht="15.5">
      <c r="A1594" s="1135"/>
      <c r="B1594" s="1089"/>
      <c r="C1594" s="1089"/>
      <c r="D1594" s="1075"/>
      <c r="E1594" s="1205"/>
      <c r="F1594" s="1197"/>
    </row>
    <row r="1595" spans="1:6" ht="15.5">
      <c r="A1595" s="1135"/>
      <c r="B1595" s="1089"/>
      <c r="C1595" s="1089"/>
      <c r="D1595" s="1075"/>
      <c r="E1595" s="1205"/>
      <c r="F1595" s="1197"/>
    </row>
    <row r="1596" spans="1:6" ht="15.5">
      <c r="A1596" s="1135"/>
      <c r="B1596" s="1089"/>
      <c r="C1596" s="1089"/>
      <c r="D1596" s="1075"/>
      <c r="E1596" s="1205"/>
      <c r="F1596" s="1197"/>
    </row>
    <row r="1597" spans="1:6" ht="15.5">
      <c r="A1597" s="1135"/>
      <c r="B1597" s="1089"/>
      <c r="C1597" s="1089"/>
      <c r="D1597" s="1075"/>
      <c r="E1597" s="1205"/>
      <c r="F1597" s="1197"/>
    </row>
    <row r="1598" spans="1:6" ht="15.5">
      <c r="A1598" s="1135"/>
      <c r="B1598" s="1089"/>
      <c r="C1598" s="1089"/>
      <c r="D1598" s="1075"/>
      <c r="E1598" s="1205"/>
      <c r="F1598" s="1197"/>
    </row>
    <row r="1599" spans="1:6" ht="15.5">
      <c r="A1599" s="1135"/>
      <c r="B1599" s="1089"/>
      <c r="C1599" s="1089"/>
      <c r="D1599" s="1075"/>
      <c r="E1599" s="1205"/>
      <c r="F1599" s="1197"/>
    </row>
    <row r="1600" spans="1:6" ht="15.5">
      <c r="A1600" s="1135"/>
      <c r="B1600" s="1089"/>
      <c r="C1600" s="1089"/>
      <c r="D1600" s="1075"/>
      <c r="E1600" s="1205"/>
      <c r="F1600" s="1197"/>
    </row>
    <row r="1601" spans="1:6" ht="15.5">
      <c r="A1601" s="1135"/>
      <c r="B1601" s="1089"/>
      <c r="C1601" s="1089"/>
      <c r="D1601" s="1075"/>
      <c r="E1601" s="1205"/>
      <c r="F1601" s="1197"/>
    </row>
    <row r="1602" spans="1:6" ht="15.5">
      <c r="A1602" s="1135"/>
      <c r="B1602" s="1074"/>
      <c r="C1602" s="1074"/>
      <c r="D1602" s="1081"/>
      <c r="E1602" s="1205"/>
      <c r="F1602" s="1197"/>
    </row>
    <row r="1603" spans="1:6" ht="15.5">
      <c r="A1603" s="1135"/>
      <c r="B1603" s="1074"/>
      <c r="C1603" s="1074"/>
      <c r="D1603" s="1081"/>
      <c r="E1603" s="1205"/>
      <c r="F1603" s="1197"/>
    </row>
    <row r="1604" spans="1:6" ht="15.5">
      <c r="A1604" s="1135"/>
      <c r="B1604" s="1074"/>
      <c r="C1604" s="1074"/>
      <c r="D1604" s="1081"/>
      <c r="E1604" s="1205"/>
      <c r="F1604" s="1197"/>
    </row>
    <row r="1605" spans="1:6" ht="15.5">
      <c r="A1605" s="1135"/>
      <c r="B1605" s="1074"/>
      <c r="C1605" s="1074"/>
      <c r="D1605" s="1081"/>
      <c r="E1605" s="1205"/>
      <c r="F1605" s="1197"/>
    </row>
    <row r="1606" spans="1:6" ht="15.5">
      <c r="A1606" s="1135"/>
      <c r="B1606" s="1074"/>
      <c r="C1606" s="1074"/>
      <c r="D1606" s="1081"/>
      <c r="E1606" s="1205"/>
      <c r="F1606" s="1197"/>
    </row>
    <row r="1607" spans="1:6" ht="15.5">
      <c r="A1607" s="1135"/>
      <c r="B1607" s="1085"/>
      <c r="C1607" s="1085"/>
      <c r="D1607" s="1081"/>
      <c r="E1607" s="1205"/>
      <c r="F1607" s="1197"/>
    </row>
    <row r="1608" spans="1:6" ht="15.5">
      <c r="A1608" s="1404" t="s">
        <v>701</v>
      </c>
      <c r="B1608" s="1405"/>
      <c r="C1608" s="1087"/>
      <c r="D1608" s="1083">
        <f>SUM(D1589:D1602)</f>
        <v>497798</v>
      </c>
      <c r="E1608" s="1206">
        <f>SUM(E1589:E1605)</f>
        <v>146250</v>
      </c>
      <c r="F1608" s="1197"/>
    </row>
    <row r="1609" spans="1:6" ht="15.5">
      <c r="A1609" s="1064"/>
      <c r="B1609" s="1197"/>
      <c r="C1609" s="1197"/>
      <c r="D1609" s="1215"/>
      <c r="E1609" s="1197"/>
      <c r="F1609" s="1197"/>
    </row>
    <row r="1610" spans="1:6" ht="15.5">
      <c r="A1610" s="1068" t="s">
        <v>934</v>
      </c>
      <c r="B1610" s="1068"/>
      <c r="C1610" s="1065"/>
      <c r="D1610" s="1066"/>
      <c r="E1610" s="1065"/>
      <c r="F1610" s="1197"/>
    </row>
    <row r="1611" spans="1:6" ht="15.5">
      <c r="A1611" s="1069" t="s">
        <v>690</v>
      </c>
      <c r="B1611" s="1070" t="s">
        <v>691</v>
      </c>
      <c r="C1611" s="1070" t="s">
        <v>692</v>
      </c>
      <c r="D1611" s="1071">
        <v>2014</v>
      </c>
      <c r="E1611" s="1088">
        <v>2013</v>
      </c>
      <c r="F1611" s="1197"/>
    </row>
    <row r="1612" spans="1:6" ht="15.75" customHeight="1">
      <c r="A1612" s="1135" t="s">
        <v>935</v>
      </c>
      <c r="B1612" s="1089" t="str">
        <f>VLOOKUP(A1612,'[93]Trial Balance'!$1:$1048576,2,FALSE)</f>
        <v>Misc. Expenses</v>
      </c>
      <c r="C1612" s="1089"/>
      <c r="D1612" s="1075">
        <f>VLOOKUP(A1612,'[93]Trial Balance'!$1:$1048576,8,FALSE)</f>
        <v>32243</v>
      </c>
      <c r="E1612" s="1205">
        <f>VLOOKUP(A1612,'[95]Trial Balance'!$1:$1048576,8,FALSE)</f>
        <v>15033</v>
      </c>
      <c r="F1612" s="1197"/>
    </row>
    <row r="1613" spans="1:6" ht="15.5">
      <c r="A1613" s="1135" t="s">
        <v>936</v>
      </c>
      <c r="B1613" s="1089" t="str">
        <f>VLOOKUP(A1613,'[93]Trial Balance'!$1:$1048576,2,FALSE)</f>
        <v>Toll Tax</v>
      </c>
      <c r="C1613" s="1089"/>
      <c r="D1613" s="1075">
        <f>VLOOKUP(A1613,'[93]Trial Balance'!$1:$1048576,8,FALSE)</f>
        <v>0</v>
      </c>
      <c r="E1613" s="1205">
        <f>VLOOKUP(A1613,'[95]Trial Balance'!$1:$1048576,8,FALSE)</f>
        <v>625</v>
      </c>
      <c r="F1613" s="1197"/>
    </row>
    <row r="1614" spans="1:6" ht="15.75" customHeight="1">
      <c r="A1614" s="1135" t="s">
        <v>937</v>
      </c>
      <c r="B1614" s="1089" t="str">
        <f>VLOOKUP(A1614,'[93]Trial Balance'!$1:$1048576,2,FALSE)</f>
        <v>PIEDMEC Exppense</v>
      </c>
      <c r="C1614" s="1089"/>
      <c r="D1614" s="1075">
        <f>VLOOKUP(A1614,'[93]Trial Balance'!$1:$1048576,8,FALSE)</f>
        <v>0</v>
      </c>
      <c r="E1614" s="1205">
        <f>VLOOKUP(A1614,'[95]Trial Balance'!$1:$1048576,8,FALSE)</f>
        <v>7000</v>
      </c>
      <c r="F1614" s="1197"/>
    </row>
    <row r="1615" spans="1:6" ht="15.75" customHeight="1">
      <c r="A1615" s="1135" t="s">
        <v>938</v>
      </c>
      <c r="B1615" s="1089" t="str">
        <f>VLOOKUP(A1615,'[93]Trial Balance'!$1:$1048576,2,FALSE)</f>
        <v>Office Expense</v>
      </c>
      <c r="C1615" s="1089"/>
      <c r="D1615" s="1075">
        <f>VLOOKUP(A1615,'[93]Trial Balance'!$1:$1048576,8,FALSE)</f>
        <v>81489</v>
      </c>
      <c r="E1615" s="1205">
        <f>VLOOKUP(A1615,'[95]Trial Balance'!$1:$1048576,8,FALSE)</f>
        <v>16200</v>
      </c>
      <c r="F1615" s="1197"/>
    </row>
    <row r="1616" spans="1:6" ht="15.75" customHeight="1">
      <c r="A1616" s="1135" t="s">
        <v>939</v>
      </c>
      <c r="B1616" s="1089" t="str">
        <f>VLOOKUP(A1616,'[93]Trial Balance'!$1:$1048576,2,FALSE)</f>
        <v>Extra Tax</v>
      </c>
      <c r="C1616" s="1089"/>
      <c r="D1616" s="1075">
        <f>VLOOKUP(A1616,'[93]Trial Balance'!$1:$1048576,8,FALSE)</f>
        <v>0</v>
      </c>
      <c r="E1616" s="1205">
        <v>0</v>
      </c>
      <c r="F1616" s="1197"/>
    </row>
    <row r="1617" spans="1:6" ht="15.5">
      <c r="A1617" s="1135"/>
      <c r="B1617" s="1089"/>
      <c r="C1617" s="1089"/>
      <c r="D1617" s="1075"/>
      <c r="E1617" s="1205"/>
      <c r="F1617" s="1197"/>
    </row>
    <row r="1618" spans="1:6" ht="15.5">
      <c r="A1618" s="1135"/>
      <c r="B1618" s="1089"/>
      <c r="C1618" s="1089"/>
      <c r="D1618" s="1075"/>
      <c r="E1618" s="1205"/>
      <c r="F1618" s="1197"/>
    </row>
    <row r="1619" spans="1:6" ht="15.5">
      <c r="A1619" s="1135"/>
      <c r="B1619" s="1089"/>
      <c r="C1619" s="1089"/>
      <c r="D1619" s="1075"/>
      <c r="E1619" s="1205"/>
      <c r="F1619" s="1197"/>
    </row>
    <row r="1620" spans="1:6" ht="15.5">
      <c r="A1620" s="1135"/>
      <c r="B1620" s="1089"/>
      <c r="C1620" s="1089"/>
      <c r="D1620" s="1075"/>
      <c r="E1620" s="1205"/>
      <c r="F1620" s="1197"/>
    </row>
    <row r="1621" spans="1:6" ht="15.5">
      <c r="A1621" s="1135"/>
      <c r="B1621" s="1089"/>
      <c r="C1621" s="1089"/>
      <c r="D1621" s="1075"/>
      <c r="E1621" s="1205"/>
      <c r="F1621" s="1197"/>
    </row>
    <row r="1622" spans="1:6" ht="15.5">
      <c r="A1622" s="1135"/>
      <c r="B1622" s="1089"/>
      <c r="C1622" s="1089"/>
      <c r="D1622" s="1075"/>
      <c r="E1622" s="1205"/>
      <c r="F1622" s="1197"/>
    </row>
    <row r="1623" spans="1:6" ht="15.5">
      <c r="A1623" s="1135"/>
      <c r="B1623" s="1089"/>
      <c r="C1623" s="1089"/>
      <c r="D1623" s="1075"/>
      <c r="E1623" s="1205"/>
      <c r="F1623" s="1197"/>
    </row>
    <row r="1624" spans="1:6" ht="15.5">
      <c r="A1624" s="1135"/>
      <c r="B1624" s="1074"/>
      <c r="C1624" s="1074"/>
      <c r="D1624" s="1081"/>
      <c r="E1624" s="1205"/>
      <c r="F1624" s="1197"/>
    </row>
    <row r="1625" spans="1:6" ht="15.5">
      <c r="A1625" s="1135"/>
      <c r="B1625" s="1074"/>
      <c r="C1625" s="1074"/>
      <c r="D1625" s="1081"/>
      <c r="E1625" s="1205"/>
      <c r="F1625" s="1197"/>
    </row>
    <row r="1626" spans="1:6" ht="15.5">
      <c r="A1626" s="1135"/>
      <c r="B1626" s="1074"/>
      <c r="C1626" s="1074"/>
      <c r="D1626" s="1081"/>
      <c r="E1626" s="1205"/>
      <c r="F1626" s="1197"/>
    </row>
    <row r="1627" spans="1:6" ht="15.5">
      <c r="A1627" s="1135"/>
      <c r="B1627" s="1074"/>
      <c r="C1627" s="1074"/>
      <c r="D1627" s="1081"/>
      <c r="E1627" s="1205"/>
      <c r="F1627" s="1197"/>
    </row>
    <row r="1628" spans="1:6" ht="15.5">
      <c r="A1628" s="1135"/>
      <c r="B1628" s="1074"/>
      <c r="C1628" s="1074"/>
      <c r="D1628" s="1081"/>
      <c r="E1628" s="1205"/>
      <c r="F1628" s="1197"/>
    </row>
    <row r="1629" spans="1:6" ht="15.5">
      <c r="A1629" s="1135"/>
      <c r="B1629" s="1085"/>
      <c r="C1629" s="1085"/>
      <c r="D1629" s="1081"/>
      <c r="E1629" s="1205"/>
      <c r="F1629" s="1197"/>
    </row>
    <row r="1630" spans="1:6" ht="15.5">
      <c r="A1630" s="1404" t="s">
        <v>701</v>
      </c>
      <c r="B1630" s="1405"/>
      <c r="C1630" s="1087"/>
      <c r="D1630" s="1083">
        <f>SUM(D1612:D1624)</f>
        <v>113732</v>
      </c>
      <c r="E1630" s="1206">
        <f>SUM(E1612:E1627)</f>
        <v>38858</v>
      </c>
      <c r="F1630" s="1197"/>
    </row>
    <row r="1631" spans="1:6" ht="15.5">
      <c r="A1631" s="1064"/>
      <c r="B1631" s="1197"/>
      <c r="C1631" s="1197"/>
      <c r="D1631" s="1215"/>
      <c r="E1631" s="1197"/>
      <c r="F1631" s="1197"/>
    </row>
    <row r="1632" spans="1:6" ht="15.5">
      <c r="A1632" s="1068" t="s">
        <v>230</v>
      </c>
      <c r="B1632" s="1068"/>
      <c r="C1632" s="1065"/>
      <c r="D1632" s="1066"/>
      <c r="E1632" s="1065"/>
      <c r="F1632" s="1197"/>
    </row>
    <row r="1633" spans="1:6" ht="15.5">
      <c r="A1633" s="1069" t="s">
        <v>690</v>
      </c>
      <c r="B1633" s="1070" t="s">
        <v>691</v>
      </c>
      <c r="C1633" s="1070" t="s">
        <v>692</v>
      </c>
      <c r="D1633" s="1071">
        <v>2014</v>
      </c>
      <c r="E1633" s="1088">
        <v>2013</v>
      </c>
      <c r="F1633" s="1197"/>
    </row>
    <row r="1634" spans="1:6" ht="15.75" customHeight="1">
      <c r="A1634" s="1135" t="s">
        <v>940</v>
      </c>
      <c r="B1634" s="1089" t="str">
        <f>VLOOKUP(A1634,'[93]Trial Balance'!$1:$1048576,2,FALSE)</f>
        <v>Other Income</v>
      </c>
      <c r="C1634" s="1089"/>
      <c r="D1634" s="1075">
        <f>VLOOKUP(A1634,'[93]Trial Balance'!$1:$1048576,9,FALSE)</f>
        <v>314823</v>
      </c>
      <c r="E1634" s="1205">
        <f>VLOOKUP(A1634,'[95]Trial Balance'!$1:$1048576,9,FALSE)</f>
        <v>0</v>
      </c>
      <c r="F1634" s="1197"/>
    </row>
    <row r="1635" spans="1:6" ht="15.5">
      <c r="A1635" s="1135"/>
      <c r="B1635" s="1089"/>
      <c r="C1635" s="1089"/>
      <c r="D1635" s="1075"/>
      <c r="E1635" s="1205"/>
      <c r="F1635" s="1197"/>
    </row>
    <row r="1636" spans="1:6" ht="15.5">
      <c r="A1636" s="1135"/>
      <c r="B1636" s="1089"/>
      <c r="C1636" s="1089"/>
      <c r="D1636" s="1075"/>
      <c r="E1636" s="1205"/>
      <c r="F1636" s="1197"/>
    </row>
    <row r="1637" spans="1:6" ht="15.5">
      <c r="A1637" s="1135"/>
      <c r="B1637" s="1089"/>
      <c r="C1637" s="1089"/>
      <c r="D1637" s="1075"/>
      <c r="E1637" s="1205"/>
      <c r="F1637" s="1197"/>
    </row>
    <row r="1638" spans="1:6" ht="15.5">
      <c r="A1638" s="1135"/>
      <c r="B1638" s="1089"/>
      <c r="C1638" s="1089"/>
      <c r="D1638" s="1075"/>
      <c r="E1638" s="1205"/>
      <c r="F1638" s="1197"/>
    </row>
    <row r="1639" spans="1:6" ht="15.5">
      <c r="A1639" s="1135"/>
      <c r="B1639" s="1089"/>
      <c r="C1639" s="1089"/>
      <c r="D1639" s="1075"/>
      <c r="E1639" s="1205"/>
      <c r="F1639" s="1197"/>
    </row>
    <row r="1640" spans="1:6" ht="15.5">
      <c r="A1640" s="1135"/>
      <c r="B1640" s="1089"/>
      <c r="C1640" s="1089"/>
      <c r="D1640" s="1075"/>
      <c r="E1640" s="1205"/>
      <c r="F1640" s="1197"/>
    </row>
    <row r="1641" spans="1:6" ht="15.5">
      <c r="A1641" s="1135"/>
      <c r="B1641" s="1089"/>
      <c r="C1641" s="1089"/>
      <c r="D1641" s="1075"/>
      <c r="E1641" s="1205"/>
      <c r="F1641" s="1197"/>
    </row>
    <row r="1642" spans="1:6" ht="15.5">
      <c r="A1642" s="1135"/>
      <c r="B1642" s="1089"/>
      <c r="C1642" s="1089"/>
      <c r="D1642" s="1075"/>
      <c r="E1642" s="1205"/>
      <c r="F1642" s="1197"/>
    </row>
    <row r="1643" spans="1:6" ht="15.5">
      <c r="A1643" s="1135"/>
      <c r="B1643" s="1089"/>
      <c r="C1643" s="1089"/>
      <c r="D1643" s="1075"/>
      <c r="E1643" s="1205"/>
      <c r="F1643" s="1197"/>
    </row>
    <row r="1644" spans="1:6" ht="15.5">
      <c r="A1644" s="1135"/>
      <c r="B1644" s="1089"/>
      <c r="C1644" s="1089"/>
      <c r="D1644" s="1075"/>
      <c r="E1644" s="1205"/>
      <c r="F1644" s="1197"/>
    </row>
    <row r="1645" spans="1:6" ht="15.5">
      <c r="A1645" s="1135"/>
      <c r="B1645" s="1089"/>
      <c r="C1645" s="1089"/>
      <c r="D1645" s="1075"/>
      <c r="E1645" s="1205"/>
      <c r="F1645" s="1197"/>
    </row>
    <row r="1646" spans="1:6" ht="15.5">
      <c r="A1646" s="1135"/>
      <c r="B1646" s="1089"/>
      <c r="C1646" s="1089"/>
      <c r="D1646" s="1075"/>
      <c r="E1646" s="1205"/>
      <c r="F1646" s="1197"/>
    </row>
    <row r="1647" spans="1:6" ht="15.5">
      <c r="A1647" s="1135"/>
      <c r="B1647" s="1074"/>
      <c r="C1647" s="1074"/>
      <c r="D1647" s="1081"/>
      <c r="E1647" s="1205"/>
      <c r="F1647" s="1197"/>
    </row>
    <row r="1648" spans="1:6" ht="15.5">
      <c r="A1648" s="1135"/>
      <c r="B1648" s="1074"/>
      <c r="C1648" s="1074"/>
      <c r="D1648" s="1081"/>
      <c r="E1648" s="1205"/>
      <c r="F1648" s="1197"/>
    </row>
    <row r="1649" spans="1:6" ht="15.5">
      <c r="A1649" s="1135"/>
      <c r="B1649" s="1074"/>
      <c r="C1649" s="1074"/>
      <c r="D1649" s="1081"/>
      <c r="E1649" s="1205"/>
      <c r="F1649" s="1197"/>
    </row>
    <row r="1650" spans="1:6" ht="15.5">
      <c r="A1650" s="1135"/>
      <c r="B1650" s="1074"/>
      <c r="C1650" s="1074"/>
      <c r="D1650" s="1081"/>
      <c r="E1650" s="1205"/>
      <c r="F1650" s="1197"/>
    </row>
    <row r="1651" spans="1:6" ht="15.5">
      <c r="A1651" s="1135"/>
      <c r="B1651" s="1074"/>
      <c r="C1651" s="1074"/>
      <c r="D1651" s="1081"/>
      <c r="E1651" s="1205"/>
      <c r="F1651" s="1197"/>
    </row>
    <row r="1652" spans="1:6" ht="15.5">
      <c r="A1652" s="1135"/>
      <c r="B1652" s="1085"/>
      <c r="C1652" s="1085"/>
      <c r="D1652" s="1081"/>
      <c r="E1652" s="1205"/>
      <c r="F1652" s="1197"/>
    </row>
    <row r="1653" spans="1:6" ht="15.5">
      <c r="A1653" s="1404" t="s">
        <v>701</v>
      </c>
      <c r="B1653" s="1405"/>
      <c r="C1653" s="1087"/>
      <c r="D1653" s="1083">
        <f>SUM(D1634:D1647)</f>
        <v>314823</v>
      </c>
      <c r="E1653" s="1211">
        <f>SUM(E1634:E1650)</f>
        <v>0</v>
      </c>
      <c r="F1653" s="1197"/>
    </row>
    <row r="1654" spans="1:6" ht="15.5">
      <c r="A1654" s="1064"/>
      <c r="B1654" s="1197"/>
      <c r="C1654" s="1197"/>
      <c r="D1654" s="1215"/>
      <c r="E1654" s="1197"/>
      <c r="F1654" s="1197"/>
    </row>
    <row r="1655" spans="1:6" ht="15.5">
      <c r="A1655" s="1068" t="s">
        <v>941</v>
      </c>
      <c r="B1655" s="1068"/>
      <c r="C1655" s="1065"/>
      <c r="D1655" s="1066"/>
      <c r="E1655" s="1065"/>
      <c r="F1655" s="1197"/>
    </row>
    <row r="1656" spans="1:6" ht="15.5">
      <c r="A1656" s="1069" t="s">
        <v>690</v>
      </c>
      <c r="B1656" s="1070" t="s">
        <v>691</v>
      </c>
      <c r="C1656" s="1070" t="s">
        <v>692</v>
      </c>
      <c r="D1656" s="1071">
        <v>2014</v>
      </c>
      <c r="E1656" s="1088">
        <v>2013</v>
      </c>
      <c r="F1656" s="1197"/>
    </row>
    <row r="1657" spans="1:6" ht="16.5" customHeight="1">
      <c r="A1657" s="1135"/>
      <c r="B1657" s="1239" t="s">
        <v>942</v>
      </c>
      <c r="C1657" s="1089"/>
      <c r="D1657" s="1162"/>
      <c r="E1657" s="1216"/>
      <c r="F1657" s="1197"/>
    </row>
    <row r="1658" spans="1:6" ht="15.75" customHeight="1">
      <c r="A1658" s="1135" t="s">
        <v>943</v>
      </c>
      <c r="B1658" s="1089" t="str">
        <f>VLOOKUP(A1658,'[93]Trial Balance'!$1:$1048576,2,FALSE)</f>
        <v>Markup Murabaha - Meezan</v>
      </c>
      <c r="C1658" s="1091"/>
      <c r="D1658" s="1077">
        <f>VLOOKUP(A1658,'[93]Trial Balance'!$1:$1048576,8,FALSE)</f>
        <v>2545863</v>
      </c>
      <c r="E1658" s="1233">
        <f>VLOOKUP(A1658,'[95]Trial Balance'!$1:$1048576,8,FALSE)</f>
        <v>1568446</v>
      </c>
      <c r="F1658" s="1197"/>
    </row>
    <row r="1659" spans="1:6" ht="16.5" customHeight="1">
      <c r="A1659" s="1135" t="s">
        <v>944</v>
      </c>
      <c r="B1659" s="1089" t="str">
        <f>VLOOKUP(A1659,'[93]Trial Balance'!$1:$1048576,2,FALSE)</f>
        <v>Askari Bank</v>
      </c>
      <c r="C1659" s="1091"/>
      <c r="D1659" s="1079">
        <f>VLOOKUP(A1659,'[93]Trial Balance'!$1:$1048576,8,FALSE)</f>
        <v>1601712</v>
      </c>
      <c r="E1659" s="1234">
        <f>VLOOKUP(A1659,'[95]Trial Balance'!$1:$1048576,8,FALSE)</f>
        <v>235599</v>
      </c>
      <c r="F1659" s="1197"/>
    </row>
    <row r="1660" spans="1:6" ht="15.5">
      <c r="A1660" s="1135"/>
      <c r="B1660" s="1089"/>
      <c r="C1660" s="1089"/>
      <c r="D1660" s="1240">
        <f>SUM(D1658:D1659)</f>
        <v>4147575</v>
      </c>
      <c r="E1660" s="1242">
        <f>SUM(E1658:E1659)</f>
        <v>1804045</v>
      </c>
      <c r="F1660" s="1197"/>
    </row>
    <row r="1661" spans="1:6" ht="15.5">
      <c r="A1661" s="1135"/>
      <c r="B1661" s="1089"/>
      <c r="C1661" s="1089"/>
      <c r="D1661" s="1221"/>
      <c r="E1661" s="1204"/>
      <c r="F1661" s="1197"/>
    </row>
    <row r="1662" spans="1:6" ht="16.5" customHeight="1">
      <c r="A1662" s="1135"/>
      <c r="B1662" s="1241" t="s">
        <v>314</v>
      </c>
      <c r="C1662" s="1161"/>
      <c r="D1662" s="1162"/>
      <c r="E1662" s="1216"/>
      <c r="F1662" s="1197"/>
    </row>
    <row r="1663" spans="1:6" ht="15.75" customHeight="1">
      <c r="A1663" s="1135" t="s">
        <v>945</v>
      </c>
      <c r="B1663" s="1089" t="str">
        <f>VLOOKUP(A1663,'[93]Trial Balance'!$1:$1048576,2,FALSE)</f>
        <v>Bank Charges (HBL)</v>
      </c>
      <c r="C1663" s="1091"/>
      <c r="D1663" s="1077">
        <f>VLOOKUP(A1663,'[93]Trial Balance'!$1:$1048576,8,FALSE)</f>
        <v>0</v>
      </c>
      <c r="E1663" s="1233">
        <f>VLOOKUP(A1663,'[95]Trial Balance'!$1:$1048576,8,FALSE)</f>
        <v>640</v>
      </c>
      <c r="F1663" s="1197"/>
    </row>
    <row r="1664" spans="1:6" ht="15.75" customHeight="1">
      <c r="A1664" s="1135" t="s">
        <v>946</v>
      </c>
      <c r="B1664" s="1089" t="str">
        <f>VLOOKUP(A1664,'[93]Trial Balance'!$1:$1048576,2,FALSE)</f>
        <v>Bank Charges (BAL)</v>
      </c>
      <c r="C1664" s="1091"/>
      <c r="D1664" s="1078">
        <f>VLOOKUP(A1664,'[93]Trial Balance'!$1:$1048576,8,FALSE)</f>
        <v>7320</v>
      </c>
      <c r="E1664" s="1237">
        <f>VLOOKUP(A1664,'[95]Trial Balance'!$1:$1048576,8,FALSE)</f>
        <v>150</v>
      </c>
      <c r="F1664" s="1197"/>
    </row>
    <row r="1665" spans="1:6" ht="15.75" customHeight="1">
      <c r="A1665" s="1135" t="s">
        <v>947</v>
      </c>
      <c r="B1665" s="1089" t="str">
        <f>VLOOKUP(A1665,'[93]Trial Balance'!$1:$1048576,2,FALSE)</f>
        <v>Bank Charges Askari</v>
      </c>
      <c r="C1665" s="1091"/>
      <c r="D1665" s="1078">
        <f>VLOOKUP(A1665,'[93]Trial Balance'!$1:$1048576,8,FALSE)</f>
        <v>37820</v>
      </c>
      <c r="E1665" s="1237">
        <f>VLOOKUP(A1665,'[95]Trial Balance'!$1:$1048576,8,FALSE)</f>
        <v>11217</v>
      </c>
      <c r="F1665" s="1197"/>
    </row>
    <row r="1666" spans="1:6" ht="15.75" customHeight="1">
      <c r="A1666" s="1135" t="s">
        <v>948</v>
      </c>
      <c r="B1666" s="1089" t="str">
        <f>VLOOKUP(A1666,'[93]Trial Balance'!$1:$1048576,2,FALSE)</f>
        <v>Bank Charges Silk Bank</v>
      </c>
      <c r="C1666" s="1091"/>
      <c r="D1666" s="1078">
        <f>VLOOKUP(A1666,'[93]Trial Balance'!$1:$1048576,8,FALSE)</f>
        <v>0</v>
      </c>
      <c r="E1666" s="1237">
        <f>VLOOKUP(A1666,'[95]Trial Balance'!$1:$1048576,8,FALSE)</f>
        <v>2410</v>
      </c>
      <c r="F1666" s="1197"/>
    </row>
    <row r="1667" spans="1:6" ht="15.75" customHeight="1">
      <c r="A1667" s="1135" t="s">
        <v>949</v>
      </c>
      <c r="B1667" s="1089" t="str">
        <f>VLOOKUP(A1667,'[93]Trial Balance'!$1:$1048576,2,FALSE)</f>
        <v>Bank Charges Meezan</v>
      </c>
      <c r="C1667" s="1091"/>
      <c r="D1667" s="1078">
        <f>VLOOKUP(A1667,'[93]Trial Balance'!$1:$1048576,8,FALSE)</f>
        <v>1213</v>
      </c>
      <c r="E1667" s="1237">
        <f>VLOOKUP(A1667,'[95]Trial Balance'!$1:$1048576,8,FALSE)</f>
        <v>1493</v>
      </c>
      <c r="F1667" s="1197"/>
    </row>
    <row r="1668" spans="1:6" ht="16.5" customHeight="1">
      <c r="A1668" s="1135" t="s">
        <v>950</v>
      </c>
      <c r="B1668" s="1089" t="str">
        <f>VLOOKUP(A1668,'[93]Trial Balance'!$1:$1048576,2,FALSE)</f>
        <v>Bank Charges MBL (Akb chok)</v>
      </c>
      <c r="C1668" s="1091"/>
      <c r="D1668" s="1079">
        <f>VLOOKUP(A1668,'[93]Trial Balance'!$1:$1048576,8,FALSE)</f>
        <v>24455</v>
      </c>
      <c r="E1668" s="1234">
        <f>VLOOKUP(A1668,'[95]Trial Balance'!$1:$1048576,8,FALSE)</f>
        <v>905</v>
      </c>
      <c r="F1668" s="1197"/>
    </row>
    <row r="1669" spans="1:6" ht="15.5">
      <c r="A1669" s="1135"/>
      <c r="B1669" s="1089"/>
      <c r="C1669" s="1089"/>
      <c r="D1669" s="1240">
        <f>SUM(D1663:D1668)</f>
        <v>70808</v>
      </c>
      <c r="E1669" s="1242">
        <f>SUM(E1663:E1668)</f>
        <v>16815</v>
      </c>
      <c r="F1669" s="1197"/>
    </row>
    <row r="1670" spans="1:6" ht="15.5">
      <c r="A1670" s="1135"/>
      <c r="B1670" s="1074"/>
      <c r="C1670" s="1074"/>
      <c r="D1670" s="1080"/>
      <c r="E1670" s="1204"/>
      <c r="F1670" s="1197"/>
    </row>
    <row r="1671" spans="1:6" ht="15.5">
      <c r="A1671" s="1135"/>
      <c r="B1671" s="1074"/>
      <c r="C1671" s="1074"/>
      <c r="D1671" s="1081"/>
      <c r="E1671" s="1205"/>
      <c r="F1671" s="1197"/>
    </row>
    <row r="1672" spans="1:6" ht="15.5">
      <c r="A1672" s="1135"/>
      <c r="B1672" s="1074"/>
      <c r="C1672" s="1074"/>
      <c r="D1672" s="1081"/>
      <c r="E1672" s="1205"/>
      <c r="F1672" s="1197"/>
    </row>
    <row r="1673" spans="1:6" ht="15.5">
      <c r="A1673" s="1135"/>
      <c r="B1673" s="1074"/>
      <c r="C1673" s="1074"/>
      <c r="D1673" s="1081"/>
      <c r="E1673" s="1205"/>
      <c r="F1673" s="1197"/>
    </row>
    <row r="1674" spans="1:6" ht="15.5">
      <c r="A1674" s="1135"/>
      <c r="B1674" s="1074"/>
      <c r="C1674" s="1074"/>
      <c r="D1674" s="1081"/>
      <c r="E1674" s="1205"/>
      <c r="F1674" s="1197"/>
    </row>
    <row r="1675" spans="1:6" ht="15.5">
      <c r="A1675" s="1135"/>
      <c r="B1675" s="1085"/>
      <c r="C1675" s="1085"/>
      <c r="D1675" s="1081"/>
      <c r="E1675" s="1205"/>
      <c r="F1675" s="1197"/>
    </row>
    <row r="1676" spans="1:6" ht="15.5">
      <c r="A1676" s="1404" t="s">
        <v>701</v>
      </c>
      <c r="B1676" s="1405"/>
      <c r="C1676" s="1087"/>
      <c r="D1676" s="1083">
        <f>D1660+D1669</f>
        <v>4218383</v>
      </c>
      <c r="E1676" s="1206">
        <f>E1660+E1669</f>
        <v>1820860</v>
      </c>
      <c r="F1676" s="1197"/>
    </row>
    <row r="1677" spans="1:6" ht="15.5">
      <c r="A1677" s="1064"/>
      <c r="B1677" s="1197"/>
      <c r="C1677" s="1197"/>
      <c r="D1677" s="1215"/>
      <c r="E1677" s="1197"/>
      <c r="F1677" s="1197"/>
    </row>
    <row r="1678" spans="1:6" ht="15.5">
      <c r="A1678" s="1064"/>
      <c r="B1678" s="1197"/>
      <c r="C1678" s="1197"/>
      <c r="D1678" s="1215"/>
      <c r="E1678" s="1197"/>
      <c r="F1678" s="1197"/>
    </row>
    <row r="1679" spans="1:6" ht="15.5">
      <c r="A1679" s="1064"/>
      <c r="B1679" s="1197"/>
      <c r="C1679" s="1197"/>
      <c r="D1679" s="1215"/>
      <c r="E1679" s="1197"/>
      <c r="F1679" s="1197"/>
    </row>
    <row r="1680" spans="1:6" ht="15.5">
      <c r="A1680" s="1064"/>
      <c r="B1680" s="1197"/>
      <c r="C1680" s="1197"/>
      <c r="D1680" s="1215"/>
      <c r="E1680" s="1197"/>
      <c r="F1680" s="1197"/>
    </row>
    <row r="1681" spans="1:6" ht="15.5">
      <c r="A1681" s="1064"/>
      <c r="B1681" s="1197"/>
      <c r="C1681" s="1197"/>
      <c r="D1681" s="1215"/>
      <c r="E1681" s="1197"/>
      <c r="F1681" s="1197"/>
    </row>
    <row r="1682" spans="1:6" ht="15.5">
      <c r="A1682" s="1064"/>
      <c r="B1682" s="1197"/>
      <c r="C1682" s="1197"/>
      <c r="D1682" s="1215"/>
      <c r="E1682" s="1197"/>
      <c r="F1682" s="1197"/>
    </row>
    <row r="1683" spans="1:6" ht="15.5">
      <c r="A1683" s="1064"/>
      <c r="B1683" s="1197"/>
      <c r="C1683" s="1197"/>
      <c r="D1683" s="1215"/>
      <c r="E1683" s="1197"/>
      <c r="F1683" s="1197"/>
    </row>
    <row r="1684" spans="1:6" ht="15.5">
      <c r="A1684" s="1064"/>
      <c r="B1684" s="1197"/>
      <c r="C1684" s="1197"/>
      <c r="D1684" s="1215"/>
      <c r="E1684" s="1197"/>
      <c r="F1684" s="1197"/>
    </row>
    <row r="1685" spans="1:6" ht="15.5">
      <c r="A1685" s="1064"/>
      <c r="B1685" s="1197"/>
      <c r="C1685" s="1197"/>
      <c r="D1685" s="1215"/>
      <c r="E1685" s="1197"/>
      <c r="F1685" s="1197"/>
    </row>
    <row r="1686" spans="1:6" ht="15.5">
      <c r="A1686" s="1064"/>
      <c r="B1686" s="1197"/>
      <c r="C1686" s="1197"/>
      <c r="D1686" s="1215"/>
      <c r="E1686" s="1197"/>
      <c r="F1686" s="1197"/>
    </row>
    <row r="1687" spans="1:6" ht="15.5">
      <c r="A1687" s="1243"/>
    </row>
    <row r="1688" spans="1:6" ht="15.5">
      <c r="A1688" s="1243"/>
    </row>
    <row r="1689" spans="1:6" ht="15.5">
      <c r="A1689" s="1243"/>
    </row>
    <row r="1690" spans="1:6" ht="15.5">
      <c r="A1690" s="1243"/>
    </row>
    <row r="1691" spans="1:6" ht="15.5">
      <c r="A1691" s="1243"/>
    </row>
    <row r="1692" spans="1:6" ht="15.5">
      <c r="A1692" s="1243"/>
    </row>
    <row r="1693" spans="1:6" ht="15.5">
      <c r="A1693" s="1243"/>
    </row>
    <row r="1694" spans="1:6" ht="15.5">
      <c r="A1694" s="1243"/>
    </row>
    <row r="1695" spans="1:6" ht="15.5">
      <c r="A1695" s="1243"/>
    </row>
    <row r="1696" spans="1:6" ht="15.5">
      <c r="A1696" s="1243"/>
    </row>
    <row r="1697" spans="1:1" ht="15.5">
      <c r="A1697" s="1243"/>
    </row>
    <row r="1698" spans="1:1" ht="15.5">
      <c r="A1698" s="1243"/>
    </row>
    <row r="1699" spans="1:1" ht="15.5">
      <c r="A1699" s="1243"/>
    </row>
    <row r="1700" spans="1:1" ht="15.5">
      <c r="A1700" s="1243"/>
    </row>
    <row r="1701" spans="1:1" ht="15.5">
      <c r="A1701" s="1243"/>
    </row>
    <row r="1702" spans="1:1" ht="15.5">
      <c r="A1702" s="1243"/>
    </row>
    <row r="1703" spans="1:1" ht="15.5">
      <c r="A1703" s="1243"/>
    </row>
    <row r="1704" spans="1:1" ht="15.5">
      <c r="A1704" s="1243"/>
    </row>
    <row r="1705" spans="1:1" ht="15.5">
      <c r="A1705" s="1243"/>
    </row>
    <row r="1706" spans="1:1" ht="15.5">
      <c r="A1706" s="1243"/>
    </row>
    <row r="1707" spans="1:1" ht="15.5">
      <c r="A1707" s="1243"/>
    </row>
    <row r="1708" spans="1:1" ht="15.5">
      <c r="A1708" s="1243"/>
    </row>
    <row r="1709" spans="1:1" ht="15.5">
      <c r="A1709" s="1243"/>
    </row>
    <row r="1710" spans="1:1" ht="15.5">
      <c r="A1710" s="1243"/>
    </row>
    <row r="1711" spans="1:1" ht="15.5">
      <c r="A1711" s="1243"/>
    </row>
    <row r="1712" spans="1:1" ht="15.5">
      <c r="A1712" s="1243"/>
    </row>
    <row r="1713" spans="1:1" ht="15.5">
      <c r="A1713" s="1243"/>
    </row>
    <row r="1714" spans="1:1" ht="15.5">
      <c r="A1714" s="1243"/>
    </row>
    <row r="1715" spans="1:1" ht="15.5">
      <c r="A1715" s="1243"/>
    </row>
    <row r="1716" spans="1:1" ht="15.5">
      <c r="A1716" s="1243"/>
    </row>
    <row r="1717" spans="1:1" ht="15.5">
      <c r="A1717" s="1243"/>
    </row>
    <row r="1718" spans="1:1" ht="15.5">
      <c r="A1718" s="1243"/>
    </row>
    <row r="1719" spans="1:1" ht="15.5">
      <c r="A1719" s="1243"/>
    </row>
    <row r="1720" spans="1:1" ht="15.5">
      <c r="A1720" s="1243"/>
    </row>
    <row r="1721" spans="1:1" ht="15.5">
      <c r="A1721" s="1243"/>
    </row>
    <row r="1722" spans="1:1" ht="15.5">
      <c r="A1722" s="1243"/>
    </row>
    <row r="1723" spans="1:1" ht="15.5">
      <c r="A1723" s="1243"/>
    </row>
    <row r="1724" spans="1:1" ht="15.5">
      <c r="A1724" s="1243"/>
    </row>
    <row r="1725" spans="1:1" ht="15.5">
      <c r="A1725" s="1243"/>
    </row>
    <row r="1726" spans="1:1" ht="15.5">
      <c r="A1726" s="1243"/>
    </row>
    <row r="1727" spans="1:1" ht="15.5">
      <c r="A1727" s="1243"/>
    </row>
    <row r="1728" spans="1:1" ht="15.5">
      <c r="A1728" s="1243"/>
    </row>
    <row r="1729" spans="1:1" ht="15.5">
      <c r="A1729" s="1243"/>
    </row>
    <row r="1730" spans="1:1" ht="15.5">
      <c r="A1730" s="1243"/>
    </row>
  </sheetData>
  <mergeCells count="90">
    <mergeCell ref="A1:E1"/>
    <mergeCell ref="A2:E2"/>
    <mergeCell ref="A38:B38"/>
    <mergeCell ref="A58:B58"/>
    <mergeCell ref="A60:D60"/>
    <mergeCell ref="A82:B82"/>
    <mergeCell ref="A191:B191"/>
    <mergeCell ref="A212:B212"/>
    <mergeCell ref="A241:B241"/>
    <mergeCell ref="A270:B270"/>
    <mergeCell ref="A310:B310"/>
    <mergeCell ref="A312:B312"/>
    <mergeCell ref="A337:B337"/>
    <mergeCell ref="A339:B339"/>
    <mergeCell ref="A357:B357"/>
    <mergeCell ref="A359:B359"/>
    <mergeCell ref="A377:B377"/>
    <mergeCell ref="A379:B379"/>
    <mergeCell ref="A397:B397"/>
    <mergeCell ref="A399:B399"/>
    <mergeCell ref="A416:B416"/>
    <mergeCell ref="A436:B436"/>
    <mergeCell ref="A438:B438"/>
    <mergeCell ref="A460:B460"/>
    <mergeCell ref="A462:B462"/>
    <mergeCell ref="A502:B502"/>
    <mergeCell ref="A504:B504"/>
    <mergeCell ref="A523:B523"/>
    <mergeCell ref="A552:B552"/>
    <mergeCell ref="A554:B554"/>
    <mergeCell ref="A575:B575"/>
    <mergeCell ref="A598:B598"/>
    <mergeCell ref="A600:B600"/>
    <mergeCell ref="A622:B622"/>
    <mergeCell ref="A623:B623"/>
    <mergeCell ref="A625:B625"/>
    <mergeCell ref="A655:B655"/>
    <mergeCell ref="A656:B656"/>
    <mergeCell ref="A657:B657"/>
    <mergeCell ref="A687:B687"/>
    <mergeCell ref="A688:B688"/>
    <mergeCell ref="A689:B689"/>
    <mergeCell ref="A719:B719"/>
    <mergeCell ref="A720:B720"/>
    <mergeCell ref="A721:B721"/>
    <mergeCell ref="A751:B751"/>
    <mergeCell ref="A752:B752"/>
    <mergeCell ref="A753:B753"/>
    <mergeCell ref="A783:B783"/>
    <mergeCell ref="A784:B784"/>
    <mergeCell ref="A785:B785"/>
    <mergeCell ref="A815:B815"/>
    <mergeCell ref="A816:B816"/>
    <mergeCell ref="A844:B844"/>
    <mergeCell ref="A846:B846"/>
    <mergeCell ref="A866:B866"/>
    <mergeCell ref="A888:B888"/>
    <mergeCell ref="A912:B912"/>
    <mergeCell ref="A939:B939"/>
    <mergeCell ref="A962:B962"/>
    <mergeCell ref="A991:B991"/>
    <mergeCell ref="A993:B993"/>
    <mergeCell ref="A1020:B1020"/>
    <mergeCell ref="A1022:B1022"/>
    <mergeCell ref="A1049:B1049"/>
    <mergeCell ref="A1051:B1051"/>
    <mergeCell ref="A1076:B1076"/>
    <mergeCell ref="A1078:B1078"/>
    <mergeCell ref="A1103:B1103"/>
    <mergeCell ref="A1132:B1132"/>
    <mergeCell ref="A1161:B1161"/>
    <mergeCell ref="A1193:B1193"/>
    <mergeCell ref="A1217:B1217"/>
    <mergeCell ref="A1249:B1249"/>
    <mergeCell ref="A1281:B1281"/>
    <mergeCell ref="A1313:B1313"/>
    <mergeCell ref="A1345:B1345"/>
    <mergeCell ref="A1377:B1377"/>
    <mergeCell ref="A1409:B1409"/>
    <mergeCell ref="A1432:B1432"/>
    <mergeCell ref="A1455:B1455"/>
    <mergeCell ref="A1489:B1489"/>
    <mergeCell ref="A1516:B1516"/>
    <mergeCell ref="A1539:B1539"/>
    <mergeCell ref="A1562:B1562"/>
    <mergeCell ref="A1585:B1585"/>
    <mergeCell ref="A1608:B1608"/>
    <mergeCell ref="A1630:B1630"/>
    <mergeCell ref="A1653:B1653"/>
    <mergeCell ref="A1676:B1676"/>
  </mergeCells>
  <printOptions horizontalCentered="1"/>
  <pageMargins left="0.196850393700787" right="0.196850393700787" top="0.74803149606299202" bottom="0.74803149606299202" header="0.31496062992126" footer="0.31496062992126"/>
  <pageSetup paperSize="9" fitToHeight="0" orientation="portrait" r:id="rId1"/>
  <rowBreaks count="59" manualBreakCount="59">
    <brk id="38" max="5" man="1"/>
    <brk id="58" max="5" man="1"/>
    <brk id="82" max="5" man="1"/>
    <brk id="191" max="5" man="1"/>
    <brk id="212" max="5" man="1"/>
    <brk id="241" max="16383" man="1"/>
    <brk id="270" max="5" man="1"/>
    <brk id="290" max="16383" man="1"/>
    <brk id="310" max="5" man="1"/>
    <brk id="337" max="5" man="1"/>
    <brk id="357" max="16383" man="1"/>
    <brk id="377" max="16383" man="1"/>
    <brk id="397" max="5" man="1"/>
    <brk id="416" max="5" man="1"/>
    <brk id="436" max="5" man="1"/>
    <brk id="460" max="5" man="1"/>
    <brk id="502" max="5" man="1"/>
    <brk id="523" max="5" man="1"/>
    <brk id="552" max="5" man="1"/>
    <brk id="575" max="5" man="1"/>
    <brk id="598" max="5" man="1"/>
    <brk id="623" max="16383" man="1"/>
    <brk id="656" max="16383" man="1"/>
    <brk id="688" max="16383" man="1"/>
    <brk id="720" max="16383" man="1"/>
    <brk id="752" max="16383" man="1"/>
    <brk id="784" max="16383" man="1"/>
    <brk id="816" max="5" man="1"/>
    <brk id="844" max="8" man="1"/>
    <brk id="866" max="8" man="1"/>
    <brk id="888" max="8" man="1"/>
    <brk id="912" max="8" man="1"/>
    <brk id="939" max="8" man="1"/>
    <brk id="962" max="8" man="1"/>
    <brk id="991" max="8" man="1"/>
    <brk id="1020" max="8" man="1"/>
    <brk id="1049" max="8" man="1"/>
    <brk id="1076" max="8" man="1"/>
    <brk id="1103" max="8" man="1"/>
    <brk id="1132" max="8" man="1"/>
    <brk id="1161" max="8" man="1"/>
    <brk id="1193" max="8" man="1"/>
    <brk id="1217" max="8" man="1"/>
    <brk id="1249" max="8" man="1"/>
    <brk id="1281" max="8" man="1"/>
    <brk id="1313" max="8" man="1"/>
    <brk id="1345" max="8" man="1"/>
    <brk id="1377" max="8" man="1"/>
    <brk id="1409" max="8" man="1"/>
    <brk id="1432" max="8" man="1"/>
    <brk id="1455" max="8" man="1"/>
    <brk id="1489" max="8" man="1"/>
    <brk id="1516" max="8" man="1"/>
    <brk id="1539" max="8" man="1"/>
    <brk id="1562" max="8" man="1"/>
    <brk id="1585" max="8" man="1"/>
    <brk id="1608" max="8" man="1"/>
    <brk id="1630" max="8" man="1"/>
    <brk id="1653" max="8" man="1"/>
  </rowBreaks>
  <colBreaks count="1" manualBreakCount="1">
    <brk id="6"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1:S46"/>
  <sheetViews>
    <sheetView view="pageBreakPreview" zoomScale="115" zoomScaleNormal="100" workbookViewId="0">
      <selection activeCell="J20" sqref="J20"/>
    </sheetView>
  </sheetViews>
  <sheetFormatPr defaultColWidth="9" defaultRowHeight="13"/>
  <cols>
    <col min="1" max="1" width="4.26953125" style="1053" customWidth="1"/>
    <col min="2" max="2" width="1.1796875" style="1053" customWidth="1"/>
    <col min="3" max="3" width="5.81640625" style="1053" customWidth="1"/>
    <col min="4" max="256" width="9" style="1053"/>
    <col min="257" max="257" width="4.26953125" style="1053" customWidth="1"/>
    <col min="258" max="258" width="1.1796875" style="1053" customWidth="1"/>
    <col min="259" max="259" width="5.81640625" style="1053" customWidth="1"/>
    <col min="260" max="512" width="9" style="1053"/>
    <col min="513" max="513" width="4.26953125" style="1053" customWidth="1"/>
    <col min="514" max="514" width="1.1796875" style="1053" customWidth="1"/>
    <col min="515" max="515" width="5.81640625" style="1053" customWidth="1"/>
    <col min="516" max="768" width="9" style="1053"/>
    <col min="769" max="769" width="4.26953125" style="1053" customWidth="1"/>
    <col min="770" max="770" width="1.1796875" style="1053" customWidth="1"/>
    <col min="771" max="771" width="5.81640625" style="1053" customWidth="1"/>
    <col min="772" max="1024" width="9" style="1053"/>
    <col min="1025" max="1025" width="4.26953125" style="1053" customWidth="1"/>
    <col min="1026" max="1026" width="1.1796875" style="1053" customWidth="1"/>
    <col min="1027" max="1027" width="5.81640625" style="1053" customWidth="1"/>
    <col min="1028" max="1280" width="9" style="1053"/>
    <col min="1281" max="1281" width="4.26953125" style="1053" customWidth="1"/>
    <col min="1282" max="1282" width="1.1796875" style="1053" customWidth="1"/>
    <col min="1283" max="1283" width="5.81640625" style="1053" customWidth="1"/>
    <col min="1284" max="1536" width="9" style="1053"/>
    <col min="1537" max="1537" width="4.26953125" style="1053" customWidth="1"/>
    <col min="1538" max="1538" width="1.1796875" style="1053" customWidth="1"/>
    <col min="1539" max="1539" width="5.81640625" style="1053" customWidth="1"/>
    <col min="1540" max="1792" width="9" style="1053"/>
    <col min="1793" max="1793" width="4.26953125" style="1053" customWidth="1"/>
    <col min="1794" max="1794" width="1.1796875" style="1053" customWidth="1"/>
    <col min="1795" max="1795" width="5.81640625" style="1053" customWidth="1"/>
    <col min="1796" max="2048" width="9" style="1053"/>
    <col min="2049" max="2049" width="4.26953125" style="1053" customWidth="1"/>
    <col min="2050" max="2050" width="1.1796875" style="1053" customWidth="1"/>
    <col min="2051" max="2051" width="5.81640625" style="1053" customWidth="1"/>
    <col min="2052" max="2304" width="9" style="1053"/>
    <col min="2305" max="2305" width="4.26953125" style="1053" customWidth="1"/>
    <col min="2306" max="2306" width="1.1796875" style="1053" customWidth="1"/>
    <col min="2307" max="2307" width="5.81640625" style="1053" customWidth="1"/>
    <col min="2308" max="2560" width="9" style="1053"/>
    <col min="2561" max="2561" width="4.26953125" style="1053" customWidth="1"/>
    <col min="2562" max="2562" width="1.1796875" style="1053" customWidth="1"/>
    <col min="2563" max="2563" width="5.81640625" style="1053" customWidth="1"/>
    <col min="2564" max="2816" width="9" style="1053"/>
    <col min="2817" max="2817" width="4.26953125" style="1053" customWidth="1"/>
    <col min="2818" max="2818" width="1.1796875" style="1053" customWidth="1"/>
    <col min="2819" max="2819" width="5.81640625" style="1053" customWidth="1"/>
    <col min="2820" max="3072" width="9" style="1053"/>
    <col min="3073" max="3073" width="4.26953125" style="1053" customWidth="1"/>
    <col min="3074" max="3074" width="1.1796875" style="1053" customWidth="1"/>
    <col min="3075" max="3075" width="5.81640625" style="1053" customWidth="1"/>
    <col min="3076" max="3328" width="9" style="1053"/>
    <col min="3329" max="3329" width="4.26953125" style="1053" customWidth="1"/>
    <col min="3330" max="3330" width="1.1796875" style="1053" customWidth="1"/>
    <col min="3331" max="3331" width="5.81640625" style="1053" customWidth="1"/>
    <col min="3332" max="3584" width="9" style="1053"/>
    <col min="3585" max="3585" width="4.26953125" style="1053" customWidth="1"/>
    <col min="3586" max="3586" width="1.1796875" style="1053" customWidth="1"/>
    <col min="3587" max="3587" width="5.81640625" style="1053" customWidth="1"/>
    <col min="3588" max="3840" width="9" style="1053"/>
    <col min="3841" max="3841" width="4.26953125" style="1053" customWidth="1"/>
    <col min="3842" max="3842" width="1.1796875" style="1053" customWidth="1"/>
    <col min="3843" max="3843" width="5.81640625" style="1053" customWidth="1"/>
    <col min="3844" max="4096" width="9" style="1053"/>
    <col min="4097" max="4097" width="4.26953125" style="1053" customWidth="1"/>
    <col min="4098" max="4098" width="1.1796875" style="1053" customWidth="1"/>
    <col min="4099" max="4099" width="5.81640625" style="1053" customWidth="1"/>
    <col min="4100" max="4352" width="9" style="1053"/>
    <col min="4353" max="4353" width="4.26953125" style="1053" customWidth="1"/>
    <col min="4354" max="4354" width="1.1796875" style="1053" customWidth="1"/>
    <col min="4355" max="4355" width="5.81640625" style="1053" customWidth="1"/>
    <col min="4356" max="4608" width="9" style="1053"/>
    <col min="4609" max="4609" width="4.26953125" style="1053" customWidth="1"/>
    <col min="4610" max="4610" width="1.1796875" style="1053" customWidth="1"/>
    <col min="4611" max="4611" width="5.81640625" style="1053" customWidth="1"/>
    <col min="4612" max="4864" width="9" style="1053"/>
    <col min="4865" max="4865" width="4.26953125" style="1053" customWidth="1"/>
    <col min="4866" max="4866" width="1.1796875" style="1053" customWidth="1"/>
    <col min="4867" max="4867" width="5.81640625" style="1053" customWidth="1"/>
    <col min="4868" max="5120" width="9" style="1053"/>
    <col min="5121" max="5121" width="4.26953125" style="1053" customWidth="1"/>
    <col min="5122" max="5122" width="1.1796875" style="1053" customWidth="1"/>
    <col min="5123" max="5123" width="5.81640625" style="1053" customWidth="1"/>
    <col min="5124" max="5376" width="9" style="1053"/>
    <col min="5377" max="5377" width="4.26953125" style="1053" customWidth="1"/>
    <col min="5378" max="5378" width="1.1796875" style="1053" customWidth="1"/>
    <col min="5379" max="5379" width="5.81640625" style="1053" customWidth="1"/>
    <col min="5380" max="5632" width="9" style="1053"/>
    <col min="5633" max="5633" width="4.26953125" style="1053" customWidth="1"/>
    <col min="5634" max="5634" width="1.1796875" style="1053" customWidth="1"/>
    <col min="5635" max="5635" width="5.81640625" style="1053" customWidth="1"/>
    <col min="5636" max="5888" width="9" style="1053"/>
    <col min="5889" max="5889" width="4.26953125" style="1053" customWidth="1"/>
    <col min="5890" max="5890" width="1.1796875" style="1053" customWidth="1"/>
    <col min="5891" max="5891" width="5.81640625" style="1053" customWidth="1"/>
    <col min="5892" max="6144" width="9" style="1053"/>
    <col min="6145" max="6145" width="4.26953125" style="1053" customWidth="1"/>
    <col min="6146" max="6146" width="1.1796875" style="1053" customWidth="1"/>
    <col min="6147" max="6147" width="5.81640625" style="1053" customWidth="1"/>
    <col min="6148" max="6400" width="9" style="1053"/>
    <col min="6401" max="6401" width="4.26953125" style="1053" customWidth="1"/>
    <col min="6402" max="6402" width="1.1796875" style="1053" customWidth="1"/>
    <col min="6403" max="6403" width="5.81640625" style="1053" customWidth="1"/>
    <col min="6404" max="6656" width="9" style="1053"/>
    <col min="6657" max="6657" width="4.26953125" style="1053" customWidth="1"/>
    <col min="6658" max="6658" width="1.1796875" style="1053" customWidth="1"/>
    <col min="6659" max="6659" width="5.81640625" style="1053" customWidth="1"/>
    <col min="6660" max="6912" width="9" style="1053"/>
    <col min="6913" max="6913" width="4.26953125" style="1053" customWidth="1"/>
    <col min="6914" max="6914" width="1.1796875" style="1053" customWidth="1"/>
    <col min="6915" max="6915" width="5.81640625" style="1053" customWidth="1"/>
    <col min="6916" max="7168" width="9" style="1053"/>
    <col min="7169" max="7169" width="4.26953125" style="1053" customWidth="1"/>
    <col min="7170" max="7170" width="1.1796875" style="1053" customWidth="1"/>
    <col min="7171" max="7171" width="5.81640625" style="1053" customWidth="1"/>
    <col min="7172" max="7424" width="9" style="1053"/>
    <col min="7425" max="7425" width="4.26953125" style="1053" customWidth="1"/>
    <col min="7426" max="7426" width="1.1796875" style="1053" customWidth="1"/>
    <col min="7427" max="7427" width="5.81640625" style="1053" customWidth="1"/>
    <col min="7428" max="7680" width="9" style="1053"/>
    <col min="7681" max="7681" width="4.26953125" style="1053" customWidth="1"/>
    <col min="7682" max="7682" width="1.1796875" style="1053" customWidth="1"/>
    <col min="7683" max="7683" width="5.81640625" style="1053" customWidth="1"/>
    <col min="7684" max="7936" width="9" style="1053"/>
    <col min="7937" max="7937" width="4.26953125" style="1053" customWidth="1"/>
    <col min="7938" max="7938" width="1.1796875" style="1053" customWidth="1"/>
    <col min="7939" max="7939" width="5.81640625" style="1053" customWidth="1"/>
    <col min="7940" max="8192" width="9" style="1053"/>
    <col min="8193" max="8193" width="4.26953125" style="1053" customWidth="1"/>
    <col min="8194" max="8194" width="1.1796875" style="1053" customWidth="1"/>
    <col min="8195" max="8195" width="5.81640625" style="1053" customWidth="1"/>
    <col min="8196" max="8448" width="9" style="1053"/>
    <col min="8449" max="8449" width="4.26953125" style="1053" customWidth="1"/>
    <col min="8450" max="8450" width="1.1796875" style="1053" customWidth="1"/>
    <col min="8451" max="8451" width="5.81640625" style="1053" customWidth="1"/>
    <col min="8452" max="8704" width="9" style="1053"/>
    <col min="8705" max="8705" width="4.26953125" style="1053" customWidth="1"/>
    <col min="8706" max="8706" width="1.1796875" style="1053" customWidth="1"/>
    <col min="8707" max="8707" width="5.81640625" style="1053" customWidth="1"/>
    <col min="8708" max="8960" width="9" style="1053"/>
    <col min="8961" max="8961" width="4.26953125" style="1053" customWidth="1"/>
    <col min="8962" max="8962" width="1.1796875" style="1053" customWidth="1"/>
    <col min="8963" max="8963" width="5.81640625" style="1053" customWidth="1"/>
    <col min="8964" max="9216" width="9" style="1053"/>
    <col min="9217" max="9217" width="4.26953125" style="1053" customWidth="1"/>
    <col min="9218" max="9218" width="1.1796875" style="1053" customWidth="1"/>
    <col min="9219" max="9219" width="5.81640625" style="1053" customWidth="1"/>
    <col min="9220" max="9472" width="9" style="1053"/>
    <col min="9473" max="9473" width="4.26953125" style="1053" customWidth="1"/>
    <col min="9474" max="9474" width="1.1796875" style="1053" customWidth="1"/>
    <col min="9475" max="9475" width="5.81640625" style="1053" customWidth="1"/>
    <col min="9476" max="9728" width="9" style="1053"/>
    <col min="9729" max="9729" width="4.26953125" style="1053" customWidth="1"/>
    <col min="9730" max="9730" width="1.1796875" style="1053" customWidth="1"/>
    <col min="9731" max="9731" width="5.81640625" style="1053" customWidth="1"/>
    <col min="9732" max="9984" width="9" style="1053"/>
    <col min="9985" max="9985" width="4.26953125" style="1053" customWidth="1"/>
    <col min="9986" max="9986" width="1.1796875" style="1053" customWidth="1"/>
    <col min="9987" max="9987" width="5.81640625" style="1053" customWidth="1"/>
    <col min="9988" max="10240" width="9" style="1053"/>
    <col min="10241" max="10241" width="4.26953125" style="1053" customWidth="1"/>
    <col min="10242" max="10242" width="1.1796875" style="1053" customWidth="1"/>
    <col min="10243" max="10243" width="5.81640625" style="1053" customWidth="1"/>
    <col min="10244" max="10496" width="9" style="1053"/>
    <col min="10497" max="10497" width="4.26953125" style="1053" customWidth="1"/>
    <col min="10498" max="10498" width="1.1796875" style="1053" customWidth="1"/>
    <col min="10499" max="10499" width="5.81640625" style="1053" customWidth="1"/>
    <col min="10500" max="10752" width="9" style="1053"/>
    <col min="10753" max="10753" width="4.26953125" style="1053" customWidth="1"/>
    <col min="10754" max="10754" width="1.1796875" style="1053" customWidth="1"/>
    <col min="10755" max="10755" width="5.81640625" style="1053" customWidth="1"/>
    <col min="10756" max="11008" width="9" style="1053"/>
    <col min="11009" max="11009" width="4.26953125" style="1053" customWidth="1"/>
    <col min="11010" max="11010" width="1.1796875" style="1053" customWidth="1"/>
    <col min="11011" max="11011" width="5.81640625" style="1053" customWidth="1"/>
    <col min="11012" max="11264" width="9" style="1053"/>
    <col min="11265" max="11265" width="4.26953125" style="1053" customWidth="1"/>
    <col min="11266" max="11266" width="1.1796875" style="1053" customWidth="1"/>
    <col min="11267" max="11267" width="5.81640625" style="1053" customWidth="1"/>
    <col min="11268" max="11520" width="9" style="1053"/>
    <col min="11521" max="11521" width="4.26953125" style="1053" customWidth="1"/>
    <col min="11522" max="11522" width="1.1796875" style="1053" customWidth="1"/>
    <col min="11523" max="11523" width="5.81640625" style="1053" customWidth="1"/>
    <col min="11524" max="11776" width="9" style="1053"/>
    <col min="11777" max="11777" width="4.26953125" style="1053" customWidth="1"/>
    <col min="11778" max="11778" width="1.1796875" style="1053" customWidth="1"/>
    <col min="11779" max="11779" width="5.81640625" style="1053" customWidth="1"/>
    <col min="11780" max="12032" width="9" style="1053"/>
    <col min="12033" max="12033" width="4.26953125" style="1053" customWidth="1"/>
    <col min="12034" max="12034" width="1.1796875" style="1053" customWidth="1"/>
    <col min="12035" max="12035" width="5.81640625" style="1053" customWidth="1"/>
    <col min="12036" max="12288" width="9" style="1053"/>
    <col min="12289" max="12289" width="4.26953125" style="1053" customWidth="1"/>
    <col min="12290" max="12290" width="1.1796875" style="1053" customWidth="1"/>
    <col min="12291" max="12291" width="5.81640625" style="1053" customWidth="1"/>
    <col min="12292" max="12544" width="9" style="1053"/>
    <col min="12545" max="12545" width="4.26953125" style="1053" customWidth="1"/>
    <col min="12546" max="12546" width="1.1796875" style="1053" customWidth="1"/>
    <col min="12547" max="12547" width="5.81640625" style="1053" customWidth="1"/>
    <col min="12548" max="12800" width="9" style="1053"/>
    <col min="12801" max="12801" width="4.26953125" style="1053" customWidth="1"/>
    <col min="12802" max="12802" width="1.1796875" style="1053" customWidth="1"/>
    <col min="12803" max="12803" width="5.81640625" style="1053" customWidth="1"/>
    <col min="12804" max="13056" width="9" style="1053"/>
    <col min="13057" max="13057" width="4.26953125" style="1053" customWidth="1"/>
    <col min="13058" max="13058" width="1.1796875" style="1053" customWidth="1"/>
    <col min="13059" max="13059" width="5.81640625" style="1053" customWidth="1"/>
    <col min="13060" max="13312" width="9" style="1053"/>
    <col min="13313" max="13313" width="4.26953125" style="1053" customWidth="1"/>
    <col min="13314" max="13314" width="1.1796875" style="1053" customWidth="1"/>
    <col min="13315" max="13315" width="5.81640625" style="1053" customWidth="1"/>
    <col min="13316" max="13568" width="9" style="1053"/>
    <col min="13569" max="13569" width="4.26953125" style="1053" customWidth="1"/>
    <col min="13570" max="13570" width="1.1796875" style="1053" customWidth="1"/>
    <col min="13571" max="13571" width="5.81640625" style="1053" customWidth="1"/>
    <col min="13572" max="13824" width="9" style="1053"/>
    <col min="13825" max="13825" width="4.26953125" style="1053" customWidth="1"/>
    <col min="13826" max="13826" width="1.1796875" style="1053" customWidth="1"/>
    <col min="13827" max="13827" width="5.81640625" style="1053" customWidth="1"/>
    <col min="13828" max="14080" width="9" style="1053"/>
    <col min="14081" max="14081" width="4.26953125" style="1053" customWidth="1"/>
    <col min="14082" max="14082" width="1.1796875" style="1053" customWidth="1"/>
    <col min="14083" max="14083" width="5.81640625" style="1053" customWidth="1"/>
    <col min="14084" max="14336" width="9" style="1053"/>
    <col min="14337" max="14337" width="4.26953125" style="1053" customWidth="1"/>
    <col min="14338" max="14338" width="1.1796875" style="1053" customWidth="1"/>
    <col min="14339" max="14339" width="5.81640625" style="1053" customWidth="1"/>
    <col min="14340" max="14592" width="9" style="1053"/>
    <col min="14593" max="14593" width="4.26953125" style="1053" customWidth="1"/>
    <col min="14594" max="14594" width="1.1796875" style="1053" customWidth="1"/>
    <col min="14595" max="14595" width="5.81640625" style="1053" customWidth="1"/>
    <col min="14596" max="14848" width="9" style="1053"/>
    <col min="14849" max="14849" width="4.26953125" style="1053" customWidth="1"/>
    <col min="14850" max="14850" width="1.1796875" style="1053" customWidth="1"/>
    <col min="14851" max="14851" width="5.81640625" style="1053" customWidth="1"/>
    <col min="14852" max="15104" width="9" style="1053"/>
    <col min="15105" max="15105" width="4.26953125" style="1053" customWidth="1"/>
    <col min="15106" max="15106" width="1.1796875" style="1053" customWidth="1"/>
    <col min="15107" max="15107" width="5.81640625" style="1053" customWidth="1"/>
    <col min="15108" max="15360" width="9" style="1053"/>
    <col min="15361" max="15361" width="4.26953125" style="1053" customWidth="1"/>
    <col min="15362" max="15362" width="1.1796875" style="1053" customWidth="1"/>
    <col min="15363" max="15363" width="5.81640625" style="1053" customWidth="1"/>
    <col min="15364" max="15616" width="9" style="1053"/>
    <col min="15617" max="15617" width="4.26953125" style="1053" customWidth="1"/>
    <col min="15618" max="15618" width="1.1796875" style="1053" customWidth="1"/>
    <col min="15619" max="15619" width="5.81640625" style="1053" customWidth="1"/>
    <col min="15620" max="15872" width="9" style="1053"/>
    <col min="15873" max="15873" width="4.26953125" style="1053" customWidth="1"/>
    <col min="15874" max="15874" width="1.1796875" style="1053" customWidth="1"/>
    <col min="15875" max="15875" width="5.81640625" style="1053" customWidth="1"/>
    <col min="15876" max="16128" width="9" style="1053"/>
    <col min="16129" max="16129" width="4.26953125" style="1053" customWidth="1"/>
    <col min="16130" max="16130" width="1.1796875" style="1053" customWidth="1"/>
    <col min="16131" max="16131" width="5.81640625" style="1053" customWidth="1"/>
    <col min="16132" max="16384" width="9" style="1053"/>
  </cols>
  <sheetData>
    <row r="1" spans="1:19">
      <c r="A1" s="1054"/>
      <c r="B1" s="1054"/>
      <c r="C1" s="1054"/>
      <c r="D1" s="1054"/>
      <c r="E1" s="1054"/>
      <c r="F1" s="1054"/>
      <c r="G1" s="1054"/>
      <c r="H1" s="1054"/>
      <c r="I1" s="1054"/>
      <c r="J1" s="1054"/>
      <c r="K1" s="1054"/>
    </row>
    <row r="2" spans="1:19">
      <c r="A2" s="1054"/>
      <c r="B2" s="1054"/>
      <c r="C2" s="1054"/>
      <c r="D2" s="1054"/>
      <c r="E2" s="1054"/>
      <c r="F2" s="1054"/>
      <c r="G2" s="1054"/>
      <c r="H2" s="1054"/>
      <c r="I2" s="1054"/>
      <c r="J2" s="1054"/>
      <c r="K2" s="1054"/>
    </row>
    <row r="3" spans="1:19">
      <c r="A3" s="1054"/>
      <c r="B3" s="1054"/>
      <c r="C3" s="1054"/>
      <c r="D3" s="1054"/>
      <c r="E3" s="1054"/>
      <c r="F3" s="1054"/>
      <c r="G3" s="1054"/>
      <c r="H3" s="1054"/>
      <c r="I3" s="1054"/>
      <c r="J3" s="1054"/>
      <c r="K3" s="1054"/>
    </row>
    <row r="4" spans="1:19">
      <c r="A4" s="1054"/>
      <c r="B4" s="1054"/>
      <c r="C4" s="1054"/>
      <c r="D4" s="1054"/>
      <c r="E4" s="1054"/>
      <c r="F4" s="1054"/>
      <c r="G4" s="1054"/>
      <c r="H4" s="1054"/>
      <c r="I4" s="1054"/>
      <c r="J4" s="1054"/>
      <c r="K4" s="1054"/>
    </row>
    <row r="5" spans="1:19">
      <c r="A5" s="1054"/>
      <c r="B5" s="1054"/>
      <c r="C5" s="1054"/>
      <c r="D5" s="1054"/>
      <c r="E5" s="1054"/>
      <c r="F5" s="1054"/>
      <c r="G5" s="1054"/>
      <c r="H5" s="1054"/>
      <c r="I5" s="1054"/>
      <c r="J5" s="1054"/>
      <c r="K5" s="1054"/>
    </row>
    <row r="6" spans="1:19" ht="25" customHeight="1">
      <c r="A6" s="1054"/>
      <c r="B6" s="1054"/>
      <c r="C6" s="1054"/>
      <c r="D6" s="1054"/>
      <c r="E6" s="1054"/>
      <c r="F6" s="1054"/>
      <c r="G6" s="1054"/>
      <c r="H6" s="1054"/>
      <c r="I6" s="1054"/>
      <c r="J6" s="1054"/>
      <c r="K6" s="1054"/>
    </row>
    <row r="7" spans="1:19" ht="25" customHeight="1">
      <c r="A7" s="1054"/>
      <c r="B7" s="1054"/>
      <c r="C7" s="1054"/>
      <c r="D7" s="1054"/>
      <c r="E7" s="1054"/>
      <c r="F7" s="1054"/>
      <c r="G7" s="1054"/>
      <c r="H7" s="1054"/>
      <c r="I7" s="1054"/>
      <c r="J7" s="1058"/>
      <c r="K7" s="1054"/>
    </row>
    <row r="8" spans="1:19" ht="25" customHeight="1">
      <c r="A8" s="1054"/>
      <c r="B8" s="1054"/>
      <c r="C8" s="1054"/>
      <c r="D8" s="1054"/>
      <c r="E8" s="1054"/>
      <c r="F8" s="1054"/>
      <c r="G8" s="1054"/>
      <c r="H8" s="1054"/>
      <c r="I8" s="1054"/>
      <c r="J8" s="1058"/>
      <c r="K8" s="1054"/>
    </row>
    <row r="9" spans="1:19" ht="25" customHeight="1">
      <c r="A9" s="1054"/>
      <c r="B9" s="1054"/>
      <c r="C9" s="1054"/>
      <c r="D9" s="1054"/>
      <c r="E9" s="1054"/>
      <c r="F9" s="1054"/>
      <c r="G9" s="1054"/>
      <c r="H9" s="1054"/>
      <c r="I9" s="1054"/>
      <c r="J9" s="1058"/>
      <c r="K9" s="1054"/>
    </row>
    <row r="10" spans="1:19" ht="34.5" customHeight="1">
      <c r="A10" s="1054"/>
      <c r="B10" s="1054"/>
      <c r="C10" s="1054"/>
      <c r="D10" s="1054"/>
      <c r="E10" s="1054"/>
      <c r="F10" s="1054"/>
      <c r="G10" s="1054"/>
      <c r="H10" s="1054"/>
      <c r="I10" s="1054"/>
      <c r="J10" s="1059"/>
      <c r="K10" s="1059"/>
      <c r="L10" s="1060"/>
      <c r="M10" s="1060"/>
      <c r="N10" s="1060"/>
      <c r="O10" s="1060"/>
      <c r="P10" s="1060"/>
      <c r="Q10" s="1060"/>
      <c r="R10" s="1060"/>
      <c r="S10" s="1060"/>
    </row>
    <row r="11" spans="1:19" ht="20.25" customHeight="1">
      <c r="A11" s="1055"/>
      <c r="B11" s="1055"/>
      <c r="C11" s="1055"/>
      <c r="D11" s="1055"/>
      <c r="E11" s="1055"/>
      <c r="F11" s="1055"/>
      <c r="G11" s="1055"/>
      <c r="H11" s="1055"/>
      <c r="I11" s="1055"/>
      <c r="J11" s="1055"/>
      <c r="K11" s="1055"/>
    </row>
    <row r="12" spans="1:19" ht="17.5">
      <c r="A12" s="1409"/>
      <c r="B12" s="1409"/>
      <c r="C12" s="1409"/>
      <c r="D12" s="1409"/>
      <c r="E12" s="1409"/>
      <c r="F12" s="1409"/>
      <c r="G12" s="1409"/>
      <c r="H12" s="1409"/>
      <c r="I12" s="1409"/>
      <c r="J12" s="1409"/>
      <c r="K12" s="1409"/>
    </row>
    <row r="13" spans="1:19" ht="21.75" customHeight="1">
      <c r="B13" s="1056"/>
      <c r="C13" s="1056"/>
      <c r="D13" s="1056"/>
      <c r="E13" s="1410" t="s">
        <v>951</v>
      </c>
      <c r="F13" s="1410"/>
      <c r="G13" s="1410"/>
      <c r="H13" s="1410"/>
      <c r="I13" s="1410"/>
      <c r="J13" s="1056"/>
      <c r="K13" s="1056"/>
      <c r="M13" s="1061"/>
    </row>
    <row r="14" spans="1:19" ht="21.75" customHeight="1">
      <c r="A14" s="1056"/>
      <c r="B14" s="1056"/>
      <c r="C14" s="1056"/>
      <c r="D14" s="1056"/>
      <c r="E14" s="1410"/>
      <c r="F14" s="1410"/>
      <c r="G14" s="1410"/>
      <c r="H14" s="1410"/>
      <c r="I14" s="1410"/>
      <c r="J14" s="1056"/>
      <c r="K14" s="1056"/>
      <c r="M14" s="1061"/>
    </row>
    <row r="15" spans="1:19" ht="23.25" customHeight="1">
      <c r="A15" s="1411" t="s">
        <v>952</v>
      </c>
      <c r="B15" s="1411"/>
      <c r="C15" s="1411"/>
      <c r="D15" s="1411"/>
      <c r="E15" s="1411"/>
      <c r="F15" s="1411"/>
      <c r="G15" s="1411"/>
      <c r="H15" s="1411"/>
      <c r="I15" s="1411"/>
      <c r="J15" s="1411"/>
      <c r="K15" s="1411"/>
      <c r="M15" s="1061"/>
    </row>
    <row r="16" spans="1:19" ht="15.75" customHeight="1">
      <c r="A16" s="1412" t="s">
        <v>953</v>
      </c>
      <c r="B16" s="1412"/>
      <c r="C16" s="1412"/>
      <c r="D16" s="1412"/>
      <c r="E16" s="1412"/>
      <c r="F16" s="1412"/>
      <c r="G16" s="1412"/>
      <c r="H16" s="1412"/>
      <c r="I16" s="1412"/>
      <c r="J16" s="1412"/>
      <c r="K16" s="1412"/>
    </row>
    <row r="17" spans="1:14" ht="15.75" customHeight="1"/>
    <row r="18" spans="1:14" ht="32.25" customHeight="1"/>
    <row r="19" spans="1:14">
      <c r="A19" s="1057"/>
      <c r="B19" s="1057"/>
      <c r="C19" s="1057"/>
      <c r="D19" s="1057"/>
      <c r="E19" s="1057"/>
      <c r="F19" s="1057"/>
      <c r="G19" s="1057"/>
      <c r="H19" s="1057"/>
      <c r="I19" s="1057"/>
      <c r="J19" s="1057"/>
      <c r="K19" s="1057"/>
    </row>
    <row r="20" spans="1:14" ht="15.75" customHeight="1">
      <c r="A20" s="1054"/>
      <c r="B20" s="1054"/>
      <c r="C20" s="1054"/>
      <c r="D20" s="1054"/>
      <c r="E20" s="1054"/>
      <c r="F20" s="1054"/>
      <c r="G20" s="1054"/>
      <c r="H20" s="1054"/>
      <c r="I20" s="1054"/>
      <c r="J20" s="1054"/>
      <c r="K20" s="1054"/>
      <c r="N20" s="1062"/>
    </row>
    <row r="21" spans="1:14" ht="15.75" customHeight="1">
      <c r="A21" s="1054"/>
      <c r="B21" s="1054"/>
      <c r="C21" s="1054"/>
      <c r="D21" s="1054"/>
      <c r="E21" s="1054"/>
      <c r="F21" s="1054"/>
      <c r="G21" s="1054"/>
      <c r="H21" s="1054"/>
      <c r="I21" s="1054"/>
      <c r="J21" s="1058"/>
      <c r="K21" s="1054"/>
    </row>
    <row r="22" spans="1:14">
      <c r="A22" s="1054"/>
      <c r="B22" s="1054"/>
      <c r="C22" s="1054"/>
      <c r="D22" s="1054"/>
      <c r="E22" s="1054"/>
      <c r="F22" s="1054"/>
      <c r="G22" s="1054"/>
      <c r="H22" s="1054"/>
      <c r="I22" s="1054"/>
      <c r="J22" s="1058"/>
      <c r="K22" s="1054"/>
    </row>
    <row r="23" spans="1:14">
      <c r="A23" s="1054"/>
      <c r="B23" s="1054"/>
      <c r="C23" s="1054"/>
      <c r="D23" s="1054"/>
      <c r="E23" s="1054"/>
      <c r="F23" s="1054"/>
      <c r="G23" s="1054"/>
      <c r="H23" s="1054"/>
      <c r="I23" s="1054"/>
      <c r="J23" s="1058"/>
      <c r="K23" s="1054"/>
    </row>
    <row r="24" spans="1:14" ht="15.5">
      <c r="A24" s="1054"/>
      <c r="B24" s="1054"/>
      <c r="C24" s="1054"/>
      <c r="D24" s="1054"/>
      <c r="E24" s="1054"/>
      <c r="F24" s="1054"/>
      <c r="G24" s="1054"/>
      <c r="H24" s="1054"/>
      <c r="I24" s="1054"/>
      <c r="J24" s="1059"/>
      <c r="K24" s="1059"/>
    </row>
    <row r="25" spans="1:14">
      <c r="A25" s="1054"/>
      <c r="B25" s="1054"/>
      <c r="C25" s="1054"/>
      <c r="D25" s="1054"/>
      <c r="E25" s="1054"/>
      <c r="F25" s="1054"/>
      <c r="G25" s="1054"/>
      <c r="H25" s="1054"/>
      <c r="I25" s="1054"/>
      <c r="J25" s="1054"/>
      <c r="K25" s="1054"/>
    </row>
    <row r="26" spans="1:14" ht="17.5">
      <c r="A26" s="1409"/>
      <c r="B26" s="1409"/>
      <c r="C26" s="1409"/>
      <c r="D26" s="1409"/>
      <c r="E26" s="1409"/>
      <c r="F26" s="1409"/>
      <c r="G26" s="1409"/>
      <c r="H26" s="1409"/>
      <c r="I26" s="1409"/>
      <c r="J26" s="1409"/>
      <c r="K26" s="1409"/>
    </row>
    <row r="27" spans="1:14">
      <c r="A27" s="1054"/>
      <c r="B27" s="1054"/>
      <c r="C27" s="1054"/>
      <c r="D27" s="1054"/>
      <c r="E27" s="1054"/>
      <c r="F27" s="1054"/>
      <c r="G27" s="1054"/>
      <c r="H27" s="1054"/>
      <c r="I27" s="1054"/>
      <c r="J27" s="1054"/>
      <c r="K27" s="1054"/>
    </row>
    <row r="28" spans="1:14">
      <c r="A28" s="1054"/>
      <c r="B28" s="1054"/>
      <c r="C28" s="1054"/>
      <c r="D28" s="1054"/>
      <c r="E28" s="1054"/>
      <c r="F28" s="1054"/>
      <c r="G28" s="1054"/>
      <c r="H28" s="1054"/>
      <c r="I28" s="1054"/>
      <c r="J28" s="1054"/>
      <c r="K28" s="1054"/>
    </row>
    <row r="29" spans="1:14">
      <c r="A29" s="1054"/>
      <c r="B29" s="1054"/>
      <c r="C29" s="1054"/>
      <c r="D29" s="1054"/>
      <c r="E29" s="1054"/>
      <c r="F29" s="1054"/>
      <c r="G29" s="1054"/>
      <c r="H29" s="1054"/>
      <c r="I29" s="1054"/>
      <c r="J29" s="1054"/>
      <c r="K29" s="1054"/>
    </row>
    <row r="30" spans="1:14">
      <c r="A30" s="1054"/>
      <c r="B30" s="1054"/>
      <c r="C30" s="1054"/>
      <c r="D30" s="1054"/>
      <c r="E30" s="1054"/>
      <c r="F30" s="1054"/>
      <c r="G30" s="1054"/>
      <c r="H30" s="1054"/>
      <c r="I30" s="1054"/>
      <c r="J30" s="1054"/>
      <c r="K30" s="1054"/>
    </row>
    <row r="31" spans="1:14">
      <c r="A31" s="1054"/>
      <c r="B31" s="1054"/>
      <c r="C31" s="1054"/>
      <c r="D31" s="1054"/>
      <c r="E31" s="1054"/>
      <c r="F31" s="1054"/>
      <c r="G31" s="1054"/>
      <c r="H31" s="1054"/>
      <c r="I31" s="1054"/>
      <c r="J31" s="1058"/>
      <c r="K31" s="1054"/>
    </row>
    <row r="32" spans="1:14">
      <c r="A32" s="1054"/>
      <c r="B32" s="1054"/>
      <c r="C32" s="1054"/>
      <c r="D32" s="1054"/>
      <c r="E32" s="1054"/>
      <c r="F32" s="1054"/>
      <c r="G32" s="1054"/>
      <c r="H32" s="1054"/>
      <c r="I32" s="1054"/>
      <c r="J32" s="1058"/>
      <c r="K32" s="1054"/>
    </row>
    <row r="33" spans="1:11">
      <c r="A33" s="1054"/>
      <c r="B33" s="1054"/>
      <c r="C33" s="1054"/>
      <c r="D33" s="1054"/>
      <c r="E33" s="1054"/>
      <c r="F33" s="1054"/>
      <c r="G33" s="1054"/>
      <c r="H33" s="1054"/>
      <c r="I33" s="1054"/>
      <c r="J33" s="1058"/>
      <c r="K33" s="1054"/>
    </row>
    <row r="34" spans="1:11" ht="15.5">
      <c r="A34" s="1054"/>
      <c r="B34" s="1054"/>
      <c r="C34" s="1054"/>
      <c r="D34" s="1054"/>
      <c r="E34" s="1054"/>
      <c r="F34" s="1054"/>
      <c r="G34" s="1054"/>
      <c r="H34" s="1054"/>
      <c r="I34" s="1054"/>
      <c r="J34" s="1059"/>
      <c r="K34" s="1059"/>
    </row>
    <row r="35" spans="1:11">
      <c r="A35" s="1054"/>
      <c r="B35" s="1054"/>
      <c r="C35" s="1054"/>
      <c r="D35" s="1054"/>
      <c r="E35" s="1054"/>
      <c r="F35" s="1054"/>
      <c r="G35" s="1054"/>
      <c r="H35" s="1054"/>
      <c r="I35" s="1054"/>
      <c r="J35" s="1054"/>
      <c r="K35" s="1054"/>
    </row>
    <row r="36" spans="1:11" ht="17.5">
      <c r="A36" s="1409"/>
      <c r="B36" s="1409"/>
      <c r="C36" s="1409"/>
      <c r="D36" s="1409"/>
      <c r="E36" s="1409"/>
      <c r="F36" s="1409"/>
      <c r="G36" s="1409"/>
      <c r="H36" s="1409"/>
      <c r="I36" s="1409"/>
      <c r="J36" s="1409"/>
      <c r="K36" s="1409"/>
    </row>
    <row r="37" spans="1:11">
      <c r="A37" s="1054"/>
      <c r="B37" s="1054"/>
      <c r="C37" s="1054"/>
      <c r="D37" s="1054"/>
      <c r="E37" s="1054"/>
      <c r="F37" s="1054"/>
      <c r="G37" s="1054"/>
      <c r="H37" s="1054"/>
      <c r="I37" s="1054"/>
      <c r="J37" s="1054"/>
      <c r="K37" s="1054"/>
    </row>
    <row r="38" spans="1:11">
      <c r="A38" s="1054"/>
      <c r="B38" s="1054"/>
      <c r="C38" s="1054"/>
      <c r="D38" s="1054"/>
      <c r="E38" s="1054"/>
      <c r="F38" s="1054"/>
      <c r="G38" s="1054"/>
      <c r="H38" s="1054"/>
      <c r="I38" s="1054"/>
      <c r="J38" s="1054"/>
      <c r="K38" s="1054"/>
    </row>
    <row r="39" spans="1:11">
      <c r="A39" s="1054"/>
      <c r="B39" s="1054"/>
      <c r="C39" s="1054"/>
      <c r="D39" s="1054"/>
      <c r="E39" s="1054"/>
      <c r="F39" s="1054"/>
      <c r="G39" s="1054"/>
      <c r="H39" s="1054"/>
      <c r="I39" s="1054"/>
      <c r="J39" s="1054"/>
      <c r="K39" s="1054"/>
    </row>
    <row r="40" spans="1:11">
      <c r="A40" s="1054"/>
      <c r="B40" s="1054"/>
      <c r="C40" s="1054"/>
      <c r="D40" s="1054"/>
      <c r="E40" s="1054"/>
      <c r="F40" s="1054"/>
      <c r="G40" s="1054"/>
      <c r="H40" s="1054"/>
      <c r="I40" s="1054"/>
      <c r="J40" s="1054"/>
      <c r="K40" s="1054"/>
    </row>
    <row r="41" spans="1:11">
      <c r="A41" s="1054"/>
      <c r="B41" s="1054"/>
      <c r="C41" s="1054"/>
      <c r="D41" s="1054"/>
      <c r="E41" s="1054"/>
      <c r="F41" s="1054"/>
      <c r="G41" s="1054"/>
      <c r="H41" s="1054"/>
      <c r="I41" s="1054"/>
      <c r="J41" s="1058"/>
      <c r="K41" s="1054"/>
    </row>
    <row r="42" spans="1:11">
      <c r="A42" s="1054"/>
      <c r="B42" s="1054"/>
      <c r="C42" s="1054"/>
      <c r="D42" s="1054"/>
      <c r="E42" s="1054"/>
      <c r="F42" s="1054"/>
      <c r="G42" s="1054"/>
      <c r="H42" s="1054"/>
      <c r="I42" s="1054"/>
      <c r="J42" s="1058"/>
      <c r="K42" s="1054"/>
    </row>
    <row r="43" spans="1:11">
      <c r="A43" s="1054"/>
      <c r="B43" s="1054"/>
      <c r="C43" s="1054"/>
      <c r="D43" s="1054"/>
      <c r="E43" s="1054"/>
      <c r="F43" s="1054"/>
      <c r="G43" s="1054"/>
      <c r="H43" s="1054"/>
      <c r="I43" s="1054"/>
      <c r="J43" s="1058"/>
      <c r="K43" s="1054"/>
    </row>
    <row r="44" spans="1:11" ht="15.5">
      <c r="A44" s="1054"/>
      <c r="B44" s="1054"/>
      <c r="C44" s="1054"/>
      <c r="D44" s="1054"/>
      <c r="E44" s="1054"/>
      <c r="F44" s="1054"/>
      <c r="G44" s="1054"/>
      <c r="H44" s="1054"/>
      <c r="I44" s="1054"/>
      <c r="J44" s="1059"/>
      <c r="K44" s="1059"/>
    </row>
    <row r="45" spans="1:11">
      <c r="A45" s="1054"/>
      <c r="B45" s="1054"/>
      <c r="C45" s="1054"/>
      <c r="D45" s="1054"/>
      <c r="E45" s="1054"/>
      <c r="F45" s="1054"/>
      <c r="G45" s="1054"/>
      <c r="H45" s="1054"/>
      <c r="I45" s="1054"/>
      <c r="J45" s="1054"/>
      <c r="K45" s="1054"/>
    </row>
    <row r="46" spans="1:11" ht="17.5">
      <c r="A46" s="1409"/>
      <c r="B46" s="1409"/>
      <c r="C46" s="1409"/>
      <c r="D46" s="1409"/>
      <c r="E46" s="1409"/>
      <c r="F46" s="1409"/>
      <c r="G46" s="1409"/>
      <c r="H46" s="1409"/>
      <c r="I46" s="1409"/>
      <c r="J46" s="1409"/>
      <c r="K46" s="1409"/>
    </row>
  </sheetData>
  <mergeCells count="7">
    <mergeCell ref="A46:K46"/>
    <mergeCell ref="E13:I14"/>
    <mergeCell ref="A12:K12"/>
    <mergeCell ref="A15:K15"/>
    <mergeCell ref="A16:K16"/>
    <mergeCell ref="A26:K26"/>
    <mergeCell ref="A36:K36"/>
  </mergeCells>
  <pageMargins left="1" right="0.75" top="1" bottom="1" header="0.5" footer="0.5"/>
  <pageSetup fitToHeight="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FF00"/>
    <pageSetUpPr fitToPage="1"/>
  </sheetPr>
  <dimension ref="A1:P287"/>
  <sheetViews>
    <sheetView showGridLines="0" view="pageBreakPreview" topLeftCell="A3" zoomScale="101" zoomScaleNormal="60" workbookViewId="0">
      <selection activeCell="D21" sqref="D21"/>
    </sheetView>
  </sheetViews>
  <sheetFormatPr defaultColWidth="10.54296875" defaultRowHeight="13"/>
  <cols>
    <col min="1" max="1" width="2" style="251" customWidth="1"/>
    <col min="2" max="2" width="59" style="251" customWidth="1"/>
    <col min="3" max="3" width="6" style="255" customWidth="1"/>
    <col min="4" max="4" width="16.26953125" style="255" customWidth="1"/>
    <col min="5" max="5" width="0.7265625" style="255" customWidth="1"/>
    <col min="6" max="6" width="16.26953125" style="255" customWidth="1"/>
    <col min="7" max="7" width="0.7265625" style="255" customWidth="1"/>
    <col min="8" max="8" width="16.54296875" style="255" customWidth="1"/>
    <col min="9" max="9" width="0.81640625" style="255" customWidth="1"/>
    <col min="10" max="10" width="14.1796875" style="255" customWidth="1"/>
    <col min="11" max="11" width="0.81640625" style="255" customWidth="1"/>
    <col min="12" max="12" width="21.453125" style="255" customWidth="1"/>
    <col min="13" max="13" width="12.54296875" style="251" customWidth="1"/>
    <col min="14" max="14" width="12" style="251" customWidth="1"/>
    <col min="15" max="16384" width="10.54296875" style="251"/>
  </cols>
  <sheetData>
    <row r="1" spans="1:12" ht="19" customHeight="1">
      <c r="A1" s="998" t="str">
        <f>Win!E13</f>
        <v>AIMAL KHAN TRADERS</v>
      </c>
      <c r="B1" s="999"/>
      <c r="C1" s="999"/>
      <c r="D1" s="999"/>
      <c r="E1" s="999"/>
      <c r="F1" s="999"/>
      <c r="G1" s="999"/>
      <c r="H1" s="999"/>
      <c r="I1" s="999"/>
      <c r="J1" s="999"/>
      <c r="K1" s="1028"/>
      <c r="L1" s="999"/>
    </row>
    <row r="2" spans="1:12" ht="19" customHeight="1">
      <c r="A2" s="1000" t="s">
        <v>954</v>
      </c>
      <c r="B2" s="1001"/>
      <c r="C2" s="1002"/>
      <c r="D2" s="1002"/>
      <c r="E2" s="1002"/>
      <c r="F2" s="1002"/>
      <c r="G2" s="1002"/>
      <c r="H2" s="1002"/>
      <c r="I2" s="1002"/>
      <c r="J2" s="1002"/>
      <c r="K2" s="1029"/>
      <c r="L2" s="1002"/>
    </row>
    <row r="3" spans="1:12" ht="19" customHeight="1">
      <c r="A3" s="1003" t="s">
        <v>955</v>
      </c>
      <c r="B3" s="1004"/>
      <c r="C3" s="1005"/>
      <c r="D3" s="1005"/>
      <c r="E3" s="1005"/>
      <c r="F3" s="1005"/>
      <c r="G3" s="1005"/>
      <c r="H3" s="1005"/>
      <c r="I3" s="1005"/>
      <c r="J3" s="1002"/>
      <c r="K3" s="1029"/>
      <c r="L3" s="1002"/>
    </row>
    <row r="4" spans="1:12">
      <c r="A4" s="1006"/>
      <c r="B4" s="1006"/>
      <c r="C4" s="1006"/>
      <c r="D4" s="1006"/>
      <c r="E4" s="1006"/>
      <c r="F4" s="1006"/>
      <c r="G4" s="1006"/>
      <c r="H4" s="1006"/>
      <c r="I4" s="1006"/>
      <c r="J4" s="1006"/>
      <c r="K4" s="1030"/>
      <c r="L4" s="1006"/>
    </row>
    <row r="5" spans="1:12">
      <c r="A5" s="1006"/>
      <c r="B5" s="1006"/>
      <c r="C5" s="1006"/>
      <c r="D5" s="602">
        <v>2025</v>
      </c>
      <c r="E5" s="1006"/>
      <c r="F5" s="602">
        <v>2024</v>
      </c>
      <c r="G5" s="602"/>
      <c r="H5" s="602">
        <v>2023</v>
      </c>
      <c r="I5" s="1006"/>
      <c r="J5" s="602"/>
      <c r="K5" s="1030"/>
      <c r="L5" s="602"/>
    </row>
    <row r="6" spans="1:12">
      <c r="A6" s="789"/>
      <c r="B6" s="789"/>
      <c r="C6" s="776" t="s">
        <v>956</v>
      </c>
      <c r="D6" s="901" t="s">
        <v>957</v>
      </c>
      <c r="E6" s="776"/>
      <c r="F6" s="901" t="s">
        <v>957</v>
      </c>
      <c r="G6" s="901"/>
      <c r="H6" s="901" t="s">
        <v>957</v>
      </c>
      <c r="I6" s="776"/>
      <c r="J6" s="901"/>
      <c r="K6" s="1031"/>
      <c r="L6" s="901"/>
    </row>
    <row r="7" spans="1:12" ht="6.75" customHeight="1">
      <c r="A7" s="789"/>
      <c r="B7" s="789"/>
      <c r="C7" s="1006"/>
      <c r="D7" s="1007"/>
      <c r="E7" s="1006"/>
      <c r="F7" s="1007"/>
      <c r="G7" s="1026"/>
      <c r="H7" s="1007"/>
      <c r="I7" s="1006"/>
      <c r="J7" s="1026"/>
      <c r="K7" s="1030"/>
      <c r="L7" s="1026"/>
    </row>
    <row r="8" spans="1:12" ht="15.75" customHeight="1">
      <c r="A8" s="1001" t="s">
        <v>9</v>
      </c>
      <c r="B8" s="789"/>
      <c r="C8" s="1006"/>
      <c r="D8" s="1007"/>
      <c r="E8" s="1006"/>
      <c r="F8" s="1007"/>
      <c r="G8" s="1026"/>
      <c r="H8" s="1007"/>
      <c r="I8" s="1006"/>
      <c r="J8" s="1026"/>
      <c r="K8" s="1030"/>
      <c r="L8" s="1026"/>
    </row>
    <row r="9" spans="1:12" ht="6" customHeight="1">
      <c r="A9" s="1001"/>
      <c r="B9" s="789"/>
      <c r="C9" s="1006"/>
      <c r="D9" s="1007"/>
      <c r="E9" s="1006"/>
      <c r="F9" s="1007"/>
      <c r="G9" s="1026"/>
      <c r="H9" s="1007"/>
      <c r="I9" s="1006"/>
      <c r="J9" s="1026"/>
      <c r="K9" s="1030"/>
      <c r="L9" s="1026"/>
    </row>
    <row r="10" spans="1:12">
      <c r="A10" s="1001" t="s">
        <v>958</v>
      </c>
      <c r="B10" s="789"/>
      <c r="C10" s="789"/>
      <c r="D10" s="657"/>
      <c r="E10" s="789"/>
      <c r="F10" s="657"/>
      <c r="G10" s="654"/>
      <c r="H10" s="657"/>
      <c r="I10" s="789"/>
      <c r="J10" s="654"/>
      <c r="K10" s="251"/>
      <c r="L10" s="654"/>
    </row>
    <row r="11" spans="1:12" ht="6" customHeight="1">
      <c r="A11" s="1006"/>
      <c r="B11" s="789"/>
      <c r="C11" s="1006"/>
      <c r="D11" s="657"/>
      <c r="E11" s="1006"/>
      <c r="F11" s="657"/>
      <c r="G11" s="654"/>
      <c r="H11" s="657"/>
      <c r="I11" s="1006"/>
      <c r="J11" s="654"/>
      <c r="K11" s="1030"/>
      <c r="L11" s="654"/>
    </row>
    <row r="12" spans="1:12" ht="15" customHeight="1">
      <c r="A12" s="789"/>
      <c r="B12" s="1008" t="s">
        <v>959</v>
      </c>
      <c r="C12" s="1009">
        <v>5</v>
      </c>
      <c r="D12" s="901">
        <f>'Note 5 ''2025'!J11</f>
        <v>6008090.4000000004</v>
      </c>
      <c r="E12" s="1009"/>
      <c r="F12" s="901">
        <f>'Note 5'!J11</f>
        <v>6675656.4000000004</v>
      </c>
      <c r="G12" s="901"/>
      <c r="H12" s="901">
        <f>'Note 5'!J13</f>
        <v>7417396</v>
      </c>
      <c r="I12" s="1009"/>
      <c r="J12" s="916"/>
      <c r="K12" s="1032"/>
      <c r="L12" s="916"/>
    </row>
    <row r="13" spans="1:12" hidden="1">
      <c r="A13" s="789"/>
      <c r="B13" s="1010" t="s">
        <v>960</v>
      </c>
      <c r="C13" s="776"/>
      <c r="D13" s="1011">
        <v>0</v>
      </c>
      <c r="E13" s="776"/>
      <c r="F13" s="1011">
        <v>0</v>
      </c>
      <c r="G13" s="901"/>
      <c r="H13" s="1011">
        <v>0</v>
      </c>
      <c r="I13" s="776"/>
      <c r="J13" s="916"/>
      <c r="K13" s="1031"/>
      <c r="L13" s="916"/>
    </row>
    <row r="14" spans="1:12" ht="15" customHeight="1">
      <c r="A14" s="789"/>
      <c r="B14" s="1010"/>
      <c r="C14" s="1001"/>
      <c r="D14" s="899"/>
      <c r="E14" s="1001"/>
      <c r="F14" s="899"/>
      <c r="G14" s="901"/>
      <c r="H14" s="899"/>
      <c r="I14" s="1001"/>
      <c r="J14" s="1033"/>
      <c r="K14" s="269"/>
      <c r="L14" s="901"/>
    </row>
    <row r="15" spans="1:12">
      <c r="A15" s="1001" t="s">
        <v>10</v>
      </c>
      <c r="B15" s="789"/>
      <c r="C15" s="1001"/>
      <c r="D15" s="657"/>
      <c r="E15" s="1001"/>
      <c r="F15" s="657"/>
      <c r="G15" s="654"/>
      <c r="H15" s="657"/>
      <c r="I15" s="1001"/>
      <c r="J15" s="1033"/>
      <c r="K15" s="269"/>
      <c r="L15" s="654"/>
    </row>
    <row r="16" spans="1:12">
      <c r="A16" s="789"/>
      <c r="B16" s="1012"/>
      <c r="C16" s="1001"/>
      <c r="D16" s="657"/>
      <c r="E16" s="1001"/>
      <c r="F16" s="657"/>
      <c r="G16" s="654"/>
      <c r="H16" s="657"/>
      <c r="I16" s="1001"/>
      <c r="J16" s="654"/>
      <c r="K16" s="269"/>
      <c r="L16" s="654"/>
    </row>
    <row r="17" spans="1:16" ht="15" customHeight="1">
      <c r="A17" s="789"/>
      <c r="B17" s="1012" t="s">
        <v>961</v>
      </c>
      <c r="C17" s="1013">
        <f>NOTES!A200</f>
        <v>6</v>
      </c>
      <c r="D17" s="905">
        <f>NOTES!L203</f>
        <v>85471120.579999998</v>
      </c>
      <c r="E17" s="1013"/>
      <c r="F17" s="905">
        <f>NOTES!N203</f>
        <v>57016539</v>
      </c>
      <c r="G17" s="904"/>
      <c r="H17" s="905">
        <f>NOTES!P203</f>
        <v>48319101</v>
      </c>
      <c r="I17" s="1034"/>
      <c r="J17" s="1035">
        <v>40948391</v>
      </c>
      <c r="K17" s="1036"/>
      <c r="L17" s="1035">
        <v>57016539</v>
      </c>
      <c r="M17" s="278"/>
      <c r="N17" s="1043"/>
    </row>
    <row r="18" spans="1:16" ht="12.75" hidden="1" customHeight="1">
      <c r="A18" s="789"/>
      <c r="B18" s="1012" t="s">
        <v>962</v>
      </c>
      <c r="C18" s="1009" t="e">
        <f>NOTES!#REF!+1</f>
        <v>#REF!</v>
      </c>
      <c r="D18" s="1014" t="e">
        <f>NOTES!#REF!</f>
        <v>#REF!</v>
      </c>
      <c r="E18" s="1009"/>
      <c r="F18" s="1014" t="e">
        <f>NOTES!#REF!</f>
        <v>#REF!</v>
      </c>
      <c r="G18" s="908"/>
      <c r="H18" s="1014" t="e">
        <f>NOTES!#REF!</f>
        <v>#REF!</v>
      </c>
      <c r="I18" s="1037"/>
      <c r="J18" s="1038"/>
      <c r="K18" s="1032"/>
      <c r="L18" s="1038"/>
      <c r="M18" s="278" t="e">
        <f t="shared" ref="M18:M21" si="0">F18-H18</f>
        <v>#REF!</v>
      </c>
      <c r="N18" s="1043" t="e">
        <f t="shared" ref="N18:N21" si="1">M18/H18</f>
        <v>#REF!</v>
      </c>
    </row>
    <row r="19" spans="1:16" ht="12.75" hidden="1" customHeight="1">
      <c r="A19" s="789"/>
      <c r="B19" s="1012" t="s">
        <v>963</v>
      </c>
      <c r="C19" s="1009" t="e">
        <f>+NOTES!#REF!+1</f>
        <v>#REF!</v>
      </c>
      <c r="D19" s="1014" t="e">
        <f>NOTES!#REF!</f>
        <v>#REF!</v>
      </c>
      <c r="E19" s="1009"/>
      <c r="F19" s="1014" t="e">
        <f>NOTES!#REF!</f>
        <v>#REF!</v>
      </c>
      <c r="G19" s="908"/>
      <c r="H19" s="1014" t="e">
        <f>NOTES!#REF!</f>
        <v>#REF!</v>
      </c>
      <c r="I19" s="1037"/>
      <c r="J19" s="1038"/>
      <c r="K19" s="1032"/>
      <c r="L19" s="1038"/>
      <c r="M19" s="278" t="e">
        <f t="shared" si="0"/>
        <v>#REF!</v>
      </c>
      <c r="N19" s="1043" t="e">
        <f t="shared" si="1"/>
        <v>#REF!</v>
      </c>
    </row>
    <row r="20" spans="1:16" ht="12.75" hidden="1" customHeight="1">
      <c r="A20" s="789"/>
      <c r="B20" s="1012" t="s">
        <v>964</v>
      </c>
      <c r="C20" s="1009" t="e">
        <f>+NOTES!#REF!+1</f>
        <v>#REF!</v>
      </c>
      <c r="D20" s="1014" t="e">
        <f>NOTES!#REF!</f>
        <v>#REF!</v>
      </c>
      <c r="E20" s="1009"/>
      <c r="F20" s="1014" t="e">
        <f>NOTES!#REF!</f>
        <v>#REF!</v>
      </c>
      <c r="G20" s="908"/>
      <c r="H20" s="1014" t="e">
        <f>NOTES!#REF!</f>
        <v>#REF!</v>
      </c>
      <c r="I20" s="1037"/>
      <c r="J20" s="1038"/>
      <c r="K20" s="1032"/>
      <c r="L20" s="1038"/>
      <c r="M20" s="278" t="e">
        <f t="shared" si="0"/>
        <v>#REF!</v>
      </c>
      <c r="N20" s="1043" t="e">
        <f t="shared" si="1"/>
        <v>#REF!</v>
      </c>
    </row>
    <row r="21" spans="1:16" ht="15" customHeight="1">
      <c r="A21" s="789"/>
      <c r="B21" s="1012" t="s">
        <v>962</v>
      </c>
      <c r="C21" s="1009"/>
      <c r="D21" s="1014">
        <v>77671960</v>
      </c>
      <c r="E21" s="1009"/>
      <c r="F21" s="1014">
        <f>83235575</f>
        <v>83235575</v>
      </c>
      <c r="G21" s="908"/>
      <c r="H21" s="1014">
        <v>66310392</v>
      </c>
      <c r="I21" s="1037"/>
      <c r="J21" s="1038">
        <v>54801977</v>
      </c>
      <c r="K21" s="1032"/>
      <c r="L21" s="1038">
        <v>80235575</v>
      </c>
      <c r="M21" s="278">
        <f t="shared" si="0"/>
        <v>16925183</v>
      </c>
      <c r="N21" s="1043">
        <f t="shared" si="1"/>
        <v>0.255241787742712</v>
      </c>
    </row>
    <row r="22" spans="1:16" ht="15" customHeight="1">
      <c r="A22" s="789"/>
      <c r="B22" s="1012" t="s">
        <v>965</v>
      </c>
      <c r="C22" s="1009">
        <f>NOTES!A207</f>
        <v>7</v>
      </c>
      <c r="D22" s="1014">
        <f>NOTES!L213</f>
        <v>24183426.5286122</v>
      </c>
      <c r="E22" s="1009"/>
      <c r="F22" s="1014">
        <f>NOTES!N213</f>
        <v>20467854</v>
      </c>
      <c r="G22" s="908"/>
      <c r="H22" s="1014">
        <f>NOTES!P213</f>
        <v>17323147</v>
      </c>
      <c r="I22" s="1037"/>
      <c r="J22" s="1038">
        <v>14672931</v>
      </c>
      <c r="K22" s="1032"/>
      <c r="L22" s="1038">
        <v>20467854</v>
      </c>
      <c r="M22" s="278"/>
      <c r="N22" s="1043"/>
    </row>
    <row r="23" spans="1:16" ht="15" customHeight="1">
      <c r="A23" s="789"/>
      <c r="B23" s="1012" t="s">
        <v>707</v>
      </c>
      <c r="C23" s="1009">
        <f>NOTES!A215</f>
        <v>8</v>
      </c>
      <c r="D23" s="906">
        <f>NOTES!L219</f>
        <v>85418832.572515503</v>
      </c>
      <c r="E23" s="1009"/>
      <c r="F23" s="906">
        <f>NOTES!N219</f>
        <v>61683695</v>
      </c>
      <c r="G23" s="908"/>
      <c r="H23" s="906">
        <f>NOTES!P217</f>
        <v>13746153</v>
      </c>
      <c r="I23" s="1009"/>
      <c r="J23" s="1039">
        <v>11608328</v>
      </c>
      <c r="K23" s="1032"/>
      <c r="L23" s="1039">
        <v>17633772</v>
      </c>
      <c r="M23" s="278"/>
    </row>
    <row r="24" spans="1:16">
      <c r="A24" s="789"/>
      <c r="B24" s="1015"/>
      <c r="C24" s="1001"/>
      <c r="D24" s="899">
        <f>D23+D22+D21+D17</f>
        <v>272745339.68112767</v>
      </c>
      <c r="E24" s="1001"/>
      <c r="F24" s="899">
        <f>F21+F22+F23+F17</f>
        <v>222403663</v>
      </c>
      <c r="G24" s="901"/>
      <c r="H24" s="899">
        <f>H21+H22+H23+H17+1</f>
        <v>145698794</v>
      </c>
      <c r="I24" s="1001"/>
      <c r="J24" s="916">
        <f>SUM(J17:J23)</f>
        <v>122031627</v>
      </c>
      <c r="K24" s="269"/>
      <c r="L24" s="916">
        <f>SUM(L17:L23)</f>
        <v>175353740</v>
      </c>
    </row>
    <row r="25" spans="1:16" ht="9" customHeight="1">
      <c r="A25" s="789"/>
      <c r="B25" s="789"/>
      <c r="C25" s="1001"/>
      <c r="D25" s="657"/>
      <c r="E25" s="1001"/>
      <c r="F25" s="657"/>
      <c r="G25" s="654"/>
      <c r="H25" s="657"/>
      <c r="I25" s="1001"/>
      <c r="J25" s="654"/>
      <c r="K25" s="269"/>
      <c r="L25" s="654"/>
    </row>
    <row r="26" spans="1:16">
      <c r="A26" s="1001" t="s">
        <v>966</v>
      </c>
      <c r="B26" s="789"/>
      <c r="C26" s="1001"/>
      <c r="D26" s="1016">
        <f>D24+D12+1</f>
        <v>278753431.08112764</v>
      </c>
      <c r="E26" s="1001"/>
      <c r="F26" s="1016">
        <f>F24+F12+1</f>
        <v>229079320.40000001</v>
      </c>
      <c r="G26" s="901"/>
      <c r="H26" s="1016">
        <f>H24+H12</f>
        <v>153116190</v>
      </c>
      <c r="I26" s="1001"/>
      <c r="J26" s="916"/>
      <c r="K26" s="269"/>
      <c r="L26" s="916"/>
    </row>
    <row r="27" spans="1:16" ht="12" customHeight="1">
      <c r="A27" s="789"/>
      <c r="B27" s="789"/>
      <c r="C27" s="1001"/>
      <c r="D27" s="901"/>
      <c r="E27" s="1001"/>
      <c r="F27" s="901"/>
      <c r="G27" s="901"/>
      <c r="H27" s="901"/>
      <c r="I27" s="1001"/>
      <c r="J27" s="916"/>
      <c r="K27" s="269"/>
      <c r="L27" s="916"/>
    </row>
    <row r="28" spans="1:16" ht="8.15" customHeight="1">
      <c r="A28" s="1001"/>
      <c r="B28" s="789"/>
      <c r="C28" s="1001"/>
      <c r="D28" s="901"/>
      <c r="E28" s="1001"/>
      <c r="F28" s="901"/>
      <c r="G28" s="901"/>
      <c r="H28" s="901"/>
      <c r="I28" s="1001"/>
      <c r="J28" s="916"/>
      <c r="K28" s="269"/>
      <c r="L28" s="916"/>
    </row>
    <row r="29" spans="1:16" ht="15.75" customHeight="1">
      <c r="A29" s="1001" t="s">
        <v>967</v>
      </c>
      <c r="B29" s="789"/>
      <c r="C29" s="1001"/>
      <c r="D29" s="901"/>
      <c r="E29" s="1001"/>
      <c r="F29" s="901"/>
      <c r="G29" s="901"/>
      <c r="H29" s="901"/>
      <c r="I29" s="1001"/>
      <c r="J29" s="916"/>
      <c r="K29" s="269"/>
      <c r="L29" s="916"/>
    </row>
    <row r="30" spans="1:16" ht="15.75" customHeight="1">
      <c r="A30" s="891"/>
      <c r="B30" s="789"/>
      <c r="C30" s="776"/>
      <c r="D30" s="901"/>
      <c r="E30" s="776"/>
      <c r="F30" s="901"/>
      <c r="G30" s="901"/>
      <c r="H30" s="901"/>
      <c r="I30" s="776"/>
      <c r="J30" s="916"/>
      <c r="K30" s="1031"/>
      <c r="L30" s="916"/>
    </row>
    <row r="31" spans="1:16" hidden="1">
      <c r="A31" s="789"/>
      <c r="B31" s="1017" t="s">
        <v>968</v>
      </c>
      <c r="C31" s="776"/>
      <c r="D31" s="904">
        <f>G31</f>
        <v>0</v>
      </c>
      <c r="E31" s="776"/>
      <c r="F31" s="904">
        <f>I31</f>
        <v>0</v>
      </c>
      <c r="G31" s="904"/>
      <c r="H31" s="904">
        <f>J31</f>
        <v>0</v>
      </c>
      <c r="I31" s="776"/>
      <c r="J31" s="654"/>
      <c r="K31" s="1031"/>
      <c r="L31" s="654"/>
    </row>
    <row r="32" spans="1:16" s="256" customFormat="1" ht="14.15" customHeight="1">
      <c r="A32" s="795"/>
      <c r="B32" s="1018" t="s">
        <v>969</v>
      </c>
      <c r="C32" s="1019"/>
      <c r="D32" s="1020"/>
      <c r="E32" s="1019"/>
      <c r="F32" s="1020"/>
      <c r="G32" s="1020"/>
      <c r="H32" s="1020"/>
      <c r="I32" s="1019"/>
      <c r="J32" s="1040"/>
      <c r="K32" s="1041"/>
      <c r="L32" s="1040"/>
      <c r="N32" s="1044"/>
      <c r="P32" s="1044"/>
    </row>
    <row r="33" spans="1:15" ht="9.75" customHeight="1">
      <c r="A33" s="789"/>
      <c r="B33" s="789"/>
      <c r="C33" s="776"/>
      <c r="D33" s="901"/>
      <c r="E33" s="776"/>
      <c r="F33" s="901"/>
      <c r="G33" s="901"/>
      <c r="H33" s="901"/>
      <c r="I33" s="776"/>
      <c r="J33" s="916"/>
      <c r="K33" s="1031"/>
      <c r="L33" s="916"/>
      <c r="M33" s="278"/>
    </row>
    <row r="34" spans="1:15" ht="14.25" customHeight="1">
      <c r="A34" s="789"/>
      <c r="B34" s="789" t="s">
        <v>970</v>
      </c>
      <c r="C34" s="776">
        <v>9</v>
      </c>
      <c r="D34" s="914">
        <f>NOTES!L232</f>
        <v>194906915.15519395</v>
      </c>
      <c r="E34" s="776"/>
      <c r="F34" s="914">
        <f>NOTES!N232</f>
        <v>152583275.09</v>
      </c>
      <c r="G34" s="901"/>
      <c r="H34" s="914">
        <f>NOTES!P232</f>
        <v>129332833</v>
      </c>
      <c r="I34" s="776"/>
      <c r="J34" s="916"/>
      <c r="K34" s="1031"/>
      <c r="L34" s="916"/>
      <c r="M34" s="278"/>
    </row>
    <row r="35" spans="1:15">
      <c r="A35" s="789"/>
      <c r="B35" s="789"/>
      <c r="C35" s="776"/>
      <c r="D35" s="901">
        <f>SUM(D34)</f>
        <v>194906915.15519395</v>
      </c>
      <c r="E35" s="776"/>
      <c r="F35" s="901">
        <f>SUM(F34)</f>
        <v>152583275.09</v>
      </c>
      <c r="G35" s="916"/>
      <c r="H35" s="901">
        <f>SUM(H34)</f>
        <v>129332833</v>
      </c>
      <c r="I35" s="776"/>
      <c r="J35" s="916"/>
      <c r="K35" s="1031"/>
      <c r="L35" s="916"/>
    </row>
    <row r="36" spans="1:15" ht="19" customHeight="1">
      <c r="A36" s="789"/>
      <c r="B36" s="789"/>
      <c r="C36" s="776"/>
      <c r="D36" s="901"/>
      <c r="E36" s="776"/>
      <c r="F36" s="901"/>
      <c r="G36" s="916"/>
      <c r="H36" s="901"/>
      <c r="I36" s="776"/>
      <c r="J36" s="916"/>
      <c r="K36" s="1031"/>
      <c r="L36" s="916"/>
      <c r="N36" s="278"/>
      <c r="O36" s="278"/>
    </row>
    <row r="37" spans="1:15" ht="19" customHeight="1">
      <c r="A37" s="1001" t="s">
        <v>725</v>
      </c>
      <c r="B37" s="789"/>
      <c r="C37" s="776"/>
      <c r="D37" s="901"/>
      <c r="E37" s="776"/>
      <c r="F37" s="901"/>
      <c r="G37" s="916"/>
      <c r="H37" s="901"/>
      <c r="I37" s="776"/>
      <c r="J37" s="916"/>
      <c r="K37" s="1031"/>
      <c r="L37" s="916"/>
      <c r="N37" s="278"/>
      <c r="O37" s="278"/>
    </row>
    <row r="38" spans="1:15" ht="3.75" customHeight="1">
      <c r="A38" s="1001"/>
      <c r="B38" s="789"/>
      <c r="C38" s="776"/>
      <c r="D38" s="901"/>
      <c r="E38" s="776"/>
      <c r="F38" s="901"/>
      <c r="G38" s="916"/>
      <c r="H38" s="901"/>
      <c r="I38" s="776"/>
      <c r="J38" s="916"/>
      <c r="K38" s="1031"/>
      <c r="L38" s="916"/>
      <c r="N38" s="278"/>
      <c r="O38" s="278"/>
    </row>
    <row r="39" spans="1:15">
      <c r="B39" s="251" t="s">
        <v>971</v>
      </c>
      <c r="C39" s="776">
        <v>10.1</v>
      </c>
      <c r="D39" s="605">
        <f>NOTES!L250</f>
        <v>4935850.21</v>
      </c>
      <c r="E39" s="776"/>
      <c r="F39" s="605">
        <f>NOTES!N250</f>
        <v>9280372.9800000004</v>
      </c>
      <c r="G39" s="1027"/>
      <c r="H39" s="1027">
        <v>0</v>
      </c>
      <c r="I39" s="856"/>
      <c r="J39" s="1027"/>
      <c r="K39" s="1031"/>
      <c r="L39" s="1027"/>
    </row>
    <row r="40" spans="1:15">
      <c r="B40" s="251" t="s">
        <v>972</v>
      </c>
      <c r="C40" s="776">
        <v>10.199999999999999</v>
      </c>
      <c r="D40" s="605">
        <f>NOTES!L270</f>
        <v>30000000</v>
      </c>
      <c r="E40" s="776"/>
      <c r="F40" s="605">
        <f>NOTES!N270</f>
        <v>30000000</v>
      </c>
      <c r="G40" s="1027"/>
      <c r="H40" s="1027">
        <v>0</v>
      </c>
      <c r="I40" s="856"/>
      <c r="J40" s="1027"/>
      <c r="K40" s="1031"/>
      <c r="L40" s="1027"/>
    </row>
    <row r="41" spans="1:15">
      <c r="B41" s="789"/>
      <c r="C41" s="776"/>
      <c r="D41" s="634">
        <f>SUM(D39:D40)</f>
        <v>34935850.210000001</v>
      </c>
      <c r="E41" s="776"/>
      <c r="F41" s="634">
        <f>SUM(F39:F40)</f>
        <v>39280372.979999997</v>
      </c>
      <c r="G41" s="901"/>
      <c r="H41" s="634">
        <f>SUM(H39:H40)</f>
        <v>0</v>
      </c>
      <c r="I41" s="776"/>
      <c r="J41" s="916"/>
      <c r="K41" s="1031"/>
      <c r="L41" s="916"/>
    </row>
    <row r="42" spans="1:15" ht="6" customHeight="1">
      <c r="A42" s="1001"/>
      <c r="B42" s="789"/>
      <c r="C42" s="776"/>
      <c r="D42" s="899"/>
      <c r="E42" s="776"/>
      <c r="F42" s="899"/>
      <c r="G42" s="901"/>
      <c r="H42" s="899"/>
      <c r="I42" s="776"/>
      <c r="J42" s="916"/>
      <c r="K42" s="1031"/>
      <c r="L42" s="916"/>
    </row>
    <row r="43" spans="1:15" ht="13.5" hidden="1" customHeight="1">
      <c r="A43" s="1001"/>
      <c r="B43" s="1021" t="s">
        <v>973</v>
      </c>
      <c r="C43" s="776"/>
      <c r="D43" s="1022">
        <f>'Trial Combine 19'!$J$286</f>
        <v>0</v>
      </c>
      <c r="E43" s="776"/>
      <c r="F43" s="1022">
        <f>'Trial Combine 19'!$J$286</f>
        <v>0</v>
      </c>
      <c r="G43" s="901"/>
      <c r="H43" s="1022">
        <f>'Trial Combine 19'!$J$286</f>
        <v>0</v>
      </c>
      <c r="I43" s="776"/>
      <c r="J43" s="916"/>
      <c r="K43" s="1031"/>
      <c r="L43" s="916"/>
    </row>
    <row r="44" spans="1:15" hidden="1">
      <c r="A44" s="1001"/>
      <c r="B44" s="1021" t="s">
        <v>960</v>
      </c>
      <c r="C44" s="1009"/>
      <c r="D44" s="1011">
        <f>'Trial Combine 19'!$J$33</f>
        <v>0</v>
      </c>
      <c r="E44" s="1009"/>
      <c r="F44" s="1011">
        <f>'Trial Combine 19'!$J$33</f>
        <v>0</v>
      </c>
      <c r="G44" s="901"/>
      <c r="H44" s="1011">
        <f>'Trial Combine 19'!$J$33</f>
        <v>0</v>
      </c>
      <c r="I44" s="1009"/>
      <c r="J44" s="916"/>
      <c r="K44" s="1032"/>
      <c r="L44" s="916"/>
    </row>
    <row r="45" spans="1:15" ht="4.5" hidden="1" customHeight="1">
      <c r="A45" s="1006"/>
      <c r="B45" s="789"/>
      <c r="C45" s="776"/>
      <c r="D45" s="1023"/>
      <c r="E45" s="776"/>
      <c r="F45" s="1023"/>
      <c r="G45" s="901"/>
      <c r="H45" s="1023"/>
      <c r="I45" s="776"/>
      <c r="J45" s="916"/>
      <c r="K45" s="1031"/>
      <c r="L45" s="916"/>
    </row>
    <row r="46" spans="1:15" ht="15.75" hidden="1" customHeight="1">
      <c r="A46" s="1006"/>
      <c r="B46" s="789" t="s">
        <v>974</v>
      </c>
      <c r="C46" s="776"/>
      <c r="D46" s="1011">
        <v>0</v>
      </c>
      <c r="E46" s="776"/>
      <c r="F46" s="1011">
        <v>0</v>
      </c>
      <c r="G46" s="901"/>
      <c r="H46" s="1011">
        <v>0</v>
      </c>
      <c r="I46" s="776"/>
      <c r="J46" s="916"/>
      <c r="K46" s="1031"/>
      <c r="L46" s="916"/>
    </row>
    <row r="47" spans="1:15" ht="15.75" hidden="1" customHeight="1">
      <c r="A47" s="1006"/>
      <c r="B47" s="789"/>
      <c r="C47" s="776"/>
      <c r="D47" s="901">
        <f>D43+D46</f>
        <v>0</v>
      </c>
      <c r="E47" s="776"/>
      <c r="F47" s="901">
        <f>F43+F46</f>
        <v>0</v>
      </c>
      <c r="G47" s="901"/>
      <c r="H47" s="901">
        <f>H43+H46</f>
        <v>0</v>
      </c>
      <c r="I47" s="776"/>
      <c r="J47" s="916"/>
      <c r="K47" s="1031"/>
      <c r="L47" s="916"/>
    </row>
    <row r="48" spans="1:15">
      <c r="A48" s="1001" t="s">
        <v>172</v>
      </c>
      <c r="B48" s="789"/>
      <c r="C48" s="776"/>
      <c r="D48" s="899"/>
      <c r="E48" s="776"/>
      <c r="F48" s="899"/>
      <c r="G48" s="901"/>
      <c r="H48" s="899"/>
      <c r="I48" s="776"/>
      <c r="J48" s="916"/>
      <c r="K48" s="1031"/>
      <c r="L48" s="916"/>
    </row>
    <row r="49" spans="1:12" ht="3.75" customHeight="1">
      <c r="A49" s="1001"/>
      <c r="B49" s="789"/>
      <c r="C49" s="776"/>
      <c r="D49" s="899"/>
      <c r="E49" s="776"/>
      <c r="F49" s="899"/>
      <c r="G49" s="901"/>
      <c r="H49" s="899"/>
      <c r="I49" s="776"/>
      <c r="J49" s="916"/>
      <c r="K49" s="1031"/>
      <c r="L49" s="916"/>
    </row>
    <row r="50" spans="1:12">
      <c r="A50" s="1001"/>
      <c r="B50" s="789" t="s">
        <v>975</v>
      </c>
      <c r="C50" s="776">
        <v>10.1</v>
      </c>
      <c r="D50" s="605">
        <f>NOTES!L249</f>
        <v>4344522.7699999996</v>
      </c>
      <c r="E50" s="776"/>
      <c r="F50" s="605">
        <f>NOTES!N249</f>
        <v>4659066.7</v>
      </c>
      <c r="G50" s="901"/>
      <c r="H50" s="901">
        <v>0</v>
      </c>
      <c r="I50" s="776"/>
      <c r="J50" s="916"/>
      <c r="K50" s="1031"/>
      <c r="L50" s="916"/>
    </row>
    <row r="51" spans="1:12">
      <c r="A51" s="1001"/>
      <c r="B51" s="789" t="s">
        <v>976</v>
      </c>
      <c r="C51" s="1009">
        <v>11</v>
      </c>
      <c r="D51" s="914">
        <f>NOTES!L279</f>
        <v>44566141.9459337</v>
      </c>
      <c r="E51" s="1009"/>
      <c r="F51" s="914">
        <f>NOTES!N279</f>
        <v>32556604</v>
      </c>
      <c r="G51" s="901"/>
      <c r="H51" s="914">
        <f>NOTES!P279</f>
        <v>23783357</v>
      </c>
      <c r="I51" s="1009"/>
      <c r="J51" s="1042">
        <v>21713168</v>
      </c>
      <c r="K51" s="1032"/>
      <c r="L51" s="916"/>
    </row>
    <row r="52" spans="1:12" ht="15.75" hidden="1" customHeight="1">
      <c r="A52" s="1001"/>
      <c r="B52" s="789" t="s">
        <v>977</v>
      </c>
      <c r="C52" s="1009" t="e">
        <f>+NOTES!#REF!</f>
        <v>#REF!</v>
      </c>
      <c r="D52" s="1023">
        <v>0</v>
      </c>
      <c r="E52" s="1009"/>
      <c r="F52" s="1023">
        <v>0</v>
      </c>
      <c r="G52" s="901"/>
      <c r="H52" s="1023">
        <v>0</v>
      </c>
      <c r="I52" s="1009"/>
      <c r="J52" s="916"/>
      <c r="K52" s="1032"/>
      <c r="L52" s="916"/>
    </row>
    <row r="53" spans="1:12" ht="3" customHeight="1">
      <c r="A53" s="1001"/>
      <c r="B53" s="789"/>
      <c r="C53" s="1009"/>
      <c r="D53" s="901"/>
      <c r="E53" s="1009"/>
      <c r="F53" s="901"/>
      <c r="G53" s="901"/>
      <c r="H53" s="901"/>
      <c r="I53" s="1009"/>
      <c r="J53" s="916"/>
      <c r="K53" s="1032"/>
      <c r="L53" s="916"/>
    </row>
    <row r="54" spans="1:12" ht="15.75" hidden="1" customHeight="1">
      <c r="A54" s="789"/>
      <c r="B54" s="789" t="s">
        <v>978</v>
      </c>
      <c r="C54" s="776"/>
      <c r="D54" s="1023"/>
      <c r="E54" s="776"/>
      <c r="F54" s="1023"/>
      <c r="G54" s="901"/>
      <c r="H54" s="1023"/>
      <c r="I54" s="776"/>
      <c r="J54" s="916"/>
      <c r="K54" s="1031"/>
      <c r="L54" s="916"/>
    </row>
    <row r="55" spans="1:12" ht="15.75" hidden="1" customHeight="1">
      <c r="A55" s="789"/>
      <c r="B55" s="1017" t="s">
        <v>979</v>
      </c>
      <c r="C55" s="1009" t="e">
        <f>+NOTES!#REF!</f>
        <v>#REF!</v>
      </c>
      <c r="D55" s="1011" t="e">
        <f>NOTES!#REF!</f>
        <v>#REF!</v>
      </c>
      <c r="E55" s="1009"/>
      <c r="F55" s="1011" t="e">
        <f>NOTES!#REF!</f>
        <v>#REF!</v>
      </c>
      <c r="G55" s="901"/>
      <c r="H55" s="1011" t="e">
        <f>NOTES!#REF!</f>
        <v>#REF!</v>
      </c>
      <c r="I55" s="1009"/>
      <c r="J55" s="916"/>
      <c r="K55" s="1032"/>
      <c r="L55" s="916"/>
    </row>
    <row r="56" spans="1:12">
      <c r="A56" s="789"/>
      <c r="B56" s="789"/>
      <c r="C56" s="776"/>
      <c r="D56" s="899">
        <f>SUM(D50:D51)</f>
        <v>48910664.715933703</v>
      </c>
      <c r="E56" s="776"/>
      <c r="F56" s="899">
        <f>SUM(F50:F51)</f>
        <v>37215670.700000003</v>
      </c>
      <c r="G56" s="901"/>
      <c r="H56" s="899">
        <f>SUM(H50:H51)</f>
        <v>23783357</v>
      </c>
      <c r="I56" s="776"/>
      <c r="J56" s="916">
        <f>SUM(J51:J55)</f>
        <v>21713168</v>
      </c>
      <c r="K56" s="1031"/>
      <c r="L56" s="916">
        <f>+H56-J56</f>
        <v>2070189</v>
      </c>
    </row>
    <row r="57" spans="1:12" ht="9" customHeight="1">
      <c r="A57" s="789"/>
      <c r="B57" s="789"/>
      <c r="C57" s="776"/>
      <c r="D57" s="899"/>
      <c r="E57" s="776"/>
      <c r="F57" s="899"/>
      <c r="G57" s="901"/>
      <c r="H57" s="899"/>
      <c r="I57" s="776"/>
      <c r="J57" s="916"/>
      <c r="K57" s="1031"/>
      <c r="L57" s="916"/>
    </row>
    <row r="58" spans="1:12">
      <c r="A58" s="1001" t="s">
        <v>980</v>
      </c>
      <c r="B58" s="789"/>
      <c r="C58" s="1009">
        <v>16</v>
      </c>
      <c r="D58" s="901">
        <v>0</v>
      </c>
      <c r="E58" s="1009"/>
      <c r="F58" s="901">
        <v>0</v>
      </c>
      <c r="G58" s="901"/>
      <c r="H58" s="901">
        <v>0</v>
      </c>
      <c r="I58" s="1009"/>
      <c r="J58" s="916"/>
      <c r="K58" s="1032"/>
      <c r="L58" s="916"/>
    </row>
    <row r="59" spans="1:12" ht="7.5" customHeight="1">
      <c r="A59" s="789"/>
      <c r="B59" s="789"/>
      <c r="C59" s="776"/>
      <c r="D59" s="899"/>
      <c r="E59" s="776"/>
      <c r="F59" s="899"/>
      <c r="G59" s="901"/>
      <c r="H59" s="899"/>
      <c r="I59" s="776"/>
      <c r="J59" s="916"/>
      <c r="K59" s="1031"/>
      <c r="L59" s="916"/>
    </row>
    <row r="60" spans="1:12">
      <c r="A60" s="1001" t="s">
        <v>981</v>
      </c>
      <c r="B60" s="789"/>
      <c r="C60" s="1024"/>
      <c r="D60" s="1016">
        <f>+D35+D41+D56+1</f>
        <v>278753431.08112764</v>
      </c>
      <c r="E60" s="1024"/>
      <c r="F60" s="1016">
        <f>+F35+F41+F56+1</f>
        <v>229079319.77000001</v>
      </c>
      <c r="G60" s="901"/>
      <c r="H60" s="1016">
        <f>+H35+H39+H56</f>
        <v>153116190</v>
      </c>
      <c r="I60" s="1024"/>
      <c r="J60" s="916">
        <f>+F26-F60</f>
        <v>0.62999996542930603</v>
      </c>
      <c r="L60" s="916"/>
    </row>
    <row r="61" spans="1:12">
      <c r="A61" s="789"/>
      <c r="B61" s="789"/>
      <c r="C61" s="1024"/>
      <c r="D61" s="1024"/>
      <c r="E61" s="1024"/>
      <c r="F61" s="1024"/>
      <c r="G61" s="1024"/>
      <c r="H61" s="1024" t="s">
        <v>982</v>
      </c>
      <c r="I61" s="1024"/>
      <c r="J61" s="1024"/>
      <c r="L61" s="1024"/>
    </row>
    <row r="62" spans="1:12">
      <c r="A62" s="789" t="s">
        <v>983</v>
      </c>
      <c r="B62" s="789"/>
      <c r="C62" s="1024"/>
      <c r="D62" s="1025"/>
      <c r="E62" s="1024"/>
      <c r="F62" s="1024"/>
      <c r="G62" s="1024"/>
      <c r="H62" s="1024"/>
      <c r="I62" s="1024"/>
      <c r="J62" s="1024"/>
      <c r="L62" s="1024"/>
    </row>
    <row r="63" spans="1:12">
      <c r="A63" s="1001"/>
      <c r="B63" s="789"/>
      <c r="C63" s="1024"/>
      <c r="D63" s="1024"/>
      <c r="E63" s="1024"/>
      <c r="F63" s="1024"/>
      <c r="G63" s="1024"/>
      <c r="H63" s="1024"/>
      <c r="I63" s="1024"/>
      <c r="J63" s="1024"/>
      <c r="L63" s="1024"/>
    </row>
    <row r="64" spans="1:12">
      <c r="A64" s="1001"/>
      <c r="B64" s="789"/>
      <c r="C64" s="1024"/>
      <c r="D64" s="1024"/>
      <c r="E64" s="1024"/>
      <c r="F64" s="1024"/>
      <c r="G64" s="1024"/>
      <c r="H64" s="1024"/>
      <c r="I64" s="1024"/>
      <c r="J64" s="1024"/>
      <c r="L64" s="1024"/>
    </row>
    <row r="65" spans="1:16" ht="16.5">
      <c r="A65" s="1001"/>
      <c r="B65" s="789"/>
      <c r="C65" s="1024"/>
      <c r="D65" s="1024"/>
      <c r="E65" s="1024"/>
      <c r="F65" s="1024"/>
      <c r="G65" s="1024"/>
      <c r="H65" s="1024"/>
      <c r="I65" s="1024"/>
      <c r="J65" s="1024"/>
      <c r="L65" s="1025"/>
      <c r="P65" s="797"/>
    </row>
    <row r="66" spans="1:16" ht="16.5">
      <c r="A66" s="1001"/>
      <c r="B66" s="789"/>
      <c r="C66" s="1024"/>
      <c r="D66" s="1024"/>
      <c r="E66" s="1024"/>
      <c r="F66" s="1024"/>
      <c r="G66" s="1024"/>
      <c r="H66" s="1024"/>
      <c r="I66" s="1024"/>
      <c r="J66" s="1024"/>
      <c r="L66" s="1024"/>
      <c r="N66" s="790"/>
    </row>
    <row r="67" spans="1:16" ht="16.5">
      <c r="A67" s="1001"/>
      <c r="B67" s="789"/>
      <c r="C67" s="1024"/>
      <c r="D67" s="1024"/>
      <c r="E67" s="1024"/>
      <c r="F67" s="1024"/>
      <c r="G67" s="1024"/>
      <c r="H67" s="1024"/>
      <c r="I67" s="1024"/>
      <c r="J67" s="1024"/>
      <c r="L67" s="1024"/>
      <c r="N67" s="790"/>
    </row>
    <row r="68" spans="1:16">
      <c r="A68" s="1001"/>
      <c r="B68" s="789"/>
      <c r="C68" s="1024"/>
      <c r="D68" s="1024"/>
      <c r="E68" s="1024"/>
      <c r="F68" s="1024"/>
      <c r="G68" s="1024"/>
      <c r="H68" s="1024"/>
      <c r="I68" s="1024"/>
      <c r="J68" s="1024"/>
      <c r="L68" s="1024"/>
    </row>
    <row r="69" spans="1:16">
      <c r="A69" s="1001"/>
      <c r="B69" s="789"/>
      <c r="C69" s="1024"/>
      <c r="D69" s="1024"/>
      <c r="E69" s="1024"/>
      <c r="F69" s="1024"/>
      <c r="G69" s="1024"/>
      <c r="H69" s="1024"/>
      <c r="I69" s="1024"/>
      <c r="J69" s="1024"/>
      <c r="L69" s="1024"/>
    </row>
    <row r="70" spans="1:16">
      <c r="A70" s="1001"/>
      <c r="B70" s="789"/>
      <c r="C70" s="1024"/>
      <c r="D70" s="1024"/>
      <c r="E70" s="1024"/>
      <c r="F70" s="1024"/>
      <c r="G70" s="1024"/>
      <c r="H70" s="1024"/>
      <c r="I70" s="1024"/>
      <c r="J70" s="1024"/>
      <c r="L70" s="1024"/>
    </row>
    <row r="71" spans="1:16">
      <c r="A71" s="789"/>
      <c r="B71" s="789"/>
      <c r="C71" s="1024"/>
      <c r="D71" s="1024"/>
      <c r="E71" s="1024"/>
      <c r="F71" s="1047"/>
      <c r="G71" s="1048"/>
      <c r="H71" s="789"/>
      <c r="I71" s="1024"/>
      <c r="J71" s="1024"/>
      <c r="L71" s="1024"/>
    </row>
    <row r="72" spans="1:16">
      <c r="A72" s="1045"/>
      <c r="B72" s="763"/>
      <c r="C72" s="789"/>
      <c r="D72" s="789"/>
      <c r="E72" s="789"/>
      <c r="F72" s="1414" t="s">
        <v>984</v>
      </c>
      <c r="G72" s="1415"/>
      <c r="I72" s="1050"/>
      <c r="J72" s="1051"/>
      <c r="K72" s="1052"/>
      <c r="L72" s="1051"/>
    </row>
    <row r="73" spans="1:16">
      <c r="B73" s="1046"/>
      <c r="F73" s="1049"/>
      <c r="G73" s="1049"/>
      <c r="H73" s="1049"/>
      <c r="J73" s="1049"/>
      <c r="L73" s="1049"/>
    </row>
    <row r="74" spans="1:16" ht="16.5">
      <c r="N74" s="797"/>
    </row>
    <row r="75" spans="1:16" ht="16.5">
      <c r="N75" s="797"/>
    </row>
    <row r="76" spans="1:16" ht="16.5">
      <c r="N76" s="797"/>
    </row>
    <row r="77" spans="1:16" ht="16.5">
      <c r="N77" s="797"/>
    </row>
    <row r="78" spans="1:16" ht="16.5">
      <c r="N78" s="797"/>
    </row>
    <row r="86" ht="66" customHeight="1"/>
    <row r="221" spans="16:16">
      <c r="P221" s="251">
        <f>SUM(P220:P220)</f>
        <v>0</v>
      </c>
    </row>
    <row r="236" spans="3:3">
      <c r="C236" s="255" t="s">
        <v>985</v>
      </c>
    </row>
    <row r="238" spans="3:3">
      <c r="C238" s="255" t="s">
        <v>986</v>
      </c>
    </row>
    <row r="287" spans="1:12" s="262" customFormat="1">
      <c r="A287" s="251"/>
      <c r="B287" s="251"/>
      <c r="C287" s="251"/>
      <c r="D287" s="251"/>
      <c r="E287" s="251"/>
      <c r="F287" s="251"/>
      <c r="G287" s="251"/>
      <c r="H287" s="251"/>
      <c r="I287" s="251"/>
      <c r="J287" s="251"/>
      <c r="K287" s="251"/>
      <c r="L287" s="251"/>
    </row>
  </sheetData>
  <mergeCells count="1">
    <mergeCell ref="F72:G72"/>
  </mergeCells>
  <printOptions horizontalCentered="1"/>
  <pageMargins left="0.38" right="0.2" top="0.35" bottom="0.2" header="0.69" footer="0.39"/>
  <pageSetup paperSize="9" scale="96" fitToHeight="0" orientation="portrait" r:id="rId1"/>
  <headerFooter alignWithMargins="0"/>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rgb="FF7030A0"/>
    <pageSetUpPr fitToPage="1"/>
  </sheetPr>
  <dimension ref="A1:S370"/>
  <sheetViews>
    <sheetView showGridLines="0" defaultGridColor="0" view="pageBreakPreview" colorId="8" zoomScaleNormal="100" workbookViewId="0">
      <selection activeCell="J18" sqref="J18"/>
    </sheetView>
  </sheetViews>
  <sheetFormatPr defaultColWidth="12.453125" defaultRowHeight="12.5"/>
  <cols>
    <col min="1" max="1" width="3.1796875" style="926" customWidth="1"/>
    <col min="2" max="2" width="4" style="926" customWidth="1"/>
    <col min="3" max="3" width="12.453125" style="926"/>
    <col min="4" max="4" width="15.453125" style="926" customWidth="1"/>
    <col min="5" max="5" width="12.453125" style="926" customWidth="1"/>
    <col min="6" max="6" width="12.54296875" style="926" customWidth="1"/>
    <col min="7" max="7" width="4.453125" style="926" customWidth="1"/>
    <col min="8" max="8" width="16.81640625" style="926" customWidth="1"/>
    <col min="9" max="9" width="0.81640625" style="926" customWidth="1"/>
    <col min="10" max="10" width="15.54296875" style="926" customWidth="1"/>
    <col min="11" max="11" width="0.81640625" style="926" customWidth="1"/>
    <col min="12" max="12" width="18.54296875" style="927" customWidth="1"/>
    <col min="13" max="13" width="1.54296875" style="926" customWidth="1"/>
    <col min="14" max="14" width="14.54296875" style="926" customWidth="1"/>
    <col min="15" max="15" width="14.453125" style="926" customWidth="1"/>
    <col min="16" max="16" width="12.54296875" style="926" customWidth="1"/>
    <col min="17" max="16384" width="12.453125" style="926"/>
  </cols>
  <sheetData>
    <row r="1" spans="1:15" ht="14.5">
      <c r="A1" s="928" t="str">
        <f>'P &amp; L'!A1</f>
        <v>AIMAL KHAN TRADERS</v>
      </c>
      <c r="B1" s="929"/>
      <c r="C1" s="929"/>
      <c r="D1" s="929"/>
      <c r="E1" s="929"/>
      <c r="F1" s="929"/>
      <c r="G1" s="929"/>
      <c r="H1" s="929"/>
      <c r="I1" s="929"/>
      <c r="J1" s="929"/>
      <c r="K1" s="936"/>
      <c r="L1" s="936"/>
      <c r="M1" s="936"/>
      <c r="N1" s="936"/>
    </row>
    <row r="2" spans="1:15" ht="15" customHeight="1">
      <c r="A2" s="1366" t="s">
        <v>987</v>
      </c>
      <c r="B2" s="930"/>
      <c r="C2" s="930"/>
      <c r="D2" s="930"/>
      <c r="E2" s="930"/>
      <c r="F2" s="930"/>
      <c r="G2" s="930"/>
      <c r="H2" s="930"/>
      <c r="I2" s="930"/>
      <c r="J2" s="930"/>
      <c r="K2" s="952"/>
      <c r="L2" s="952"/>
      <c r="M2" s="952"/>
      <c r="N2" s="952"/>
    </row>
    <row r="3" spans="1:15" ht="12" customHeight="1">
      <c r="A3" s="931" t="str">
        <f>'P &amp; L'!A3</f>
        <v>FOR THE YEAR ENDED DECEMBER 31, 2025</v>
      </c>
      <c r="B3" s="932"/>
      <c r="C3" s="932"/>
      <c r="D3" s="932"/>
      <c r="E3" s="932"/>
      <c r="F3" s="932"/>
      <c r="G3" s="932"/>
      <c r="H3" s="932"/>
      <c r="I3" s="932"/>
      <c r="J3" s="932"/>
      <c r="K3" s="953"/>
      <c r="L3" s="954"/>
    </row>
    <row r="4" spans="1:15" ht="12" customHeight="1">
      <c r="A4" s="933"/>
      <c r="B4" s="933"/>
      <c r="C4" s="933"/>
      <c r="D4" s="933"/>
      <c r="E4" s="933"/>
      <c r="F4" s="933"/>
      <c r="G4" s="933"/>
      <c r="H4" s="933"/>
      <c r="I4" s="933"/>
      <c r="J4" s="933"/>
    </row>
    <row r="5" spans="1:15" ht="14.5">
      <c r="A5" s="933"/>
      <c r="B5" s="933"/>
      <c r="C5" s="933"/>
      <c r="D5" s="933"/>
      <c r="E5" s="933"/>
      <c r="F5" s="933"/>
      <c r="G5" s="933"/>
      <c r="H5" s="937">
        <f>'P &amp; L'!N5</f>
        <v>2023</v>
      </c>
      <c r="I5" s="933"/>
      <c r="J5" s="937">
        <f>'P &amp; L'!P5</f>
        <v>0</v>
      </c>
      <c r="L5" s="955"/>
      <c r="M5" s="936"/>
      <c r="N5" s="982"/>
    </row>
    <row r="6" spans="1:15" ht="14.5">
      <c r="A6" s="933"/>
      <c r="B6" s="933"/>
      <c r="C6" s="933"/>
      <c r="D6" s="933"/>
      <c r="E6" s="933"/>
      <c r="F6" s="933"/>
      <c r="G6" s="933"/>
      <c r="H6" s="938" t="s">
        <v>957</v>
      </c>
      <c r="I6" s="933"/>
      <c r="J6" s="938" t="s">
        <v>957</v>
      </c>
      <c r="L6" s="956"/>
      <c r="M6" s="936"/>
      <c r="N6" s="983"/>
    </row>
    <row r="7" spans="1:15" ht="5.25" customHeight="1">
      <c r="A7" s="933"/>
      <c r="B7" s="933"/>
      <c r="C7" s="933"/>
      <c r="D7" s="933"/>
      <c r="E7" s="933"/>
      <c r="F7" s="933"/>
      <c r="G7" s="933"/>
      <c r="H7" s="939"/>
      <c r="I7" s="933"/>
      <c r="J7" s="939"/>
      <c r="L7" s="957"/>
    </row>
    <row r="8" spans="1:15" ht="14.5">
      <c r="A8" s="929" t="s">
        <v>988</v>
      </c>
      <c r="B8" s="933"/>
      <c r="C8" s="933"/>
      <c r="D8" s="933"/>
      <c r="E8" s="933"/>
      <c r="F8" s="933"/>
      <c r="G8" s="933"/>
      <c r="H8" s="939"/>
      <c r="I8" s="933"/>
      <c r="J8" s="939"/>
      <c r="L8" s="957"/>
    </row>
    <row r="9" spans="1:15" ht="6" customHeight="1">
      <c r="A9" s="933"/>
      <c r="B9" s="933"/>
      <c r="C9" s="933"/>
      <c r="D9" s="933"/>
      <c r="E9" s="933"/>
      <c r="F9" s="933"/>
      <c r="G9" s="933"/>
      <c r="H9" s="939"/>
      <c r="I9" s="933"/>
      <c r="J9" s="939"/>
      <c r="L9" s="957"/>
      <c r="M9" s="984"/>
    </row>
    <row r="10" spans="1:15" ht="14.5">
      <c r="A10" s="929" t="s">
        <v>989</v>
      </c>
      <c r="B10" s="933"/>
      <c r="C10" s="933"/>
      <c r="D10" s="933"/>
      <c r="E10" s="933"/>
      <c r="F10" s="933"/>
      <c r="G10" s="933"/>
      <c r="H10" s="940">
        <f>'P &amp; L'!N19</f>
        <v>76762135</v>
      </c>
      <c r="I10" s="933"/>
      <c r="J10" s="958">
        <f>'P &amp; L'!P19</f>
        <v>0</v>
      </c>
      <c r="L10" s="959"/>
      <c r="M10" s="985"/>
      <c r="N10" s="985"/>
    </row>
    <row r="11" spans="1:15" ht="18" customHeight="1">
      <c r="A11" s="929" t="s">
        <v>990</v>
      </c>
      <c r="B11" s="933"/>
      <c r="C11" s="933"/>
      <c r="D11" s="933"/>
      <c r="E11" s="933"/>
      <c r="F11" s="933"/>
      <c r="G11" s="933"/>
      <c r="H11" s="940"/>
      <c r="I11" s="933"/>
      <c r="J11" s="958"/>
      <c r="L11" s="959"/>
      <c r="M11" s="985"/>
      <c r="N11" s="985"/>
      <c r="O11" s="986"/>
    </row>
    <row r="12" spans="1:15" ht="14.5">
      <c r="A12" s="933"/>
      <c r="B12" s="933" t="s">
        <v>759</v>
      </c>
      <c r="C12" s="933"/>
      <c r="D12" s="933"/>
      <c r="E12" s="933"/>
      <c r="F12" s="933"/>
      <c r="G12" s="933"/>
      <c r="H12" s="941">
        <f>-'FA-04'!L187</f>
        <v>1229125.1000000001</v>
      </c>
      <c r="I12" s="933"/>
      <c r="J12" s="960">
        <v>0</v>
      </c>
      <c r="L12" s="961"/>
      <c r="M12" s="987"/>
      <c r="N12" s="987"/>
    </row>
    <row r="13" spans="1:15" ht="18" customHeight="1">
      <c r="A13" s="933"/>
      <c r="B13" s="933" t="s">
        <v>991</v>
      </c>
      <c r="C13" s="933"/>
      <c r="D13" s="933"/>
      <c r="E13" s="933"/>
      <c r="F13" s="933"/>
      <c r="G13" s="933"/>
      <c r="H13" s="941" t="e">
        <f>-'P &amp; L'!#REF!</f>
        <v>#REF!</v>
      </c>
      <c r="I13" s="933"/>
      <c r="J13" s="960" t="e">
        <f>-'P &amp; L'!#REF!</f>
        <v>#REF!</v>
      </c>
      <c r="L13" s="961"/>
      <c r="M13" s="985"/>
      <c r="N13" s="987"/>
    </row>
    <row r="14" spans="1:15" ht="14.5">
      <c r="A14" s="933" t="s">
        <v>992</v>
      </c>
      <c r="B14" s="933"/>
      <c r="C14" s="933"/>
      <c r="D14" s="933"/>
      <c r="E14" s="933"/>
      <c r="F14" s="933"/>
      <c r="G14" s="933"/>
      <c r="H14" s="942" t="e">
        <f>H10+H12+H13</f>
        <v>#REF!</v>
      </c>
      <c r="I14" s="933"/>
      <c r="J14" s="962" t="e">
        <f>J10+J12+J13</f>
        <v>#REF!</v>
      </c>
      <c r="L14" s="963"/>
      <c r="M14" s="985"/>
      <c r="N14" s="963"/>
    </row>
    <row r="15" spans="1:15" ht="4.5" customHeight="1">
      <c r="A15" s="933"/>
      <c r="B15" s="933"/>
      <c r="C15" s="933"/>
      <c r="D15" s="933"/>
      <c r="E15" s="933"/>
      <c r="F15" s="933"/>
      <c r="G15" s="933"/>
      <c r="H15" s="940"/>
      <c r="I15" s="933"/>
      <c r="J15" s="958"/>
      <c r="L15" s="959"/>
      <c r="M15" s="985"/>
      <c r="N15" s="985"/>
    </row>
    <row r="16" spans="1:15" ht="14.5">
      <c r="A16" s="933" t="s">
        <v>993</v>
      </c>
      <c r="B16" s="933"/>
      <c r="C16" s="933"/>
      <c r="D16" s="933"/>
      <c r="E16" s="933"/>
      <c r="F16" s="933"/>
      <c r="G16" s="933"/>
      <c r="H16" s="940"/>
      <c r="I16" s="933"/>
      <c r="J16" s="958"/>
      <c r="L16" s="959"/>
      <c r="M16" s="985"/>
      <c r="N16" s="985"/>
    </row>
    <row r="17" spans="1:19" ht="14.5">
      <c r="A17" s="929" t="s">
        <v>994</v>
      </c>
      <c r="B17" s="933"/>
      <c r="C17" s="933"/>
      <c r="D17" s="933"/>
      <c r="E17" s="933"/>
      <c r="F17" s="933"/>
      <c r="G17" s="933"/>
      <c r="H17" s="940"/>
      <c r="I17" s="933"/>
      <c r="J17" s="958"/>
      <c r="L17" s="959"/>
      <c r="M17" s="985"/>
      <c r="N17" s="985"/>
    </row>
    <row r="18" spans="1:19" ht="14.5">
      <c r="A18" s="933"/>
      <c r="B18" s="933" t="str">
        <f>SOFP!B17</f>
        <v>Stores and spares</v>
      </c>
      <c r="C18" s="933"/>
      <c r="D18" s="933"/>
      <c r="E18" s="933"/>
      <c r="F18" s="933"/>
      <c r="G18" s="933"/>
      <c r="H18" s="943">
        <f>SOFP!J17-SOFP!H17</f>
        <v>-7370710</v>
      </c>
      <c r="I18" s="933"/>
      <c r="J18" s="964">
        <v>0</v>
      </c>
      <c r="L18" s="965"/>
      <c r="N18" s="988"/>
      <c r="O18" s="985"/>
    </row>
    <row r="19" spans="1:19" ht="14.5">
      <c r="A19" s="933"/>
      <c r="B19" s="933" t="str">
        <f>SOFP!B22</f>
        <v>Advances, deposits &amp; other receivables</v>
      </c>
      <c r="C19" s="933"/>
      <c r="D19" s="933"/>
      <c r="E19" s="933"/>
      <c r="F19" s="933"/>
      <c r="G19" s="933"/>
      <c r="H19" s="944">
        <f>SOFP!J22-SOFP!H22</f>
        <v>-2650216</v>
      </c>
      <c r="I19" s="933"/>
      <c r="J19" s="966">
        <v>0</v>
      </c>
      <c r="L19" s="967"/>
      <c r="N19" s="989"/>
      <c r="O19" s="985"/>
    </row>
    <row r="20" spans="1:19" ht="14.5" hidden="1">
      <c r="A20" s="933"/>
      <c r="B20" s="1367" t="s">
        <v>963</v>
      </c>
      <c r="C20" s="933"/>
      <c r="D20" s="933"/>
      <c r="E20" s="933"/>
      <c r="F20" s="933"/>
      <c r="G20" s="933"/>
      <c r="H20" s="944">
        <v>0</v>
      </c>
      <c r="I20" s="933"/>
      <c r="J20" s="966">
        <v>0</v>
      </c>
      <c r="L20" s="967"/>
      <c r="N20" s="989"/>
      <c r="O20" s="985"/>
    </row>
    <row r="21" spans="1:19" ht="14.5">
      <c r="A21" s="933"/>
      <c r="B21" s="1367" t="str">
        <f>SOFP!B21</f>
        <v>Trade receivables</v>
      </c>
      <c r="C21" s="933"/>
      <c r="D21" s="933"/>
      <c r="E21" s="933"/>
      <c r="F21" s="933"/>
      <c r="G21" s="933"/>
      <c r="H21" s="944">
        <f>SOFP!J21-SOFP!H21</f>
        <v>-11508415</v>
      </c>
      <c r="I21" s="933"/>
      <c r="J21" s="966"/>
      <c r="L21" s="967"/>
      <c r="N21" s="989"/>
      <c r="O21" s="985"/>
    </row>
    <row r="22" spans="1:19" ht="14.5">
      <c r="A22" s="929" t="s">
        <v>995</v>
      </c>
      <c r="B22" s="933"/>
      <c r="C22" s="934"/>
      <c r="D22" s="933"/>
      <c r="E22" s="933"/>
      <c r="F22" s="933"/>
      <c r="G22" s="933"/>
      <c r="H22" s="944"/>
      <c r="I22" s="933"/>
      <c r="J22" s="966"/>
      <c r="L22" s="967"/>
      <c r="M22" s="985"/>
      <c r="N22" s="989"/>
    </row>
    <row r="23" spans="1:19" ht="14.5">
      <c r="A23" s="933"/>
      <c r="B23" s="1367" t="str">
        <f>SOFP!B51</f>
        <v>Creditors, accrued expenses &amp; other liabilities</v>
      </c>
      <c r="C23" s="933"/>
      <c r="D23" s="933"/>
      <c r="E23" s="933"/>
      <c r="F23" s="933"/>
      <c r="G23" s="933"/>
      <c r="H23" s="944">
        <f>SOFP!H51-SOFP!J51</f>
        <v>2070189</v>
      </c>
      <c r="I23" s="933"/>
      <c r="J23" s="966">
        <v>10000</v>
      </c>
      <c r="L23" s="967"/>
      <c r="M23" s="985"/>
      <c r="N23" s="989"/>
    </row>
    <row r="24" spans="1:19" ht="14.5" hidden="1">
      <c r="A24" s="933"/>
      <c r="B24" s="933"/>
      <c r="C24" s="1367" t="s">
        <v>977</v>
      </c>
      <c r="D24" s="933"/>
      <c r="E24" s="933"/>
      <c r="F24" s="933"/>
      <c r="G24" s="933"/>
      <c r="H24" s="945">
        <f>-SOFP!J52+SOFP!H52</f>
        <v>0</v>
      </c>
      <c r="I24" s="933"/>
      <c r="J24" s="968" t="e">
        <f>-SOFP!#REF!+SOFP!J52</f>
        <v>#REF!</v>
      </c>
      <c r="L24" s="969"/>
      <c r="M24" s="985"/>
      <c r="N24" s="990"/>
      <c r="P24" s="991"/>
      <c r="Q24" s="996"/>
      <c r="R24" s="991"/>
      <c r="S24" s="991"/>
    </row>
    <row r="25" spans="1:19" ht="14.5">
      <c r="A25" s="933"/>
      <c r="B25" s="933"/>
      <c r="C25" s="933"/>
      <c r="D25" s="933"/>
      <c r="E25" s="933"/>
      <c r="F25" s="933"/>
      <c r="G25" s="933"/>
      <c r="H25" s="946">
        <f>ROUND(SUM(H18:H24),0)</f>
        <v>-19459152</v>
      </c>
      <c r="I25" s="933"/>
      <c r="J25" s="970" t="e">
        <f>ROUND(SUM(J18:J24),0)</f>
        <v>#REF!</v>
      </c>
      <c r="L25" s="971"/>
      <c r="M25" s="985"/>
      <c r="N25" s="971"/>
      <c r="Q25" s="997"/>
    </row>
    <row r="26" spans="1:19" ht="19.5" customHeight="1">
      <c r="A26" s="933" t="s">
        <v>996</v>
      </c>
      <c r="B26" s="933"/>
      <c r="C26" s="933"/>
      <c r="D26" s="933"/>
      <c r="E26" s="933"/>
      <c r="F26" s="933"/>
      <c r="G26" s="933"/>
      <c r="H26" s="940" t="e">
        <f>H14+H25</f>
        <v>#REF!</v>
      </c>
      <c r="I26" s="933"/>
      <c r="J26" s="958" t="e">
        <f>J14+J25</f>
        <v>#REF!</v>
      </c>
      <c r="L26" s="959"/>
      <c r="M26" s="985"/>
      <c r="N26" s="959"/>
      <c r="Q26" s="997"/>
    </row>
    <row r="27" spans="1:19" ht="12.75" customHeight="1">
      <c r="A27" s="933"/>
      <c r="B27" s="933" t="s">
        <v>997</v>
      </c>
      <c r="C27" s="933"/>
      <c r="D27" s="933"/>
      <c r="E27" s="933"/>
      <c r="F27" s="933"/>
      <c r="G27" s="933"/>
      <c r="H27" s="941">
        <f>-SOFP!J53</f>
        <v>0</v>
      </c>
      <c r="I27" s="933"/>
      <c r="J27" s="960">
        <v>0</v>
      </c>
      <c r="L27" s="961"/>
      <c r="M27" s="987"/>
      <c r="N27" s="987"/>
      <c r="Q27" s="997"/>
    </row>
    <row r="28" spans="1:19" ht="15.75" hidden="1" customHeight="1">
      <c r="A28" s="933"/>
      <c r="B28" s="933" t="s">
        <v>998</v>
      </c>
      <c r="C28" s="933"/>
      <c r="D28" s="933"/>
      <c r="E28" s="933"/>
      <c r="F28" s="933"/>
      <c r="G28" s="933"/>
      <c r="H28" s="941"/>
      <c r="I28" s="933"/>
      <c r="J28" s="960"/>
      <c r="L28" s="961"/>
      <c r="M28" s="987"/>
      <c r="N28" s="987"/>
      <c r="Q28" s="997"/>
    </row>
    <row r="29" spans="1:19" ht="3" hidden="1" customHeight="1">
      <c r="A29" s="933"/>
      <c r="B29" s="933"/>
      <c r="C29" s="933"/>
      <c r="D29" s="933"/>
      <c r="E29" s="933"/>
      <c r="F29" s="933"/>
      <c r="G29" s="933"/>
      <c r="H29" s="947"/>
      <c r="I29" s="933"/>
      <c r="J29" s="972"/>
      <c r="L29" s="973"/>
      <c r="M29" s="985"/>
      <c r="Q29" s="997"/>
    </row>
    <row r="30" spans="1:19" ht="12.75" customHeight="1">
      <c r="A30" s="933"/>
      <c r="B30" s="933" t="s">
        <v>999</v>
      </c>
      <c r="C30" s="933"/>
      <c r="D30" s="933"/>
      <c r="E30" s="933"/>
      <c r="F30" s="933"/>
      <c r="G30" s="933"/>
      <c r="H30" s="947" t="e">
        <f>'P &amp; L'!#REF!</f>
        <v>#REF!</v>
      </c>
      <c r="I30" s="933"/>
      <c r="J30" s="972" t="e">
        <f>'P &amp; L'!#REF!</f>
        <v>#REF!</v>
      </c>
      <c r="L30" s="973"/>
      <c r="M30" s="985"/>
      <c r="Q30" s="997"/>
    </row>
    <row r="31" spans="1:19" ht="16.5" customHeight="1">
      <c r="A31" s="1368" t="s">
        <v>1000</v>
      </c>
      <c r="B31" s="933"/>
      <c r="C31" s="933"/>
      <c r="D31" s="933"/>
      <c r="E31" s="933"/>
      <c r="F31" s="933"/>
      <c r="G31" s="933"/>
      <c r="H31" s="942" t="e">
        <f>H26+H27+H30</f>
        <v>#REF!</v>
      </c>
      <c r="I31" s="933"/>
      <c r="J31" s="962" t="e">
        <f>J26+J27+J30</f>
        <v>#REF!</v>
      </c>
      <c r="L31" s="963"/>
      <c r="M31" s="985"/>
      <c r="N31" s="963"/>
      <c r="Q31" s="997"/>
    </row>
    <row r="32" spans="1:19" ht="7.5" customHeight="1">
      <c r="A32" s="933"/>
      <c r="B32" s="933"/>
      <c r="C32" s="933"/>
      <c r="D32" s="933"/>
      <c r="E32" s="933"/>
      <c r="F32" s="933"/>
      <c r="G32" s="933"/>
      <c r="H32" s="939"/>
      <c r="I32" s="933"/>
      <c r="J32" s="974"/>
      <c r="L32" s="957"/>
      <c r="M32" s="985"/>
      <c r="N32" s="985"/>
      <c r="Q32" s="997"/>
    </row>
    <row r="33" spans="1:17" ht="14.5">
      <c r="A33" s="929" t="s">
        <v>1001</v>
      </c>
      <c r="B33" s="933"/>
      <c r="C33" s="933"/>
      <c r="D33" s="933"/>
      <c r="E33" s="933"/>
      <c r="F33" s="933"/>
      <c r="G33" s="933"/>
      <c r="H33" s="947"/>
      <c r="I33" s="933"/>
      <c r="J33" s="972"/>
      <c r="L33" s="973"/>
      <c r="M33" s="985"/>
      <c r="N33" s="992"/>
      <c r="Q33" s="997"/>
    </row>
    <row r="34" spans="1:17" ht="14.5">
      <c r="A34" s="933"/>
      <c r="B34" s="933" t="s">
        <v>1002</v>
      </c>
      <c r="C34" s="933"/>
      <c r="D34" s="933"/>
      <c r="E34" s="933"/>
      <c r="F34" s="933"/>
      <c r="G34" s="933"/>
      <c r="H34" s="948">
        <f>-'FA-04'!L175</f>
        <v>-9147966</v>
      </c>
      <c r="I34" s="933"/>
      <c r="J34" s="975">
        <v>0</v>
      </c>
      <c r="L34" s="976"/>
      <c r="M34" s="985"/>
      <c r="N34" s="993"/>
      <c r="Q34" s="997"/>
    </row>
    <row r="35" spans="1:17" ht="5.25" customHeight="1">
      <c r="A35" s="933"/>
      <c r="B35" s="933"/>
      <c r="C35" s="933"/>
      <c r="D35" s="933"/>
      <c r="E35" s="933"/>
      <c r="F35" s="933"/>
      <c r="G35" s="933"/>
      <c r="H35" s="947"/>
      <c r="I35" s="933"/>
      <c r="J35" s="972"/>
      <c r="L35" s="973"/>
      <c r="M35" s="985"/>
      <c r="N35" s="993"/>
      <c r="Q35" s="997"/>
    </row>
    <row r="36" spans="1:17" ht="15" customHeight="1">
      <c r="A36" s="1368" t="s">
        <v>1003</v>
      </c>
      <c r="B36" s="933"/>
      <c r="C36" s="933"/>
      <c r="D36" s="933"/>
      <c r="E36" s="933"/>
      <c r="F36" s="933"/>
      <c r="G36" s="933"/>
      <c r="H36" s="947">
        <f>H34</f>
        <v>-9147966</v>
      </c>
      <c r="I36" s="933"/>
      <c r="J36" s="972">
        <f>J34</f>
        <v>0</v>
      </c>
      <c r="L36" s="973"/>
      <c r="M36" s="985"/>
      <c r="N36" s="973"/>
      <c r="Q36" s="997"/>
    </row>
    <row r="37" spans="1:17" ht="15" customHeight="1">
      <c r="A37" s="929"/>
      <c r="B37" s="935"/>
      <c r="C37" s="933"/>
      <c r="D37" s="933"/>
      <c r="E37" s="933"/>
      <c r="F37" s="933"/>
      <c r="G37" s="933"/>
      <c r="H37" s="947"/>
      <c r="I37" s="933"/>
      <c r="J37" s="972"/>
      <c r="L37" s="973"/>
      <c r="M37" s="985"/>
      <c r="N37" s="973"/>
      <c r="Q37" s="997"/>
    </row>
    <row r="38" spans="1:17" ht="13.5" customHeight="1">
      <c r="A38" s="929" t="s">
        <v>1004</v>
      </c>
      <c r="B38" s="933"/>
      <c r="C38" s="933"/>
      <c r="D38" s="933"/>
      <c r="E38" s="933"/>
      <c r="F38" s="933"/>
      <c r="G38" s="933"/>
      <c r="H38" s="933"/>
      <c r="I38" s="933"/>
      <c r="J38" s="933"/>
      <c r="L38" s="926"/>
      <c r="M38" s="987"/>
      <c r="N38" s="993"/>
      <c r="Q38" s="997"/>
    </row>
    <row r="39" spans="1:17" ht="13.5" customHeight="1">
      <c r="A39" s="933"/>
      <c r="B39" s="933" t="s">
        <v>1005</v>
      </c>
      <c r="C39" s="933"/>
      <c r="D39" s="933"/>
      <c r="E39" s="933"/>
      <c r="F39" s="933"/>
      <c r="G39" s="933"/>
      <c r="H39" s="947">
        <v>0</v>
      </c>
      <c r="I39" s="933"/>
      <c r="J39" s="972">
        <v>3000000</v>
      </c>
      <c r="L39" s="973"/>
      <c r="M39" s="987"/>
      <c r="N39" s="993"/>
      <c r="Q39" s="997"/>
    </row>
    <row r="40" spans="1:17" ht="15" customHeight="1">
      <c r="A40" s="933"/>
      <c r="B40" s="934" t="e">
        <f>SOFP!#REF!</f>
        <v>#REF!</v>
      </c>
      <c r="C40" s="933"/>
      <c r="D40" s="933"/>
      <c r="E40" s="933"/>
      <c r="F40" s="933"/>
      <c r="G40" s="933"/>
      <c r="H40" s="941" t="e">
        <f>SOFP!#REF!-SOFP!#REF!</f>
        <v>#REF!</v>
      </c>
      <c r="I40" s="933"/>
      <c r="J40" s="960">
        <v>0</v>
      </c>
      <c r="L40" s="961"/>
      <c r="M40" s="985"/>
      <c r="N40" s="961"/>
      <c r="Q40" s="997"/>
    </row>
    <row r="41" spans="1:17" ht="18" customHeight="1">
      <c r="A41" s="929" t="s">
        <v>1006</v>
      </c>
      <c r="B41" s="933"/>
      <c r="C41" s="933"/>
      <c r="D41" s="933"/>
      <c r="E41" s="933"/>
      <c r="F41" s="933"/>
      <c r="G41" s="933"/>
      <c r="H41" s="942" t="e">
        <f>H31+H36+H39+H40</f>
        <v>#REF!</v>
      </c>
      <c r="I41" s="933"/>
      <c r="J41" s="962" t="e">
        <f>J31+J36+J39+J40</f>
        <v>#REF!</v>
      </c>
      <c r="L41" s="963"/>
      <c r="M41" s="985"/>
      <c r="N41" s="963"/>
      <c r="Q41" s="997"/>
    </row>
    <row r="42" spans="1:17" ht="9" customHeight="1">
      <c r="A42" s="929"/>
      <c r="B42" s="933"/>
      <c r="C42" s="933"/>
      <c r="D42" s="933"/>
      <c r="E42" s="933"/>
      <c r="F42" s="933"/>
      <c r="G42" s="933"/>
      <c r="H42" s="940"/>
      <c r="I42" s="933"/>
      <c r="J42" s="958"/>
      <c r="L42" s="959"/>
      <c r="M42" s="985"/>
      <c r="N42" s="985"/>
      <c r="Q42" s="997"/>
    </row>
    <row r="43" spans="1:17" ht="14.5">
      <c r="A43" s="929" t="s">
        <v>1007</v>
      </c>
      <c r="B43" s="933"/>
      <c r="C43" s="933"/>
      <c r="D43" s="933"/>
      <c r="E43" s="933"/>
      <c r="F43" s="933"/>
      <c r="G43" s="933"/>
      <c r="H43" s="941" t="e">
        <f>J45</f>
        <v>#REF!</v>
      </c>
      <c r="I43" s="933"/>
      <c r="J43" s="960">
        <v>0</v>
      </c>
      <c r="L43" s="961"/>
      <c r="M43" s="987"/>
      <c r="N43" s="987"/>
      <c r="Q43" s="997"/>
    </row>
    <row r="44" spans="1:17" ht="7.5" customHeight="1">
      <c r="A44" s="929"/>
      <c r="B44" s="933"/>
      <c r="C44" s="933"/>
      <c r="D44" s="933"/>
      <c r="E44" s="933"/>
      <c r="F44" s="933"/>
      <c r="G44" s="933"/>
      <c r="H44" s="940"/>
      <c r="I44" s="933"/>
      <c r="J44" s="958"/>
      <c r="L44" s="959"/>
      <c r="M44" s="985"/>
      <c r="N44" s="985"/>
    </row>
    <row r="45" spans="1:17" ht="14.5">
      <c r="A45" s="929" t="s">
        <v>1008</v>
      </c>
      <c r="B45" s="933"/>
      <c r="C45" s="933"/>
      <c r="D45" s="933"/>
      <c r="E45" s="933"/>
      <c r="F45" s="933"/>
      <c r="G45" s="949">
        <f>NOTES!A215</f>
        <v>8</v>
      </c>
      <c r="H45" s="950" t="e">
        <f>H43+H369+H41</f>
        <v>#REF!</v>
      </c>
      <c r="I45" s="949"/>
      <c r="J45" s="977" t="e">
        <f>J43+J369+J41</f>
        <v>#REF!</v>
      </c>
      <c r="K45" s="978"/>
      <c r="L45" s="979"/>
      <c r="M45" s="985"/>
      <c r="N45" s="979"/>
      <c r="O45" s="994"/>
    </row>
    <row r="46" spans="1:17" ht="14.5">
      <c r="A46" s="933"/>
      <c r="B46" s="933"/>
      <c r="C46" s="933"/>
      <c r="D46" s="933"/>
      <c r="E46" s="933"/>
      <c r="F46" s="933"/>
      <c r="G46" s="933"/>
      <c r="H46" s="940"/>
      <c r="I46" s="933"/>
      <c r="J46" s="940"/>
      <c r="L46" s="959"/>
      <c r="M46" s="985"/>
      <c r="N46" s="985"/>
      <c r="O46" s="995"/>
    </row>
    <row r="47" spans="1:17" ht="14.5">
      <c r="A47" s="1367" t="str">
        <f>+'P &amp; L'!A33</f>
        <v>The annexed notes form an integral part of these financial statements.</v>
      </c>
      <c r="B47" s="933"/>
      <c r="C47" s="933"/>
      <c r="D47" s="933"/>
      <c r="E47" s="933"/>
      <c r="F47" s="933"/>
      <c r="G47" s="933"/>
      <c r="H47" s="940"/>
      <c r="I47" s="933"/>
      <c r="J47" s="940"/>
      <c r="L47" s="959"/>
      <c r="M47" s="985"/>
      <c r="N47" s="985"/>
    </row>
    <row r="48" spans="1:17" ht="14.5">
      <c r="A48" s="935"/>
      <c r="B48" s="933"/>
      <c r="C48" s="933"/>
      <c r="D48" s="933"/>
      <c r="E48" s="933"/>
      <c r="F48" s="933"/>
      <c r="G48" s="933"/>
      <c r="H48" s="933"/>
      <c r="I48" s="933"/>
      <c r="J48" s="933"/>
      <c r="L48" s="980"/>
      <c r="M48" s="985"/>
      <c r="N48" s="985"/>
    </row>
    <row r="49" spans="1:14" ht="14.5">
      <c r="A49" s="935"/>
      <c r="B49" s="933"/>
      <c r="C49" s="933"/>
      <c r="D49" s="933"/>
      <c r="E49" s="933"/>
      <c r="F49" s="933"/>
      <c r="G49" s="933"/>
      <c r="H49" s="933"/>
      <c r="I49" s="933"/>
      <c r="J49" s="933"/>
      <c r="L49" s="980"/>
      <c r="M49" s="985"/>
      <c r="N49" s="985"/>
    </row>
    <row r="50" spans="1:14" ht="14.5">
      <c r="A50" s="935"/>
      <c r="B50" s="933"/>
      <c r="C50" s="933"/>
      <c r="D50" s="933"/>
      <c r="E50" s="933"/>
      <c r="F50" s="933"/>
      <c r="G50" s="933"/>
      <c r="H50" s="933"/>
      <c r="I50" s="933"/>
      <c r="J50" s="933"/>
      <c r="L50" s="980"/>
      <c r="M50" s="985"/>
      <c r="N50" s="985"/>
    </row>
    <row r="51" spans="1:14" ht="14.5">
      <c r="A51" s="935"/>
      <c r="B51" s="933"/>
      <c r="C51" s="933"/>
      <c r="D51" s="933"/>
      <c r="E51" s="933"/>
      <c r="F51" s="933"/>
      <c r="G51" s="933"/>
      <c r="H51" s="933"/>
      <c r="I51" s="933"/>
      <c r="J51" s="933"/>
      <c r="L51" s="980"/>
      <c r="M51" s="985"/>
      <c r="N51" s="985"/>
    </row>
    <row r="52" spans="1:14" ht="14.5">
      <c r="A52" s="933"/>
      <c r="B52" s="933"/>
      <c r="C52" s="933"/>
      <c r="D52" s="933"/>
      <c r="E52" s="933"/>
      <c r="F52" s="933"/>
      <c r="G52" s="933"/>
      <c r="H52" s="933"/>
      <c r="I52" s="933"/>
      <c r="J52" s="933"/>
      <c r="L52" s="980"/>
      <c r="M52" s="985"/>
      <c r="N52" s="985"/>
    </row>
    <row r="53" spans="1:14" ht="14.5">
      <c r="A53" s="933"/>
      <c r="B53" s="933" t="e">
        <f>#REF!</f>
        <v>#REF!</v>
      </c>
      <c r="C53" s="933"/>
      <c r="D53" s="933"/>
      <c r="E53" s="933"/>
      <c r="F53" s="933"/>
      <c r="G53" s="933"/>
      <c r="H53" s="933"/>
      <c r="I53" s="933"/>
      <c r="J53" s="933" t="e">
        <f>#REF!</f>
        <v>#REF!</v>
      </c>
    </row>
    <row r="54" spans="1:14" ht="14.5">
      <c r="A54" s="929"/>
      <c r="B54" s="929" t="e">
        <f>#REF!</f>
        <v>#REF!</v>
      </c>
      <c r="C54" s="929"/>
      <c r="D54" s="929"/>
      <c r="E54" s="929"/>
      <c r="F54" s="933"/>
      <c r="G54" s="929"/>
      <c r="H54" s="929"/>
      <c r="I54" s="929"/>
      <c r="J54" s="949" t="e">
        <f>#REF!</f>
        <v>#REF!</v>
      </c>
      <c r="K54" s="936"/>
    </row>
    <row r="55" spans="1:14">
      <c r="A55" s="936" t="s">
        <v>1009</v>
      </c>
      <c r="H55" s="927">
        <f>SOFP!H23</f>
        <v>13746153</v>
      </c>
      <c r="J55" s="927">
        <f>SOFP!J23</f>
        <v>11608328</v>
      </c>
    </row>
    <row r="56" spans="1:14">
      <c r="A56" s="936" t="s">
        <v>1010</v>
      </c>
      <c r="H56" s="951" t="e">
        <f>H45-H55</f>
        <v>#REF!</v>
      </c>
      <c r="J56" s="951" t="e">
        <f>J45-J55</f>
        <v>#REF!</v>
      </c>
      <c r="K56" s="981"/>
      <c r="L56" s="951"/>
    </row>
    <row r="243" ht="10" customHeight="1"/>
    <row r="245" ht="12" customHeight="1"/>
    <row r="370" ht="15" customHeight="1"/>
  </sheetData>
  <printOptions horizontalCentered="1"/>
  <pageMargins left="0.3" right="0.2" top="0.35" bottom="0.2" header="0.511811023622047" footer="0.17"/>
  <pageSetup fitToHeight="0"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tabColor rgb="FF00B0F0"/>
    <pageSetUpPr fitToPage="1"/>
  </sheetPr>
  <dimension ref="A1:T385"/>
  <sheetViews>
    <sheetView showGridLines="0" view="pageBreakPreview" zoomScaleNormal="100" workbookViewId="0">
      <selection activeCell="J14" sqref="J14"/>
    </sheetView>
  </sheetViews>
  <sheetFormatPr defaultColWidth="9.1796875" defaultRowHeight="13"/>
  <cols>
    <col min="1" max="1" width="2.81640625" style="525" customWidth="1"/>
    <col min="2" max="4" width="9.1796875" style="525"/>
    <col min="5" max="5" width="11.453125" style="525" customWidth="1"/>
    <col min="6" max="6" width="9.1796875" style="525" customWidth="1"/>
    <col min="7" max="7" width="8.453125" style="525" customWidth="1"/>
    <col min="8" max="8" width="7.54296875" style="525" customWidth="1"/>
    <col min="9" max="9" width="1.453125" style="525" customWidth="1"/>
    <col min="10" max="10" width="14.81640625" style="525" customWidth="1"/>
    <col min="11" max="11" width="1.453125" style="525" customWidth="1"/>
    <col min="12" max="12" width="14.81640625" style="525" customWidth="1"/>
    <col min="13" max="13" width="1.1796875" style="525" customWidth="1"/>
    <col min="14" max="14" width="14.81640625" style="525" customWidth="1"/>
    <col min="15" max="15" width="48.1796875" style="525" customWidth="1"/>
    <col min="16" max="16" width="18.54296875" style="525" customWidth="1"/>
    <col min="17" max="17" width="1.453125" style="525" customWidth="1"/>
    <col min="18" max="18" width="18.54296875" style="525" customWidth="1"/>
    <col min="19" max="16384" width="9.1796875" style="525"/>
  </cols>
  <sheetData>
    <row r="1" spans="1:20" ht="19" customHeight="1">
      <c r="A1" s="890" t="str">
        <f>SOFP!A1</f>
        <v>AIMAL KHAN TRADERS</v>
      </c>
      <c r="B1" s="891"/>
      <c r="C1" s="891"/>
      <c r="D1" s="891"/>
      <c r="E1" s="891"/>
      <c r="F1" s="891"/>
      <c r="G1" s="891"/>
      <c r="H1" s="891"/>
      <c r="I1" s="891"/>
      <c r="J1" s="891"/>
      <c r="K1" s="891"/>
      <c r="L1" s="891"/>
      <c r="M1" s="891"/>
      <c r="N1" s="891"/>
      <c r="O1" s="891"/>
      <c r="P1" s="891"/>
      <c r="Q1" s="529"/>
      <c r="R1" s="891"/>
    </row>
    <row r="2" spans="1:20" ht="19" customHeight="1">
      <c r="A2" s="890" t="s">
        <v>1011</v>
      </c>
      <c r="B2" s="891"/>
      <c r="C2" s="891"/>
      <c r="D2" s="891"/>
      <c r="E2" s="898"/>
      <c r="F2" s="898"/>
      <c r="G2" s="898"/>
      <c r="H2" s="898"/>
      <c r="I2" s="898"/>
      <c r="J2" s="898"/>
      <c r="K2" s="898"/>
      <c r="L2" s="898"/>
      <c r="M2" s="898"/>
      <c r="N2" s="898"/>
      <c r="O2" s="915"/>
      <c r="P2" s="915"/>
      <c r="Q2" s="921"/>
      <c r="R2" s="915"/>
      <c r="S2" s="620"/>
    </row>
    <row r="3" spans="1:20" ht="19" customHeight="1">
      <c r="A3" s="892" t="str">
        <f>Win!A16</f>
        <v>FOR THE YEAR ENDED DECEMBER 31, 2025</v>
      </c>
      <c r="B3" s="893"/>
      <c r="C3" s="893"/>
      <c r="D3" s="893"/>
      <c r="E3" s="893"/>
      <c r="F3" s="893"/>
      <c r="G3" s="893"/>
      <c r="H3" s="893"/>
      <c r="I3" s="893"/>
      <c r="J3" s="893"/>
      <c r="K3" s="893"/>
      <c r="L3" s="893"/>
      <c r="M3" s="893"/>
      <c r="N3" s="893"/>
      <c r="O3" s="654"/>
      <c r="P3" s="654"/>
      <c r="Q3" s="620"/>
      <c r="R3" s="654"/>
      <c r="S3" s="620"/>
    </row>
    <row r="4" spans="1:20" ht="15" customHeight="1">
      <c r="A4" s="657"/>
      <c r="B4" s="657"/>
      <c r="C4" s="657"/>
      <c r="D4" s="657"/>
      <c r="E4" s="657"/>
      <c r="F4" s="657"/>
      <c r="G4" s="657"/>
      <c r="H4" s="657"/>
      <c r="I4" s="657"/>
      <c r="J4" s="657"/>
      <c r="K4" s="657"/>
      <c r="L4" s="657"/>
      <c r="M4" s="657"/>
      <c r="N4" s="657"/>
      <c r="O4" s="654"/>
      <c r="P4" s="654"/>
      <c r="Q4" s="620"/>
      <c r="R4" s="654"/>
      <c r="S4" s="620"/>
    </row>
    <row r="5" spans="1:20" ht="15" customHeight="1">
      <c r="A5" s="657"/>
      <c r="B5" s="657"/>
      <c r="C5" s="657"/>
      <c r="D5" s="657"/>
      <c r="E5" s="657"/>
      <c r="F5" s="657"/>
      <c r="G5" s="657"/>
      <c r="H5" s="657"/>
      <c r="I5" s="657"/>
      <c r="J5" s="602">
        <v>2025</v>
      </c>
      <c r="K5" s="657"/>
      <c r="L5" s="602">
        <v>2024</v>
      </c>
      <c r="M5" s="901"/>
      <c r="N5" s="602">
        <f>SOFP!H5</f>
        <v>2023</v>
      </c>
      <c r="O5" s="654"/>
      <c r="P5" s="901"/>
      <c r="Q5" s="620"/>
      <c r="R5" s="901"/>
      <c r="S5" s="620"/>
      <c r="T5" s="620"/>
    </row>
    <row r="6" spans="1:20" ht="15" customHeight="1">
      <c r="A6" s="657"/>
      <c r="B6" s="657"/>
      <c r="C6" s="657"/>
      <c r="D6" s="657"/>
      <c r="E6" s="657"/>
      <c r="F6" s="657"/>
      <c r="G6" s="657"/>
      <c r="H6" s="899" t="s">
        <v>956</v>
      </c>
      <c r="I6" s="899"/>
      <c r="J6" s="901" t="s">
        <v>957</v>
      </c>
      <c r="K6" s="899"/>
      <c r="L6" s="901" t="s">
        <v>957</v>
      </c>
      <c r="M6" s="901"/>
      <c r="N6" s="901" t="s">
        <v>957</v>
      </c>
      <c r="O6" s="901"/>
      <c r="P6" s="901"/>
      <c r="Q6" s="615"/>
      <c r="R6" s="901"/>
      <c r="S6" s="620"/>
      <c r="T6" s="620"/>
    </row>
    <row r="7" spans="1:20" ht="15" customHeight="1">
      <c r="A7" s="657"/>
      <c r="B7" s="657"/>
      <c r="C7" s="657"/>
      <c r="D7" s="657"/>
      <c r="E7" s="657"/>
      <c r="F7" s="657"/>
      <c r="G7" s="657"/>
      <c r="H7" s="900"/>
      <c r="I7" s="900"/>
      <c r="J7" s="900"/>
      <c r="K7" s="900"/>
      <c r="L7" s="900"/>
      <c r="M7" s="916"/>
      <c r="N7" s="900"/>
      <c r="O7" s="916"/>
      <c r="P7" s="916"/>
      <c r="Q7" s="626"/>
      <c r="R7" s="916"/>
      <c r="S7" s="620"/>
      <c r="T7" s="620"/>
    </row>
    <row r="8" spans="1:20" ht="15" customHeight="1">
      <c r="A8" s="1381" t="s">
        <v>1012</v>
      </c>
      <c r="B8" s="891"/>
      <c r="C8" s="657"/>
      <c r="D8" s="657"/>
      <c r="E8" s="657"/>
      <c r="F8" s="657"/>
      <c r="G8" s="657"/>
      <c r="H8" s="899">
        <v>12</v>
      </c>
      <c r="I8" s="900"/>
      <c r="J8" s="891">
        <f>NOTES!L282</f>
        <v>824458687.28327894</v>
      </c>
      <c r="K8" s="900"/>
      <c r="L8" s="891">
        <f>NOTES!N282</f>
        <v>732164323</v>
      </c>
      <c r="M8" s="891"/>
      <c r="N8" s="891">
        <f>NOTES!P282</f>
        <v>650201889</v>
      </c>
      <c r="O8" s="916"/>
      <c r="P8" s="654"/>
      <c r="Q8" s="626"/>
      <c r="R8" s="654"/>
      <c r="S8" s="620"/>
      <c r="T8" s="620"/>
    </row>
    <row r="9" spans="1:20">
      <c r="A9" s="657" t="s">
        <v>1013</v>
      </c>
      <c r="B9" s="657"/>
      <c r="C9" s="657"/>
      <c r="D9" s="657"/>
      <c r="E9" s="657"/>
      <c r="F9" s="657"/>
      <c r="G9" s="657"/>
      <c r="H9" s="899">
        <v>13</v>
      </c>
      <c r="I9" s="900"/>
      <c r="J9" s="902">
        <f>-NOTES!L302</f>
        <v>-671752846.85859096</v>
      </c>
      <c r="K9" s="900"/>
      <c r="L9" s="902">
        <f>-NOTES!N302</f>
        <v>-613362973.67999995</v>
      </c>
      <c r="M9" s="908"/>
      <c r="N9" s="902">
        <f>-NOTES!P302</f>
        <v>-545118808</v>
      </c>
      <c r="O9" s="916"/>
      <c r="P9" s="654"/>
      <c r="Q9" s="626"/>
      <c r="R9" s="654"/>
      <c r="S9" s="620"/>
      <c r="T9" s="620"/>
    </row>
    <row r="10" spans="1:20" ht="16" customHeight="1">
      <c r="A10" s="891" t="s">
        <v>1014</v>
      </c>
      <c r="B10" s="657"/>
      <c r="C10" s="657"/>
      <c r="D10" s="657"/>
      <c r="E10" s="657"/>
      <c r="F10" s="657"/>
      <c r="G10" s="657"/>
      <c r="H10" s="899"/>
      <c r="I10" s="900"/>
      <c r="J10" s="903">
        <f>SUM(J8:J9)</f>
        <v>152705840.42468801</v>
      </c>
      <c r="K10" s="900"/>
      <c r="L10" s="903">
        <f>SUM(L8:L9)</f>
        <v>118801349.31999999</v>
      </c>
      <c r="M10" s="891"/>
      <c r="N10" s="903">
        <f>SUM(N8:N9)</f>
        <v>105083081</v>
      </c>
      <c r="O10" s="916"/>
      <c r="P10" s="654"/>
      <c r="Q10" s="626"/>
      <c r="R10" s="654"/>
      <c r="S10" s="620"/>
      <c r="T10" s="620"/>
    </row>
    <row r="11" spans="1:20">
      <c r="A11" s="891"/>
      <c r="B11" s="657"/>
      <c r="C11" s="657"/>
      <c r="D11" s="657"/>
      <c r="E11" s="657"/>
      <c r="F11" s="657"/>
      <c r="G11" s="657"/>
      <c r="H11" s="899"/>
      <c r="I11" s="900"/>
      <c r="J11" s="904"/>
      <c r="K11" s="900"/>
      <c r="L11" s="904"/>
      <c r="M11" s="891"/>
      <c r="N11" s="904"/>
      <c r="O11" s="916"/>
      <c r="P11" s="654"/>
      <c r="Q11" s="626"/>
      <c r="R11" s="654"/>
      <c r="S11" s="620"/>
      <c r="T11" s="620"/>
    </row>
    <row r="12" spans="1:20">
      <c r="A12" s="891" t="s">
        <v>741</v>
      </c>
      <c r="B12" s="657"/>
      <c r="C12" s="657"/>
      <c r="D12" s="657"/>
      <c r="E12" s="657"/>
      <c r="F12" s="657"/>
      <c r="G12" s="657"/>
      <c r="H12" s="899"/>
      <c r="I12" s="900"/>
      <c r="J12" s="904"/>
      <c r="K12" s="900"/>
      <c r="L12" s="904"/>
      <c r="M12" s="891"/>
      <c r="N12" s="904"/>
      <c r="O12" s="916"/>
      <c r="P12" s="654"/>
      <c r="Q12" s="626"/>
      <c r="R12" s="654"/>
      <c r="S12" s="620"/>
      <c r="T12" s="620"/>
    </row>
    <row r="13" spans="1:20" ht="16" customHeight="1">
      <c r="A13" s="657" t="s">
        <v>1015</v>
      </c>
      <c r="B13" s="657"/>
      <c r="C13" s="657"/>
      <c r="D13" s="657"/>
      <c r="E13" s="657"/>
      <c r="F13" s="657"/>
      <c r="G13" s="657"/>
      <c r="H13" s="899">
        <v>14</v>
      </c>
      <c r="I13" s="900"/>
      <c r="J13" s="905">
        <f>NOTES!L318</f>
        <v>32608623.60164459</v>
      </c>
      <c r="K13" s="900"/>
      <c r="L13" s="905">
        <f>NOTES!N318</f>
        <v>30396588.920000002</v>
      </c>
      <c r="M13" s="891"/>
      <c r="N13" s="905">
        <f>NOTES!P318</f>
        <v>28312246</v>
      </c>
      <c r="O13" s="916"/>
      <c r="P13" s="654"/>
      <c r="Q13" s="626"/>
      <c r="R13" s="654"/>
      <c r="S13" s="620"/>
      <c r="T13" s="620"/>
    </row>
    <row r="14" spans="1:20" ht="16" customHeight="1">
      <c r="A14" s="525" t="s">
        <v>991</v>
      </c>
      <c r="B14" s="657"/>
      <c r="C14" s="657"/>
      <c r="D14" s="657"/>
      <c r="E14" s="657"/>
      <c r="F14" s="657"/>
      <c r="G14" s="657"/>
      <c r="H14" s="899">
        <v>15</v>
      </c>
      <c r="I14" s="900"/>
      <c r="J14" s="906">
        <f>NOTES!L337</f>
        <v>1327944.7</v>
      </c>
      <c r="K14" s="900"/>
      <c r="L14" s="906">
        <f>NOTES!N337</f>
        <v>1061840.31</v>
      </c>
      <c r="M14" s="908"/>
      <c r="N14" s="906">
        <f>NOTES!P337</f>
        <v>8700</v>
      </c>
      <c r="O14" s="916"/>
      <c r="P14" s="654"/>
      <c r="Q14" s="626"/>
      <c r="R14" s="654"/>
      <c r="S14" s="620"/>
      <c r="T14" s="620"/>
    </row>
    <row r="15" spans="1:20" ht="15" customHeight="1">
      <c r="A15" s="891"/>
      <c r="B15" s="657"/>
      <c r="C15" s="657"/>
      <c r="D15" s="657"/>
      <c r="E15" s="657"/>
      <c r="F15" s="657"/>
      <c r="G15" s="657"/>
      <c r="H15" s="899"/>
      <c r="I15" s="657"/>
      <c r="J15" s="907">
        <f>SUM(J13:J14)</f>
        <v>33936568.301644593</v>
      </c>
      <c r="K15" s="657"/>
      <c r="L15" s="907">
        <f>SUM(L13:L14)</f>
        <v>31458429.23</v>
      </c>
      <c r="M15" s="908"/>
      <c r="N15" s="907">
        <f>SUM(N13:N14)</f>
        <v>28320946</v>
      </c>
      <c r="O15" s="654"/>
      <c r="P15" s="911"/>
      <c r="Q15" s="620"/>
      <c r="R15" s="911"/>
      <c r="S15" s="620"/>
      <c r="T15" s="620"/>
    </row>
    <row r="16" spans="1:20" ht="15" customHeight="1">
      <c r="A16" s="891" t="s">
        <v>1016</v>
      </c>
      <c r="B16" s="657"/>
      <c r="C16" s="657"/>
      <c r="D16" s="657"/>
      <c r="E16" s="657"/>
      <c r="F16" s="657"/>
      <c r="G16" s="657"/>
      <c r="H16" s="899"/>
      <c r="I16" s="657"/>
      <c r="J16" s="908">
        <f>+J10-J15</f>
        <v>118769272.12304342</v>
      </c>
      <c r="K16" s="657"/>
      <c r="L16" s="908">
        <f>+L10-L15</f>
        <v>87342920.090000004</v>
      </c>
      <c r="M16" s="908"/>
      <c r="N16" s="908">
        <f>+N10-N15</f>
        <v>76762135</v>
      </c>
      <c r="O16" s="654"/>
      <c r="P16" s="911"/>
      <c r="Q16" s="620"/>
      <c r="R16" s="911"/>
      <c r="S16" s="620"/>
      <c r="T16" s="620"/>
    </row>
    <row r="17" spans="1:20" ht="15" customHeight="1">
      <c r="A17" s="891"/>
      <c r="B17" s="657"/>
      <c r="C17" s="657"/>
      <c r="D17" s="657"/>
      <c r="E17" s="657"/>
      <c r="F17" s="657"/>
      <c r="G17" s="657"/>
      <c r="H17" s="899"/>
      <c r="I17" s="657"/>
      <c r="J17" s="908"/>
      <c r="K17" s="657"/>
      <c r="L17" s="908"/>
      <c r="M17" s="908"/>
      <c r="N17" s="908"/>
      <c r="O17" s="654"/>
      <c r="P17" s="911"/>
      <c r="Q17" s="620"/>
      <c r="R17" s="911"/>
      <c r="S17" s="620"/>
      <c r="T17" s="620"/>
    </row>
    <row r="18" spans="1:20" ht="15" customHeight="1">
      <c r="A18" s="657" t="s">
        <v>1017</v>
      </c>
      <c r="B18" s="657"/>
      <c r="C18" s="657"/>
      <c r="D18" s="657"/>
      <c r="E18" s="657"/>
      <c r="F18" s="657"/>
      <c r="G18" s="657"/>
      <c r="H18" s="899"/>
      <c r="I18" s="657"/>
      <c r="J18" s="891">
        <v>0</v>
      </c>
      <c r="K18" s="657"/>
      <c r="L18" s="891">
        <v>0</v>
      </c>
      <c r="M18" s="891"/>
      <c r="N18" s="891">
        <v>0</v>
      </c>
      <c r="O18" s="654"/>
      <c r="P18" s="911"/>
      <c r="Q18" s="620"/>
      <c r="R18" s="911"/>
      <c r="S18" s="620"/>
      <c r="T18" s="620"/>
    </row>
    <row r="19" spans="1:20" ht="15" customHeight="1">
      <c r="A19" s="891" t="s">
        <v>1018</v>
      </c>
      <c r="B19" s="891"/>
      <c r="C19" s="657"/>
      <c r="D19" s="657"/>
      <c r="E19" s="657"/>
      <c r="F19" s="657"/>
      <c r="G19" s="657"/>
      <c r="H19" s="891"/>
      <c r="I19" s="657"/>
      <c r="J19" s="903">
        <f>+J16+J18</f>
        <v>118769272.12304342</v>
      </c>
      <c r="K19" s="657"/>
      <c r="L19" s="903">
        <f>+L16+L18</f>
        <v>87342920.090000004</v>
      </c>
      <c r="M19" s="891"/>
      <c r="N19" s="903">
        <f>+N16+N18</f>
        <v>76762135</v>
      </c>
      <c r="O19" s="654"/>
      <c r="P19" s="911"/>
      <c r="Q19" s="620"/>
      <c r="R19" s="911"/>
      <c r="S19" s="620"/>
      <c r="T19" s="620"/>
    </row>
    <row r="20" spans="1:20" ht="3.75" customHeight="1">
      <c r="A20" s="891"/>
      <c r="B20" s="891"/>
      <c r="C20" s="657"/>
      <c r="D20" s="657"/>
      <c r="E20" s="657"/>
      <c r="F20" s="657"/>
      <c r="G20" s="657"/>
      <c r="H20" s="891"/>
      <c r="I20" s="657"/>
      <c r="J20" s="909"/>
      <c r="K20" s="657"/>
      <c r="L20" s="909"/>
      <c r="M20" s="911"/>
      <c r="N20" s="909"/>
      <c r="O20" s="654"/>
      <c r="P20" s="911"/>
      <c r="Q20" s="620"/>
      <c r="R20" s="911"/>
      <c r="S20" s="620"/>
      <c r="T20" s="620"/>
    </row>
    <row r="21" spans="1:20" ht="15" customHeight="1">
      <c r="A21" s="891" t="s">
        <v>1019</v>
      </c>
      <c r="B21" s="891"/>
      <c r="C21" s="657"/>
      <c r="D21" s="657"/>
      <c r="E21" s="657"/>
      <c r="F21" s="657"/>
      <c r="G21" s="657"/>
      <c r="H21" s="899"/>
      <c r="I21" s="657"/>
      <c r="J21" s="910">
        <f>J19*0.13</f>
        <v>15440005.375995645</v>
      </c>
      <c r="K21" s="657"/>
      <c r="L21" s="910">
        <v>10982465</v>
      </c>
      <c r="M21" s="908"/>
      <c r="N21" s="910">
        <v>9753028</v>
      </c>
      <c r="O21" s="917"/>
      <c r="P21" s="918"/>
      <c r="Q21" s="620"/>
      <c r="R21" s="911"/>
      <c r="S21" s="620"/>
      <c r="T21" s="620"/>
    </row>
    <row r="22" spans="1:20" ht="20.149999999999999" hidden="1" customHeight="1">
      <c r="A22" s="894"/>
      <c r="B22" s="657"/>
      <c r="C22" s="657"/>
      <c r="D22" s="657"/>
      <c r="E22" s="657"/>
      <c r="F22" s="657"/>
      <c r="G22" s="657"/>
      <c r="H22" s="891"/>
      <c r="I22" s="657"/>
      <c r="J22" s="908">
        <v>0</v>
      </c>
      <c r="K22" s="657"/>
      <c r="L22" s="908">
        <v>0</v>
      </c>
      <c r="M22" s="908"/>
      <c r="N22" s="908">
        <v>0</v>
      </c>
      <c r="O22" s="654"/>
      <c r="P22" s="911"/>
      <c r="Q22" s="620"/>
      <c r="R22" s="911"/>
      <c r="S22" s="620"/>
      <c r="T22" s="620"/>
    </row>
    <row r="23" spans="1:20" ht="20.149999999999999" hidden="1" customHeight="1">
      <c r="A23" s="894"/>
      <c r="B23" s="657"/>
      <c r="C23" s="657"/>
      <c r="D23" s="657"/>
      <c r="E23" s="657"/>
      <c r="F23" s="657"/>
      <c r="G23" s="657"/>
      <c r="H23" s="891"/>
      <c r="I23" s="657"/>
      <c r="J23" s="908" t="e">
        <f>'Adj entry 19'!#REF!</f>
        <v>#REF!</v>
      </c>
      <c r="K23" s="657"/>
      <c r="L23" s="908" t="e">
        <f>'Adj entry 19'!#REF!</f>
        <v>#REF!</v>
      </c>
      <c r="M23" s="908"/>
      <c r="N23" s="908" t="e">
        <f>'Adj entry 19'!#REF!</f>
        <v>#REF!</v>
      </c>
      <c r="O23" s="654"/>
      <c r="P23" s="911"/>
      <c r="Q23" s="620"/>
      <c r="R23" s="911"/>
      <c r="S23" s="620"/>
      <c r="T23" s="620"/>
    </row>
    <row r="24" spans="1:20" ht="20.149999999999999" hidden="1" customHeight="1">
      <c r="A24" s="894"/>
      <c r="B24" s="657"/>
      <c r="C24" s="657"/>
      <c r="D24" s="657"/>
      <c r="E24" s="657"/>
      <c r="F24" s="657"/>
      <c r="G24" s="657"/>
      <c r="H24" s="891"/>
      <c r="I24" s="657"/>
      <c r="J24" s="908">
        <v>0</v>
      </c>
      <c r="K24" s="657"/>
      <c r="L24" s="908">
        <v>0</v>
      </c>
      <c r="M24" s="908"/>
      <c r="N24" s="908">
        <v>0</v>
      </c>
      <c r="O24" s="654"/>
      <c r="P24" s="911"/>
      <c r="Q24" s="620"/>
      <c r="R24" s="911"/>
      <c r="S24" s="620"/>
      <c r="T24" s="620"/>
    </row>
    <row r="25" spans="1:20" ht="20.25" hidden="1" customHeight="1">
      <c r="A25" s="891"/>
      <c r="B25" s="891"/>
      <c r="C25" s="657"/>
      <c r="D25" s="657"/>
      <c r="E25" s="657"/>
      <c r="F25" s="657"/>
      <c r="G25" s="657"/>
      <c r="H25" s="891"/>
      <c r="I25" s="657"/>
      <c r="J25" s="908" t="e">
        <f>SUM(J22:J24)</f>
        <v>#REF!</v>
      </c>
      <c r="K25" s="657"/>
      <c r="L25" s="908" t="e">
        <f>SUM(L22:L24)</f>
        <v>#REF!</v>
      </c>
      <c r="M25" s="908"/>
      <c r="N25" s="908" t="e">
        <f>SUM(N22:N24)</f>
        <v>#REF!</v>
      </c>
      <c r="O25" s="654"/>
      <c r="P25" s="911"/>
      <c r="Q25" s="620"/>
      <c r="R25" s="911"/>
      <c r="S25" s="620"/>
      <c r="T25" s="620"/>
    </row>
    <row r="26" spans="1:20" ht="3.75" customHeight="1">
      <c r="A26" s="891"/>
      <c r="B26" s="891"/>
      <c r="C26" s="657"/>
      <c r="D26" s="657"/>
      <c r="E26" s="657"/>
      <c r="F26" s="657"/>
      <c r="G26" s="657"/>
      <c r="H26" s="891"/>
      <c r="I26" s="657"/>
      <c r="J26" s="911"/>
      <c r="K26" s="657"/>
      <c r="L26" s="911"/>
      <c r="M26" s="911"/>
      <c r="N26" s="911"/>
      <c r="O26" s="654"/>
      <c r="P26" s="911"/>
      <c r="Q26" s="620"/>
      <c r="R26" s="911"/>
      <c r="S26" s="620"/>
      <c r="T26" s="620"/>
    </row>
    <row r="27" spans="1:20" ht="21" customHeight="1">
      <c r="A27" s="891" t="s">
        <v>1020</v>
      </c>
      <c r="B27" s="895"/>
      <c r="C27" s="896"/>
      <c r="D27" s="896"/>
      <c r="E27" s="896"/>
      <c r="F27" s="896"/>
      <c r="G27" s="896"/>
      <c r="H27" s="895"/>
      <c r="I27" s="896"/>
      <c r="J27" s="912">
        <f>J19-J21</f>
        <v>103329266.74704777</v>
      </c>
      <c r="K27" s="896"/>
      <c r="L27" s="912">
        <f>L19-L21</f>
        <v>76360455.090000004</v>
      </c>
      <c r="M27" s="913"/>
      <c r="N27" s="912">
        <f>N19-N21</f>
        <v>67009107</v>
      </c>
      <c r="O27" s="919"/>
      <c r="P27" s="920"/>
      <c r="Q27" s="922"/>
      <c r="R27" s="920"/>
      <c r="S27" s="620"/>
      <c r="T27" s="620"/>
    </row>
    <row r="28" spans="1:20" ht="5.15" customHeight="1">
      <c r="A28" s="891"/>
      <c r="B28" s="895"/>
      <c r="C28" s="896"/>
      <c r="D28" s="896"/>
      <c r="E28" s="896"/>
      <c r="F28" s="896"/>
      <c r="G28" s="896"/>
      <c r="H28" s="895"/>
      <c r="I28" s="896"/>
      <c r="J28" s="896"/>
      <c r="K28" s="896"/>
      <c r="L28" s="913"/>
      <c r="M28" s="913"/>
      <c r="N28" s="913"/>
      <c r="O28" s="919"/>
      <c r="P28" s="920"/>
      <c r="Q28" s="922"/>
      <c r="R28" s="920"/>
      <c r="S28" s="620"/>
      <c r="T28" s="620"/>
    </row>
    <row r="29" spans="1:20" ht="5.15" customHeight="1">
      <c r="A29" s="891"/>
      <c r="B29" s="895"/>
      <c r="C29" s="896"/>
      <c r="D29" s="896"/>
      <c r="E29" s="896"/>
      <c r="F29" s="896"/>
      <c r="G29" s="896"/>
      <c r="H29" s="895"/>
      <c r="I29" s="896"/>
      <c r="J29" s="896"/>
      <c r="K29" s="896"/>
      <c r="L29" s="913"/>
      <c r="M29" s="913"/>
      <c r="N29" s="913"/>
      <c r="O29" s="919"/>
      <c r="P29" s="920"/>
      <c r="Q29" s="922"/>
      <c r="R29" s="920"/>
      <c r="S29" s="620"/>
      <c r="T29" s="620"/>
    </row>
    <row r="30" spans="1:20" ht="15" hidden="1" customHeight="1">
      <c r="A30" s="891" t="s">
        <v>1021</v>
      </c>
      <c r="B30" s="657"/>
      <c r="C30" s="657"/>
      <c r="D30" s="657"/>
      <c r="E30" s="657"/>
      <c r="F30" s="657"/>
      <c r="G30" s="657"/>
      <c r="H30" s="899"/>
      <c r="I30" s="899"/>
      <c r="J30" s="899"/>
      <c r="K30" s="899"/>
      <c r="L30" s="900"/>
      <c r="M30" s="916"/>
      <c r="N30" s="900"/>
      <c r="O30" s="901"/>
      <c r="P30" s="916"/>
      <c r="Q30" s="615"/>
      <c r="R30" s="916"/>
      <c r="S30" s="620"/>
      <c r="T30" s="620"/>
    </row>
    <row r="31" spans="1:20" ht="18.75" hidden="1" customHeight="1">
      <c r="A31" s="657"/>
      <c r="B31" s="891" t="s">
        <v>1022</v>
      </c>
      <c r="C31" s="657"/>
      <c r="D31" s="657"/>
      <c r="E31" s="657"/>
      <c r="F31" s="657"/>
      <c r="G31" s="657"/>
      <c r="H31" s="899" t="e">
        <f>+NOTES!#REF!</f>
        <v>#REF!</v>
      </c>
      <c r="I31" s="900"/>
      <c r="J31" s="900"/>
      <c r="K31" s="900"/>
      <c r="L31" s="908" t="e">
        <f>NOTES!#REF!</f>
        <v>#REF!</v>
      </c>
      <c r="M31" s="908"/>
      <c r="N31" s="908" t="e">
        <f>NOTES!#REF!</f>
        <v>#REF!</v>
      </c>
      <c r="O31" s="916"/>
      <c r="P31" s="911"/>
      <c r="Q31" s="626"/>
      <c r="R31" s="911"/>
      <c r="S31" s="620"/>
      <c r="T31" s="620"/>
    </row>
    <row r="32" spans="1:20" ht="15" customHeight="1">
      <c r="A32" s="891"/>
      <c r="B32" s="657"/>
      <c r="C32" s="657"/>
      <c r="D32" s="657"/>
      <c r="E32" s="657"/>
      <c r="F32" s="657"/>
      <c r="G32" s="657"/>
      <c r="H32" s="657"/>
      <c r="I32" s="657"/>
      <c r="J32" s="657"/>
      <c r="K32" s="657"/>
      <c r="L32" s="657"/>
      <c r="M32" s="657"/>
      <c r="N32" s="657"/>
      <c r="O32" s="654"/>
      <c r="P32" s="654"/>
      <c r="Q32" s="620"/>
      <c r="R32" s="654"/>
      <c r="S32" s="620"/>
      <c r="T32" s="620"/>
    </row>
    <row r="33" spans="1:20" ht="15" customHeight="1">
      <c r="A33" s="1369" t="str">
        <f>+SOFP!A62</f>
        <v>The annexed notes form an integral part of these financial statements.</v>
      </c>
      <c r="B33" s="657"/>
      <c r="C33" s="657"/>
      <c r="D33" s="657"/>
      <c r="E33" s="657"/>
      <c r="F33" s="657"/>
      <c r="G33" s="657"/>
      <c r="H33" s="657"/>
      <c r="I33" s="657"/>
      <c r="J33" s="657"/>
      <c r="K33" s="657"/>
      <c r="L33" s="657"/>
      <c r="M33" s="657"/>
      <c r="N33" s="657"/>
      <c r="O33" s="654"/>
      <c r="P33" s="654"/>
      <c r="Q33" s="620"/>
      <c r="R33" s="923"/>
      <c r="S33" s="620"/>
      <c r="T33" s="620"/>
    </row>
    <row r="34" spans="1:20" ht="15" customHeight="1">
      <c r="A34" s="897"/>
      <c r="B34" s="657"/>
      <c r="C34" s="657"/>
      <c r="D34" s="657"/>
      <c r="E34" s="657"/>
      <c r="F34" s="657"/>
      <c r="G34" s="657"/>
      <c r="H34" s="657"/>
      <c r="I34" s="657"/>
      <c r="J34" s="657"/>
      <c r="K34" s="657"/>
      <c r="L34" s="657"/>
      <c r="M34" s="657"/>
      <c r="N34" s="657"/>
      <c r="O34" s="654"/>
      <c r="P34" s="654"/>
      <c r="Q34" s="620"/>
      <c r="R34" s="923"/>
      <c r="S34" s="620"/>
      <c r="T34" s="620"/>
    </row>
    <row r="35" spans="1:20" ht="15" customHeight="1">
      <c r="A35" s="897"/>
      <c r="B35" s="657"/>
      <c r="C35" s="657"/>
      <c r="D35" s="657"/>
      <c r="E35" s="657"/>
      <c r="F35" s="657"/>
      <c r="G35" s="657"/>
      <c r="H35" s="657"/>
      <c r="I35" s="657"/>
      <c r="J35" s="657"/>
      <c r="K35" s="657"/>
      <c r="L35" s="657"/>
      <c r="M35" s="657"/>
      <c r="N35" s="657"/>
      <c r="O35" s="654"/>
      <c r="P35" s="654"/>
      <c r="Q35" s="620"/>
      <c r="R35" s="923"/>
      <c r="S35" s="620"/>
      <c r="T35" s="620"/>
    </row>
    <row r="36" spans="1:20" ht="15" customHeight="1">
      <c r="A36" s="897"/>
      <c r="B36" s="657"/>
      <c r="C36" s="657"/>
      <c r="D36" s="657"/>
      <c r="E36" s="657"/>
      <c r="F36" s="657"/>
      <c r="G36" s="657"/>
      <c r="H36" s="657"/>
      <c r="I36" s="657"/>
      <c r="J36" s="657"/>
      <c r="K36" s="657"/>
      <c r="L36" s="657"/>
      <c r="M36" s="657"/>
      <c r="N36" s="657"/>
      <c r="O36" s="654"/>
      <c r="P36" s="654"/>
      <c r="Q36" s="620"/>
      <c r="R36" s="923"/>
      <c r="S36" s="620"/>
      <c r="T36" s="620"/>
    </row>
    <row r="37" spans="1:20" ht="15" customHeight="1">
      <c r="A37" s="897"/>
      <c r="B37" s="657"/>
      <c r="C37" s="657"/>
      <c r="D37" s="657"/>
      <c r="E37" s="657"/>
      <c r="F37" s="657"/>
      <c r="G37" s="657"/>
      <c r="H37" s="657"/>
      <c r="I37" s="657"/>
      <c r="J37" s="657"/>
      <c r="K37" s="657"/>
      <c r="L37" s="657"/>
      <c r="M37" s="657"/>
      <c r="N37" s="657"/>
      <c r="O37" s="654"/>
      <c r="P37" s="654"/>
      <c r="Q37" s="620"/>
      <c r="R37" s="923"/>
      <c r="S37" s="620"/>
      <c r="T37" s="620"/>
    </row>
    <row r="38" spans="1:20" ht="15" customHeight="1">
      <c r="A38" s="897"/>
      <c r="B38" s="657"/>
      <c r="C38" s="657"/>
      <c r="D38" s="657"/>
      <c r="E38" s="657"/>
      <c r="F38" s="657"/>
      <c r="G38" s="657"/>
      <c r="H38" s="657"/>
      <c r="I38" s="657"/>
      <c r="J38" s="657"/>
      <c r="K38" s="657"/>
      <c r="L38" s="657"/>
      <c r="M38" s="657"/>
      <c r="N38" s="657"/>
      <c r="O38" s="654"/>
      <c r="P38" s="654"/>
      <c r="Q38" s="620"/>
      <c r="R38" s="923"/>
      <c r="S38" s="620"/>
      <c r="T38" s="620"/>
    </row>
    <row r="39" spans="1:20" ht="15" customHeight="1">
      <c r="A39" s="897"/>
      <c r="B39" s="657"/>
      <c r="C39" s="657"/>
      <c r="D39" s="657"/>
      <c r="E39" s="657"/>
      <c r="F39" s="657"/>
      <c r="G39" s="657"/>
      <c r="H39" s="657"/>
      <c r="I39" s="657"/>
      <c r="J39" s="657"/>
      <c r="K39" s="657"/>
      <c r="L39" s="657"/>
      <c r="M39" s="657"/>
      <c r="N39" s="657"/>
      <c r="O39" s="654"/>
      <c r="P39" s="654"/>
      <c r="Q39" s="620"/>
      <c r="R39" s="923"/>
      <c r="S39" s="620"/>
      <c r="T39" s="620"/>
    </row>
    <row r="40" spans="1:20" ht="15" customHeight="1">
      <c r="A40" s="897"/>
      <c r="B40" s="657"/>
      <c r="C40" s="657"/>
      <c r="D40" s="657"/>
      <c r="E40" s="657"/>
      <c r="F40" s="657"/>
      <c r="G40" s="657"/>
      <c r="H40" s="657"/>
      <c r="I40" s="657"/>
      <c r="J40" s="657"/>
      <c r="K40" s="657"/>
      <c r="L40" s="657"/>
      <c r="M40" s="657"/>
      <c r="N40" s="657"/>
      <c r="O40" s="654"/>
      <c r="P40" s="654"/>
      <c r="Q40" s="620"/>
      <c r="R40" s="923"/>
      <c r="S40" s="620"/>
      <c r="T40" s="620"/>
    </row>
    <row r="41" spans="1:20" ht="15" customHeight="1">
      <c r="A41" s="897"/>
      <c r="B41" s="657"/>
      <c r="C41" s="657"/>
      <c r="D41" s="657"/>
      <c r="E41" s="657"/>
      <c r="F41" s="657"/>
      <c r="G41" s="657"/>
      <c r="H41" s="657"/>
      <c r="I41" s="657"/>
      <c r="J41" s="657"/>
      <c r="K41" s="657"/>
      <c r="L41" s="657"/>
      <c r="M41" s="657"/>
      <c r="N41" s="657"/>
      <c r="O41" s="654"/>
      <c r="P41" s="654"/>
      <c r="Q41" s="620"/>
      <c r="R41" s="923"/>
      <c r="S41" s="620"/>
      <c r="T41" s="620"/>
    </row>
    <row r="42" spans="1:20" ht="15" customHeight="1">
      <c r="A42" s="897"/>
      <c r="B42" s="657"/>
      <c r="C42" s="657"/>
      <c r="D42" s="657"/>
      <c r="E42" s="657"/>
      <c r="F42" s="657"/>
      <c r="G42" s="657"/>
      <c r="H42" s="657"/>
      <c r="I42" s="657"/>
      <c r="J42" s="657"/>
      <c r="K42" s="657"/>
      <c r="L42" s="657"/>
      <c r="M42" s="657"/>
      <c r="N42" s="657"/>
      <c r="O42" s="654"/>
      <c r="P42" s="654"/>
      <c r="Q42" s="620"/>
      <c r="R42" s="923"/>
      <c r="S42" s="620"/>
      <c r="T42" s="620"/>
    </row>
    <row r="43" spans="1:20" ht="15" customHeight="1">
      <c r="A43" s="897"/>
      <c r="B43" s="657"/>
      <c r="C43" s="657"/>
      <c r="D43" s="657"/>
      <c r="E43" s="657"/>
      <c r="F43" s="657"/>
      <c r="G43" s="657"/>
      <c r="H43" s="657"/>
      <c r="I43" s="657"/>
      <c r="J43" s="657"/>
      <c r="K43" s="657"/>
      <c r="L43" s="657"/>
      <c r="M43" s="657"/>
      <c r="N43" s="657"/>
      <c r="O43" s="654"/>
      <c r="P43" s="654"/>
      <c r="Q43" s="620"/>
      <c r="R43" s="923"/>
      <c r="S43" s="620"/>
      <c r="T43" s="620"/>
    </row>
    <row r="44" spans="1:20" ht="15" customHeight="1">
      <c r="A44" s="897"/>
      <c r="B44" s="657"/>
      <c r="C44" s="657"/>
      <c r="D44" s="657"/>
      <c r="E44" s="657"/>
      <c r="F44" s="657"/>
      <c r="G44" s="657"/>
      <c r="H44" s="657"/>
      <c r="I44" s="657"/>
      <c r="J44" s="657"/>
      <c r="K44" s="657"/>
      <c r="L44" s="657"/>
      <c r="M44" s="657"/>
      <c r="N44" s="657"/>
      <c r="O44" s="654"/>
      <c r="P44" s="654"/>
      <c r="Q44" s="620"/>
      <c r="R44" s="923"/>
      <c r="S44" s="620"/>
      <c r="T44" s="620"/>
    </row>
    <row r="45" spans="1:20" ht="15" customHeight="1">
      <c r="A45" s="897"/>
      <c r="B45" s="657"/>
      <c r="C45" s="657"/>
      <c r="D45" s="657"/>
      <c r="E45" s="657"/>
      <c r="F45" s="657"/>
      <c r="G45" s="657"/>
      <c r="H45" s="657"/>
      <c r="I45" s="657"/>
      <c r="J45" s="657"/>
      <c r="K45" s="657"/>
      <c r="L45" s="657"/>
      <c r="M45" s="657"/>
      <c r="N45" s="657"/>
      <c r="O45" s="654"/>
      <c r="P45" s="654"/>
      <c r="Q45" s="620"/>
      <c r="R45" s="923"/>
      <c r="S45" s="620"/>
      <c r="T45" s="620"/>
    </row>
    <row r="46" spans="1:20" ht="15" customHeight="1">
      <c r="A46" s="657"/>
      <c r="B46" s="657"/>
      <c r="C46" s="657"/>
      <c r="D46" s="657"/>
      <c r="E46" s="657"/>
      <c r="F46" s="657"/>
      <c r="G46" s="657"/>
      <c r="H46" s="657"/>
      <c r="I46" s="657"/>
      <c r="J46" s="657"/>
      <c r="K46" s="657"/>
      <c r="L46" s="657"/>
      <c r="M46" s="657"/>
      <c r="N46" s="657"/>
      <c r="O46" s="654"/>
      <c r="P46" s="654"/>
      <c r="Q46" s="620"/>
      <c r="R46" s="923"/>
      <c r="S46" s="620"/>
      <c r="T46" s="620"/>
    </row>
    <row r="47" spans="1:20" ht="15" customHeight="1">
      <c r="A47" s="657"/>
      <c r="B47" s="657"/>
      <c r="C47" s="657"/>
      <c r="D47" s="657"/>
      <c r="E47" s="657"/>
      <c r="F47" s="657"/>
      <c r="G47" s="657"/>
      <c r="H47" s="657"/>
      <c r="I47" s="657"/>
      <c r="J47" s="657"/>
      <c r="K47" s="657"/>
      <c r="L47" s="657"/>
      <c r="M47" s="657"/>
      <c r="N47" s="657"/>
      <c r="O47" s="654"/>
      <c r="P47" s="654"/>
      <c r="Q47" s="620"/>
      <c r="R47" s="924"/>
      <c r="S47" s="620"/>
      <c r="T47" s="620"/>
    </row>
    <row r="48" spans="1:20" ht="15" customHeight="1">
      <c r="A48" s="657"/>
      <c r="B48" s="657"/>
      <c r="C48" s="657"/>
      <c r="D48" s="657"/>
      <c r="E48" s="657"/>
      <c r="F48" s="657"/>
      <c r="G48" s="657"/>
      <c r="H48" s="657"/>
      <c r="I48" s="657"/>
      <c r="J48" s="657"/>
      <c r="K48" s="657"/>
      <c r="L48" s="657"/>
      <c r="M48" s="657"/>
      <c r="N48" s="657"/>
      <c r="O48" s="654"/>
      <c r="P48" s="654"/>
      <c r="Q48" s="620"/>
      <c r="R48" s="925"/>
      <c r="S48" s="620"/>
      <c r="T48" s="620"/>
    </row>
    <row r="49" spans="1:20" ht="14.15" customHeight="1">
      <c r="A49" s="657"/>
      <c r="B49" s="657"/>
      <c r="C49" s="657"/>
      <c r="D49" s="657"/>
      <c r="E49" s="657"/>
      <c r="F49" s="657"/>
      <c r="G49" s="657"/>
      <c r="H49" s="657"/>
      <c r="I49" s="657"/>
      <c r="J49" s="657"/>
      <c r="K49" s="657"/>
      <c r="L49" s="657"/>
      <c r="M49" s="657"/>
      <c r="N49" s="657"/>
      <c r="O49" s="654"/>
      <c r="P49" s="654"/>
      <c r="Q49" s="620"/>
      <c r="R49" s="924"/>
      <c r="S49" s="620"/>
      <c r="T49" s="620"/>
    </row>
    <row r="50" spans="1:20" ht="15" customHeight="1">
      <c r="A50" s="657"/>
      <c r="B50" s="658"/>
      <c r="D50" s="657"/>
      <c r="E50" s="657"/>
      <c r="F50" s="657"/>
      <c r="G50" s="657"/>
      <c r="H50" s="657"/>
      <c r="I50" s="657"/>
      <c r="J50" s="657"/>
      <c r="K50" s="657"/>
      <c r="L50" s="1413"/>
      <c r="M50" s="1413"/>
      <c r="O50" s="654"/>
      <c r="P50" s="654"/>
      <c r="Q50" s="620"/>
      <c r="R50" s="925"/>
      <c r="S50" s="620"/>
      <c r="T50" s="620"/>
    </row>
    <row r="51" spans="1:20" ht="15" customHeight="1">
      <c r="A51" s="891"/>
      <c r="D51" s="657"/>
      <c r="E51" s="657"/>
      <c r="F51" s="658"/>
      <c r="G51" s="658"/>
      <c r="H51" s="657"/>
      <c r="I51" s="657"/>
      <c r="J51" s="657"/>
      <c r="K51" s="657"/>
      <c r="L51" s="1414" t="str">
        <f>SOFP!F72</f>
        <v>PROPRIETOR</v>
      </c>
      <c r="M51" s="1414"/>
      <c r="O51" s="654"/>
      <c r="P51" s="901"/>
      <c r="Q51" s="620"/>
      <c r="R51" s="901"/>
      <c r="S51" s="620"/>
      <c r="T51" s="620"/>
    </row>
    <row r="52" spans="1:20" ht="15" customHeight="1">
      <c r="O52" s="620"/>
      <c r="P52" s="620"/>
      <c r="Q52" s="620"/>
      <c r="R52" s="620"/>
      <c r="S52" s="620"/>
      <c r="T52" s="620"/>
    </row>
    <row r="53" spans="1:20" ht="15" customHeight="1">
      <c r="O53" s="620"/>
      <c r="P53" s="620"/>
      <c r="Q53" s="620"/>
      <c r="R53" s="620"/>
      <c r="S53" s="620"/>
      <c r="T53" s="620"/>
    </row>
    <row r="54" spans="1:20" ht="15" customHeight="1">
      <c r="B54" s="891">
        <f>SOFP!B71</f>
        <v>0</v>
      </c>
      <c r="C54" s="657"/>
      <c r="O54" s="620"/>
      <c r="P54" s="620"/>
      <c r="Q54" s="620"/>
      <c r="R54" s="620"/>
      <c r="S54" s="620"/>
      <c r="T54" s="620"/>
    </row>
    <row r="55" spans="1:20" ht="15" customHeight="1">
      <c r="B55" s="891">
        <f>SOFP!B72</f>
        <v>0</v>
      </c>
      <c r="C55" s="657"/>
      <c r="O55" s="620"/>
      <c r="P55" s="620"/>
      <c r="Q55" s="620"/>
      <c r="R55" s="620"/>
      <c r="S55" s="620"/>
      <c r="T55" s="620"/>
    </row>
    <row r="56" spans="1:20" ht="15" customHeight="1">
      <c r="O56" s="620"/>
      <c r="P56" s="620"/>
      <c r="Q56" s="620"/>
      <c r="R56" s="620"/>
      <c r="S56" s="620"/>
      <c r="T56" s="620"/>
    </row>
    <row r="57" spans="1:20">
      <c r="O57" s="620"/>
      <c r="P57" s="620"/>
      <c r="Q57" s="620"/>
      <c r="R57" s="620"/>
      <c r="S57" s="620"/>
      <c r="T57" s="620"/>
    </row>
    <row r="58" spans="1:20">
      <c r="O58" s="620"/>
      <c r="P58" s="620"/>
      <c r="Q58" s="620"/>
      <c r="R58" s="620"/>
      <c r="S58" s="620"/>
      <c r="T58" s="620"/>
    </row>
    <row r="59" spans="1:20">
      <c r="O59" s="620"/>
      <c r="P59" s="620"/>
      <c r="Q59" s="620"/>
      <c r="R59" s="620"/>
      <c r="S59" s="620"/>
      <c r="T59" s="620"/>
    </row>
    <row r="60" spans="1:20">
      <c r="O60" s="620"/>
      <c r="P60" s="620"/>
      <c r="Q60" s="620"/>
      <c r="R60" s="620"/>
      <c r="S60" s="620"/>
      <c r="T60" s="620"/>
    </row>
    <row r="61" spans="1:20">
      <c r="O61" s="620"/>
      <c r="P61" s="620"/>
      <c r="Q61" s="620"/>
      <c r="R61" s="620"/>
      <c r="S61" s="620"/>
      <c r="T61" s="620"/>
    </row>
    <row r="62" spans="1:20">
      <c r="O62" s="620"/>
      <c r="P62" s="620"/>
      <c r="Q62" s="620"/>
      <c r="R62" s="620"/>
      <c r="S62" s="620"/>
      <c r="T62" s="620"/>
    </row>
    <row r="63" spans="1:20">
      <c r="O63" s="620"/>
      <c r="P63" s="620"/>
      <c r="Q63" s="620"/>
      <c r="R63" s="620"/>
      <c r="S63" s="620"/>
      <c r="T63" s="620"/>
    </row>
    <row r="64" spans="1:20">
      <c r="O64" s="620"/>
      <c r="P64" s="620"/>
      <c r="Q64" s="620"/>
      <c r="R64" s="620"/>
      <c r="S64" s="620"/>
      <c r="T64" s="620"/>
    </row>
    <row r="65" spans="15:20">
      <c r="O65" s="620"/>
      <c r="P65" s="620"/>
      <c r="Q65" s="620"/>
      <c r="R65" s="620"/>
      <c r="S65" s="620"/>
      <c r="T65" s="620"/>
    </row>
    <row r="78" spans="15:20" ht="16.5">
      <c r="Q78" s="556">
        <v>91381500</v>
      </c>
    </row>
    <row r="79" spans="15:20" ht="16.5">
      <c r="O79" s="556" t="s">
        <v>1023</v>
      </c>
    </row>
    <row r="89" spans="15:15" ht="16.5">
      <c r="O89" s="556">
        <v>800000</v>
      </c>
    </row>
    <row r="233" spans="17:17">
      <c r="Q233" s="525">
        <f>SUM(Q232:Q232)</f>
        <v>0</v>
      </c>
    </row>
    <row r="249" spans="3:3">
      <c r="C249" s="525" t="s">
        <v>985</v>
      </c>
    </row>
    <row r="251" spans="3:3">
      <c r="C251" s="525" t="s">
        <v>986</v>
      </c>
    </row>
    <row r="258" ht="10" customHeight="1"/>
    <row r="260" ht="12" customHeight="1"/>
    <row r="385" ht="15" customHeight="1"/>
  </sheetData>
  <mergeCells count="2">
    <mergeCell ref="L50:M50"/>
    <mergeCell ref="L51:M51"/>
  </mergeCells>
  <printOptions horizontalCentered="1"/>
  <pageMargins left="0.38" right="0.2" top="0.35" bottom="0.5" header="0.5" footer="0.5"/>
  <pageSetup fitToHeight="0"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249977111117893"/>
    <pageSetUpPr fitToPage="1"/>
  </sheetPr>
  <dimension ref="A1:P228"/>
  <sheetViews>
    <sheetView showGridLines="0" view="pageBreakPreview" zoomScale="85" zoomScaleNormal="100" workbookViewId="0">
      <selection activeCell="J12" sqref="J12"/>
    </sheetView>
  </sheetViews>
  <sheetFormatPr defaultColWidth="4.1796875" defaultRowHeight="15.75" customHeight="1"/>
  <cols>
    <col min="1" max="3" width="3.54296875" style="520" customWidth="1"/>
    <col min="4" max="7" width="5.1796875" style="520" customWidth="1"/>
    <col min="8" max="8" width="3.54296875" style="520" customWidth="1"/>
    <col min="9" max="9" width="9.453125" style="520" customWidth="1"/>
    <col min="10" max="10" width="24.1796875" style="520" customWidth="1"/>
    <col min="11" max="11" width="14.81640625" style="520" customWidth="1"/>
    <col min="12" max="12" width="1.7265625" style="520" customWidth="1"/>
    <col min="13" max="13" width="14.81640625" style="520" customWidth="1"/>
    <col min="14" max="14" width="1.7265625" style="520" customWidth="1"/>
    <col min="15" max="15" width="14.54296875" style="520" customWidth="1"/>
    <col min="16" max="16" width="19.81640625" style="520" customWidth="1"/>
    <col min="17" max="17" width="15.7265625" style="520" customWidth="1"/>
    <col min="18" max="18" width="12.54296875" style="520" customWidth="1"/>
    <col min="19" max="19" width="4.1796875" style="520"/>
    <col min="20" max="20" width="10.453125" style="520" customWidth="1"/>
    <col min="21" max="21" width="14" style="520" customWidth="1"/>
    <col min="22" max="22" width="11.453125" style="520" customWidth="1"/>
    <col min="23" max="23" width="10.81640625" style="520" customWidth="1"/>
    <col min="24" max="25" width="11.81640625" style="520" customWidth="1"/>
    <col min="26" max="26" width="5.54296875" style="520" customWidth="1"/>
    <col min="27" max="16384" width="4.1796875" style="520"/>
  </cols>
  <sheetData>
    <row r="1" spans="1:15" ht="19" customHeight="1">
      <c r="A1" s="1416" t="str">
        <f>SOFP!A1</f>
        <v>AIMAL KHAN TRADERS</v>
      </c>
      <c r="B1" s="1416"/>
      <c r="C1" s="1416"/>
      <c r="D1" s="1416"/>
      <c r="E1" s="1416"/>
      <c r="F1" s="1416"/>
      <c r="G1" s="1416"/>
      <c r="H1" s="1416"/>
      <c r="I1" s="1416"/>
      <c r="J1" s="1416"/>
      <c r="K1" s="1416"/>
      <c r="L1" s="1416"/>
      <c r="M1" s="1416"/>
      <c r="N1" s="1416"/>
      <c r="O1" s="1416"/>
    </row>
    <row r="2" spans="1:15" ht="19" customHeight="1">
      <c r="A2" s="1416" t="s">
        <v>1024</v>
      </c>
      <c r="B2" s="1416"/>
      <c r="C2" s="1416"/>
      <c r="D2" s="1416"/>
      <c r="E2" s="1416"/>
      <c r="F2" s="1416"/>
      <c r="G2" s="1416"/>
      <c r="H2" s="1416"/>
      <c r="I2" s="1416"/>
      <c r="J2" s="1416"/>
      <c r="K2" s="1416"/>
      <c r="L2" s="1416"/>
      <c r="M2" s="1416"/>
      <c r="N2" s="1416"/>
      <c r="O2" s="1416"/>
    </row>
    <row r="3" spans="1:15" ht="19" customHeight="1">
      <c r="A3" s="863" t="str">
        <f>'P &amp; L'!A3</f>
        <v>FOR THE YEAR ENDED DECEMBER 31, 2025</v>
      </c>
      <c r="B3" s="863"/>
      <c r="C3" s="863"/>
      <c r="D3" s="863"/>
      <c r="E3" s="863"/>
      <c r="F3" s="863"/>
      <c r="G3" s="863"/>
      <c r="H3" s="863"/>
      <c r="I3" s="863"/>
      <c r="J3" s="863"/>
      <c r="K3" s="863"/>
      <c r="L3" s="863"/>
      <c r="M3" s="863"/>
      <c r="N3" s="863"/>
      <c r="O3" s="863"/>
    </row>
    <row r="4" spans="1:15" ht="15.75" customHeight="1">
      <c r="A4" s="862"/>
      <c r="B4" s="862"/>
      <c r="C4" s="862"/>
      <c r="D4" s="862"/>
      <c r="E4" s="862"/>
      <c r="F4" s="862"/>
      <c r="G4" s="862"/>
      <c r="H4" s="862"/>
      <c r="I4" s="862"/>
      <c r="J4" s="862"/>
      <c r="K4" s="862"/>
      <c r="L4" s="862"/>
      <c r="M4" s="862"/>
      <c r="N4" s="862"/>
      <c r="O4" s="862"/>
    </row>
    <row r="5" spans="1:15" ht="15.75" customHeight="1">
      <c r="A5" s="864"/>
      <c r="K5" s="602">
        <v>2025</v>
      </c>
      <c r="M5" s="602">
        <v>2024</v>
      </c>
      <c r="N5" s="884"/>
      <c r="O5" s="602">
        <v>2023</v>
      </c>
    </row>
    <row r="6" spans="1:15" ht="15.75" customHeight="1">
      <c r="A6" s="864"/>
      <c r="K6" s="528" t="s">
        <v>957</v>
      </c>
      <c r="M6" s="528" t="s">
        <v>957</v>
      </c>
      <c r="N6" s="884"/>
      <c r="O6" s="528" t="s">
        <v>957</v>
      </c>
    </row>
    <row r="7" spans="1:15" ht="15.5">
      <c r="A7" s="527" t="s">
        <v>1025</v>
      </c>
    </row>
    <row r="8" spans="1:15" ht="15.5">
      <c r="B8" s="864" t="s">
        <v>1018</v>
      </c>
      <c r="K8" s="869">
        <f>'P &amp; L'!J27</f>
        <v>103329266.74704777</v>
      </c>
      <c r="M8" s="869">
        <f>'P &amp; L'!L27</f>
        <v>76360455.090000004</v>
      </c>
      <c r="N8" s="872"/>
      <c r="O8" s="869">
        <f>'P &amp; L'!N27</f>
        <v>67009107</v>
      </c>
    </row>
    <row r="9" spans="1:15" ht="15.5">
      <c r="A9" s="527" t="s">
        <v>1026</v>
      </c>
      <c r="K9" s="869"/>
      <c r="M9" s="869"/>
      <c r="N9" s="872"/>
      <c r="O9" s="872"/>
    </row>
    <row r="10" spans="1:15" ht="15.5">
      <c r="A10" s="527"/>
      <c r="K10" s="869"/>
      <c r="M10" s="869"/>
      <c r="N10" s="872"/>
      <c r="O10" s="872"/>
    </row>
    <row r="11" spans="1:15" ht="15.5">
      <c r="A11" s="527"/>
      <c r="B11" s="520" t="s">
        <v>759</v>
      </c>
      <c r="K11" s="870">
        <f>'Note 5 ''2025'!H11</f>
        <v>667565.6</v>
      </c>
      <c r="M11" s="870">
        <f>'Note 5'!H11</f>
        <v>741739.6</v>
      </c>
      <c r="N11" s="872"/>
      <c r="O11" s="870">
        <f>'Note 5'!H13</f>
        <v>824155</v>
      </c>
    </row>
    <row r="12" spans="1:15" ht="15.5">
      <c r="B12" s="864"/>
      <c r="K12" s="871">
        <f>SUM(K11)</f>
        <v>667565.6</v>
      </c>
      <c r="M12" s="871">
        <f>SUM(M11)</f>
        <v>741739.6</v>
      </c>
      <c r="N12" s="872"/>
      <c r="O12" s="871">
        <f>SUM(O11:O11)</f>
        <v>824155</v>
      </c>
    </row>
    <row r="13" spans="1:15" ht="15.5">
      <c r="A13" s="520" t="s">
        <v>1027</v>
      </c>
      <c r="K13" s="869">
        <f>+K8+K12</f>
        <v>103996832.34704776</v>
      </c>
      <c r="M13" s="869">
        <f>+M8+M12</f>
        <v>77102194.689999998</v>
      </c>
      <c r="N13" s="872"/>
      <c r="O13" s="869">
        <f>+O8+O12</f>
        <v>67833262</v>
      </c>
    </row>
    <row r="14" spans="1:15" ht="15.5">
      <c r="A14" s="527" t="s">
        <v>1028</v>
      </c>
      <c r="K14" s="872"/>
      <c r="M14" s="872"/>
      <c r="N14" s="872"/>
      <c r="O14" s="872"/>
    </row>
    <row r="15" spans="1:15" ht="15.5">
      <c r="B15" s="520" t="s">
        <v>994</v>
      </c>
      <c r="K15" s="872"/>
      <c r="M15" s="872"/>
      <c r="N15" s="872"/>
      <c r="O15" s="872"/>
    </row>
    <row r="16" spans="1:15" ht="15.5">
      <c r="C16" s="864" t="s">
        <v>961</v>
      </c>
      <c r="K16" s="873">
        <f>SOFP!F17-SOFP!D17</f>
        <v>-28454581.579999998</v>
      </c>
      <c r="M16" s="873">
        <f>SOFP!H17-SOFP!F17</f>
        <v>-8697438</v>
      </c>
      <c r="N16" s="885"/>
      <c r="O16" s="873">
        <f>SOFP!J17-SOFP!H17</f>
        <v>-7370710</v>
      </c>
    </row>
    <row r="17" spans="1:15" ht="15.5">
      <c r="C17" s="864" t="s">
        <v>962</v>
      </c>
      <c r="K17" s="874">
        <f>SOFP!F21-SOFP!D21</f>
        <v>5563615</v>
      </c>
      <c r="M17" s="874">
        <f>SOFP!H21-SOFP!F21</f>
        <v>-16925183</v>
      </c>
      <c r="N17" s="885"/>
      <c r="O17" s="874">
        <f>SOFP!J21-SOFP!H21</f>
        <v>-11508415</v>
      </c>
    </row>
    <row r="18" spans="1:15" ht="15.5">
      <c r="C18" s="864" t="s">
        <v>965</v>
      </c>
      <c r="K18" s="875">
        <f>SOFP!F22-SOFP!D22</f>
        <v>-3715572.5286122002</v>
      </c>
      <c r="M18" s="875">
        <f>SOFP!H22-SOFP!F22</f>
        <v>-3144707</v>
      </c>
      <c r="N18" s="885"/>
      <c r="O18" s="875">
        <f>SOFP!J22-SOFP!H22</f>
        <v>-2650216</v>
      </c>
    </row>
    <row r="19" spans="1:15" ht="15.5">
      <c r="C19" s="864"/>
      <c r="K19" s="876">
        <f>SUM(K16:K18)</f>
        <v>-26606539.108612198</v>
      </c>
      <c r="M19" s="876">
        <f>SUM(M16:M18)</f>
        <v>-28767328</v>
      </c>
      <c r="N19" s="885"/>
      <c r="O19" s="876">
        <f>SUM(O16:O18)</f>
        <v>-21529341</v>
      </c>
    </row>
    <row r="20" spans="1:15" ht="15.5">
      <c r="B20" s="520" t="s">
        <v>1029</v>
      </c>
      <c r="K20" s="876"/>
      <c r="M20" s="876"/>
      <c r="N20" s="885"/>
      <c r="O20" s="886"/>
    </row>
    <row r="21" spans="1:15" ht="15.5">
      <c r="C21" s="520" t="s">
        <v>1030</v>
      </c>
      <c r="K21" s="873">
        <f>SOFP!D50-SOFP!F50</f>
        <v>-314543.93000000098</v>
      </c>
      <c r="M21" s="873">
        <f>SOFP!F50-SOFP!H50</f>
        <v>4659066.7</v>
      </c>
      <c r="N21" s="885"/>
      <c r="O21" s="873">
        <v>0</v>
      </c>
    </row>
    <row r="22" spans="1:15" ht="15.5">
      <c r="C22" s="520" t="str">
        <f>SOFP!B51</f>
        <v>Creditors, accrued expenses &amp; other liabilities</v>
      </c>
      <c r="K22" s="875">
        <f>-SOFP!F51+SOFP!D51</f>
        <v>12009537.9459337</v>
      </c>
      <c r="M22" s="875">
        <f>-SOFP!H51+SOFP!F51</f>
        <v>8773247</v>
      </c>
      <c r="N22" s="885"/>
      <c r="O22" s="875">
        <f>SOFP!H51-SOFP!J51</f>
        <v>2070189</v>
      </c>
    </row>
    <row r="23" spans="1:15" ht="15.5">
      <c r="K23" s="876">
        <f>SUM(K21:K22)</f>
        <v>11694994.0159337</v>
      </c>
      <c r="M23" s="876">
        <f>SUM(M21:M22)</f>
        <v>13432313.699999999</v>
      </c>
      <c r="N23" s="885"/>
      <c r="O23" s="876">
        <f>SUM(O21:O22)</f>
        <v>2070189</v>
      </c>
    </row>
    <row r="24" spans="1:15" ht="15.5">
      <c r="K24" s="876"/>
      <c r="M24" s="876"/>
      <c r="N24" s="885"/>
      <c r="O24" s="886"/>
    </row>
    <row r="25" spans="1:15" ht="15.5">
      <c r="C25" s="520" t="s">
        <v>1031</v>
      </c>
      <c r="K25" s="877">
        <f>NOTES!L231</f>
        <v>-61005626.681853801</v>
      </c>
      <c r="M25" s="877">
        <f>NOTES!N231</f>
        <v>-53110013</v>
      </c>
      <c r="N25" s="886"/>
      <c r="O25" s="877">
        <f>NOTES!P231</f>
        <v>-46236284</v>
      </c>
    </row>
    <row r="26" spans="1:15" ht="15.5">
      <c r="K26" s="878">
        <f>SUM(K25)</f>
        <v>-61005626.681853801</v>
      </c>
      <c r="M26" s="878">
        <f>SUM(M25)</f>
        <v>-53110013</v>
      </c>
      <c r="N26" s="886"/>
      <c r="O26" s="878">
        <f>SUM(O25)</f>
        <v>-46236284</v>
      </c>
    </row>
    <row r="27" spans="1:15" ht="15.5">
      <c r="K27" s="876"/>
      <c r="M27" s="876"/>
      <c r="N27" s="886"/>
      <c r="O27" s="876"/>
    </row>
    <row r="28" spans="1:15" ht="15.5">
      <c r="A28" s="864" t="s">
        <v>1000</v>
      </c>
      <c r="K28" s="879">
        <f>+K13+K19+K23+K26</f>
        <v>28079660.572515458</v>
      </c>
      <c r="M28" s="879">
        <f>+M13+M19+M23+M26</f>
        <v>8657167.3900000509</v>
      </c>
      <c r="N28" s="885"/>
      <c r="O28" s="879">
        <f>+O13+O19+O23+O26</f>
        <v>2137826</v>
      </c>
    </row>
    <row r="29" spans="1:15" ht="15.5">
      <c r="B29" s="865"/>
      <c r="K29" s="880"/>
      <c r="M29" s="880"/>
      <c r="N29" s="872"/>
      <c r="O29" s="887"/>
    </row>
    <row r="30" spans="1:15" ht="15.5">
      <c r="A30" s="866" t="s">
        <v>1032</v>
      </c>
      <c r="K30" s="869"/>
      <c r="M30" s="869"/>
      <c r="N30" s="872"/>
      <c r="O30" s="872"/>
    </row>
    <row r="31" spans="1:15" ht="15.5">
      <c r="B31" s="865" t="s">
        <v>1033</v>
      </c>
      <c r="K31" s="869">
        <v>0</v>
      </c>
      <c r="M31" s="869">
        <v>0</v>
      </c>
      <c r="N31" s="872"/>
      <c r="O31" s="872">
        <v>0</v>
      </c>
    </row>
    <row r="32" spans="1:15" ht="15.5">
      <c r="A32" s="864" t="s">
        <v>1034</v>
      </c>
      <c r="K32" s="879">
        <f>SUM(K31:K31)</f>
        <v>0</v>
      </c>
      <c r="M32" s="879">
        <f>SUM(M31:M31)</f>
        <v>0</v>
      </c>
      <c r="N32" s="872"/>
      <c r="O32" s="879">
        <f>SUM(O31:O31)</f>
        <v>0</v>
      </c>
    </row>
    <row r="33" spans="1:15" ht="15.5">
      <c r="A33" s="864" t="s">
        <v>1035</v>
      </c>
      <c r="K33" s="881"/>
      <c r="M33" s="881"/>
      <c r="N33" s="872"/>
      <c r="O33" s="888"/>
    </row>
    <row r="34" spans="1:15" ht="15.5">
      <c r="A34" s="527" t="s">
        <v>1036</v>
      </c>
      <c r="K34" s="869"/>
      <c r="M34" s="869"/>
      <c r="N34" s="872"/>
      <c r="O34" s="872"/>
    </row>
    <row r="35" spans="1:15" ht="15.5">
      <c r="A35" s="864"/>
      <c r="B35" s="520" t="s">
        <v>1037</v>
      </c>
      <c r="K35" s="869">
        <v>-4344523</v>
      </c>
      <c r="M35" s="869">
        <f>SOFP!F41</f>
        <v>39280372.979999997</v>
      </c>
      <c r="N35" s="872"/>
      <c r="O35" s="872">
        <v>0</v>
      </c>
    </row>
    <row r="36" spans="1:15" ht="15.5">
      <c r="B36" s="520" t="s">
        <v>1038</v>
      </c>
      <c r="K36" s="520">
        <v>0</v>
      </c>
      <c r="M36" s="520">
        <v>0</v>
      </c>
      <c r="O36" s="520">
        <v>0</v>
      </c>
    </row>
    <row r="37" spans="1:15" ht="15.5">
      <c r="A37" s="864" t="s">
        <v>1039</v>
      </c>
      <c r="K37" s="879">
        <f>SUM(K35:K36)</f>
        <v>-4344523</v>
      </c>
      <c r="M37" s="879">
        <f>SUM(M35:M36)</f>
        <v>39280372.979999997</v>
      </c>
      <c r="N37" s="872"/>
      <c r="O37" s="879">
        <f>SUM(O35:O36)</f>
        <v>0</v>
      </c>
    </row>
    <row r="38" spans="1:15" ht="15.5">
      <c r="A38" s="864"/>
      <c r="K38" s="880"/>
      <c r="M38" s="880"/>
      <c r="N38" s="872"/>
      <c r="O38" s="887"/>
    </row>
    <row r="39" spans="1:15" ht="15.5">
      <c r="A39" s="539" t="s">
        <v>1040</v>
      </c>
      <c r="K39" s="869">
        <f>+K28+K32+K37</f>
        <v>23735137.572515458</v>
      </c>
      <c r="M39" s="869">
        <f>+M28+M32+M37</f>
        <v>47937540.369999997</v>
      </c>
      <c r="N39" s="872"/>
      <c r="O39" s="869">
        <f>+O28+O32+O37</f>
        <v>2137826</v>
      </c>
    </row>
    <row r="40" spans="1:15" ht="15.5">
      <c r="A40" s="867" t="s">
        <v>1007</v>
      </c>
      <c r="K40" s="882">
        <f>M41</f>
        <v>61683695.369999997</v>
      </c>
      <c r="M40" s="882">
        <f>O41</f>
        <v>13746153</v>
      </c>
      <c r="N40" s="872"/>
      <c r="O40" s="882">
        <f>SOFP!J23</f>
        <v>11608328</v>
      </c>
    </row>
    <row r="41" spans="1:15" ht="15.5">
      <c r="A41" s="539" t="s">
        <v>1041</v>
      </c>
      <c r="K41" s="883">
        <f>K39+K40</f>
        <v>85418832.942515463</v>
      </c>
      <c r="M41" s="883">
        <f>M39+M40+2</f>
        <v>61683695.369999997</v>
      </c>
      <c r="N41" s="872"/>
      <c r="O41" s="883">
        <f>O39+O40-1</f>
        <v>13746153</v>
      </c>
    </row>
    <row r="42" spans="1:15" ht="15.5">
      <c r="A42" s="865" t="str">
        <f>'P &amp; L'!A33</f>
        <v>The annexed notes form an integral part of these financial statements.</v>
      </c>
    </row>
    <row r="43" spans="1:15" ht="15.75" customHeight="1">
      <c r="A43" s="865"/>
    </row>
    <row r="44" spans="1:15" ht="15.75" customHeight="1">
      <c r="A44" s="865"/>
    </row>
    <row r="45" spans="1:15" ht="15.75" customHeight="1">
      <c r="A45" s="865"/>
    </row>
    <row r="46" spans="1:15" ht="15.75" customHeight="1">
      <c r="A46" s="865"/>
    </row>
    <row r="47" spans="1:15" ht="15.75" customHeight="1">
      <c r="A47" s="865"/>
    </row>
    <row r="48" spans="1:15" ht="15.75" customHeight="1">
      <c r="A48" s="865"/>
    </row>
    <row r="49" spans="1:14" ht="15.75" customHeight="1">
      <c r="A49" s="865"/>
    </row>
    <row r="50" spans="1:14" ht="15.75" customHeight="1">
      <c r="A50" s="864"/>
      <c r="B50" s="657"/>
      <c r="D50" s="868"/>
      <c r="E50" s="868"/>
      <c r="F50" s="868"/>
      <c r="G50" s="868"/>
      <c r="N50" s="657"/>
    </row>
    <row r="51" spans="1:14" ht="15.5">
      <c r="B51" s="658"/>
      <c r="M51" s="889" t="s">
        <v>984</v>
      </c>
      <c r="N51" s="889"/>
    </row>
    <row r="73" spans="14:16" ht="15.75" customHeight="1">
      <c r="P73" s="556">
        <v>91381500</v>
      </c>
    </row>
    <row r="74" spans="14:16" ht="15.75" customHeight="1">
      <c r="N74" s="556" t="s">
        <v>1023</v>
      </c>
    </row>
    <row r="84" spans="14:14" ht="15.75" customHeight="1">
      <c r="N84" s="556">
        <v>800000</v>
      </c>
    </row>
    <row r="228" spans="16:16" ht="15.75" customHeight="1">
      <c r="P228" s="520">
        <f>SUM(P227:P227)</f>
        <v>0</v>
      </c>
    </row>
  </sheetData>
  <mergeCells count="2">
    <mergeCell ref="A1:O1"/>
    <mergeCell ref="A2:O2"/>
  </mergeCells>
  <pageMargins left="1" right="0.5" top="0.5" bottom="0.5" header="0.5" footer="0.5"/>
  <pageSetup paperSize="9" scale="84" fitToHeight="0"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tint="0.39991454817346722"/>
    <pageSetUpPr fitToPage="1"/>
  </sheetPr>
  <dimension ref="A1:Z370"/>
  <sheetViews>
    <sheetView showGridLines="0" defaultGridColor="0" view="pageBreakPreview" colorId="8" zoomScale="115" zoomScaleNormal="100" workbookViewId="0">
      <selection activeCell="B123" sqref="B123"/>
    </sheetView>
  </sheetViews>
  <sheetFormatPr defaultColWidth="12.453125" defaultRowHeight="13"/>
  <cols>
    <col min="1" max="1" width="4.54296875" style="727" customWidth="1"/>
    <col min="2" max="2" width="6.54296875" style="727" customWidth="1"/>
    <col min="3" max="3" width="5.1796875" style="728" customWidth="1"/>
    <col min="4" max="4" width="18.453125" style="729" customWidth="1"/>
    <col min="5" max="5" width="15.453125" style="729" customWidth="1"/>
    <col min="6" max="6" width="3" style="729" customWidth="1"/>
    <col min="7" max="7" width="3.453125" style="729" customWidth="1"/>
    <col min="8" max="8" width="10.453125" style="729" customWidth="1"/>
    <col min="9" max="9" width="1.453125" style="729" customWidth="1"/>
    <col min="10" max="10" width="14.1796875" style="729" customWidth="1"/>
    <col min="11" max="11" width="1.453125" style="729" customWidth="1"/>
    <col min="12" max="12" width="9.453125" style="729" customWidth="1"/>
    <col min="13" max="13" width="1.453125" style="729" customWidth="1"/>
    <col min="14" max="14" width="16" style="730" customWidth="1"/>
    <col min="15" max="15" width="1.453125" style="729" customWidth="1"/>
    <col min="16" max="16" width="14.1796875" style="729" customWidth="1"/>
    <col min="17" max="17" width="27.1796875" style="729" customWidth="1"/>
    <col min="18" max="18" width="11.1796875" style="729" customWidth="1"/>
    <col min="19" max="19" width="1.54296875" style="729" customWidth="1"/>
    <col min="20" max="20" width="17.1796875" style="729" customWidth="1"/>
    <col min="21" max="21" width="1.453125" style="729" customWidth="1"/>
    <col min="22" max="22" width="21.453125" style="729" customWidth="1"/>
    <col min="23" max="23" width="12" style="729" customWidth="1"/>
    <col min="24" max="24" width="18.1796875" style="729" customWidth="1"/>
    <col min="25" max="26" width="12.453125" style="729"/>
    <col min="27" max="27" width="18.453125" style="729" customWidth="1"/>
    <col min="28" max="31" width="12.453125" style="729"/>
    <col min="32" max="32" width="13.81640625" style="729" customWidth="1"/>
    <col min="33" max="16384" width="12.453125" style="729"/>
  </cols>
  <sheetData>
    <row r="1" spans="1:24" ht="19" customHeight="1">
      <c r="A1" s="731"/>
      <c r="H1" s="729" t="s">
        <v>1042</v>
      </c>
    </row>
    <row r="2" spans="1:24" ht="19" customHeight="1">
      <c r="A2" s="1440" t="str">
        <f>'P &amp; L'!A1</f>
        <v>AIMAL KHAN TRADERS</v>
      </c>
      <c r="B2" s="1441"/>
      <c r="C2" s="1442"/>
      <c r="D2" s="1442"/>
      <c r="E2" s="1442"/>
      <c r="F2" s="1442"/>
      <c r="G2" s="1442"/>
      <c r="H2" s="1442"/>
      <c r="I2" s="1442"/>
      <c r="J2" s="1442"/>
      <c r="K2" s="1442"/>
      <c r="L2" s="1442"/>
      <c r="M2" s="1442"/>
      <c r="N2" s="1442"/>
      <c r="O2" s="791"/>
      <c r="P2" s="791"/>
    </row>
    <row r="3" spans="1:24" ht="19" customHeight="1">
      <c r="A3" s="1440" t="s">
        <v>1043</v>
      </c>
      <c r="B3" s="1441"/>
      <c r="C3" s="1442"/>
      <c r="D3" s="1442"/>
      <c r="E3" s="1442"/>
      <c r="F3" s="1442"/>
      <c r="G3" s="1442"/>
      <c r="H3" s="1442"/>
      <c r="I3" s="1442"/>
      <c r="J3" s="1442"/>
      <c r="K3" s="1442"/>
      <c r="L3" s="1442"/>
      <c r="M3" s="1442"/>
      <c r="N3" s="1442"/>
      <c r="O3" s="791"/>
      <c r="P3" s="791"/>
    </row>
    <row r="4" spans="1:24">
      <c r="A4" s="733" t="str">
        <f>'P &amp; L'!A3</f>
        <v>FOR THE YEAR ENDED DECEMBER 31, 2025</v>
      </c>
      <c r="B4" s="734"/>
      <c r="C4" s="735"/>
      <c r="D4" s="736"/>
      <c r="E4" s="736"/>
      <c r="F4" s="736"/>
      <c r="G4" s="736"/>
      <c r="H4" s="736"/>
      <c r="I4" s="736"/>
      <c r="J4" s="736"/>
      <c r="K4" s="736"/>
      <c r="L4" s="736"/>
      <c r="M4" s="736"/>
      <c r="N4" s="792"/>
    </row>
    <row r="5" spans="1:24">
      <c r="A5" s="732"/>
      <c r="N5" s="793"/>
    </row>
    <row r="6" spans="1:24" ht="15.75" customHeight="1">
      <c r="A6" s="730">
        <v>1</v>
      </c>
      <c r="B6" s="732" t="s">
        <v>1044</v>
      </c>
      <c r="N6" s="793"/>
    </row>
    <row r="7" spans="1:24" ht="6" customHeight="1">
      <c r="A7" s="730"/>
      <c r="B7" s="730"/>
      <c r="N7" s="793"/>
    </row>
    <row r="8" spans="1:24" ht="17.25" customHeight="1">
      <c r="A8" s="730"/>
      <c r="B8" s="737"/>
      <c r="C8" s="738" t="s">
        <v>1045</v>
      </c>
      <c r="N8" s="793"/>
    </row>
    <row r="9" spans="1:24" ht="6.75" customHeight="1">
      <c r="A9" s="730"/>
      <c r="B9" s="737"/>
      <c r="C9" s="738"/>
      <c r="N9" s="793"/>
    </row>
    <row r="10" spans="1:24" ht="31" customHeight="1">
      <c r="C10" s="1443" t="s">
        <v>1046</v>
      </c>
      <c r="D10" s="1443"/>
      <c r="E10" s="1443"/>
      <c r="F10" s="1443"/>
      <c r="G10" s="1443"/>
      <c r="H10" s="1443"/>
      <c r="I10" s="1443"/>
      <c r="J10" s="1443"/>
      <c r="K10" s="1443"/>
      <c r="L10" s="1443"/>
      <c r="M10" s="1443"/>
      <c r="N10" s="1443"/>
      <c r="O10" s="742"/>
      <c r="P10" s="742"/>
    </row>
    <row r="11" spans="1:24" ht="1" hidden="1" customHeight="1">
      <c r="B11" s="740"/>
      <c r="C11" s="741"/>
      <c r="D11" s="742"/>
      <c r="E11" s="742"/>
      <c r="F11" s="742"/>
      <c r="G11" s="742"/>
      <c r="H11" s="742"/>
      <c r="I11" s="742"/>
      <c r="J11" s="742"/>
      <c r="K11" s="742"/>
      <c r="L11" s="742"/>
      <c r="M11" s="742"/>
      <c r="N11" s="742"/>
      <c r="O11" s="794"/>
      <c r="P11" s="794"/>
    </row>
    <row r="12" spans="1:24" ht="15" hidden="1" customHeight="1">
      <c r="B12" s="743"/>
      <c r="C12" s="1443"/>
      <c r="D12" s="1443"/>
      <c r="E12" s="1443"/>
      <c r="F12" s="1443"/>
      <c r="G12" s="1443"/>
      <c r="H12" s="1443"/>
      <c r="I12" s="1443"/>
      <c r="J12" s="1443"/>
      <c r="K12" s="1443"/>
      <c r="L12" s="1443"/>
      <c r="M12" s="1443"/>
      <c r="N12" s="1443"/>
      <c r="O12" s="794"/>
      <c r="P12" s="794"/>
    </row>
    <row r="13" spans="1:24" ht="5.25" customHeight="1">
      <c r="B13" s="743"/>
      <c r="C13" s="744"/>
      <c r="D13" s="742"/>
      <c r="E13" s="742"/>
      <c r="F13" s="742"/>
      <c r="G13" s="742"/>
      <c r="H13" s="742"/>
      <c r="I13" s="742"/>
      <c r="J13" s="742"/>
      <c r="K13" s="742"/>
      <c r="L13" s="742"/>
      <c r="M13" s="742"/>
      <c r="N13" s="742"/>
      <c r="O13" s="794"/>
      <c r="P13" s="794"/>
    </row>
    <row r="14" spans="1:24" ht="15.75" hidden="1" customHeight="1">
      <c r="A14" s="730">
        <v>2</v>
      </c>
      <c r="B14" s="745" t="s">
        <v>1047</v>
      </c>
      <c r="C14" s="746"/>
      <c r="D14" s="747"/>
      <c r="E14" s="747"/>
      <c r="F14" s="747"/>
      <c r="G14" s="747"/>
      <c r="N14" s="793"/>
      <c r="Q14" s="732" t="s">
        <v>1048</v>
      </c>
    </row>
    <row r="15" spans="1:24" ht="6.75" hidden="1" customHeight="1">
      <c r="A15" s="730"/>
      <c r="B15" s="730"/>
      <c r="C15" s="746"/>
      <c r="D15" s="747"/>
      <c r="E15" s="747"/>
      <c r="F15" s="747"/>
      <c r="G15" s="747"/>
      <c r="N15" s="793"/>
    </row>
    <row r="16" spans="1:24" ht="33.75" hidden="1" customHeight="1">
      <c r="B16" s="748"/>
      <c r="C16" s="1439" t="s">
        <v>1049</v>
      </c>
      <c r="D16" s="1439"/>
      <c r="E16" s="1439"/>
      <c r="F16" s="1439"/>
      <c r="G16" s="1439"/>
      <c r="H16" s="1439"/>
      <c r="I16" s="1439"/>
      <c r="J16" s="1439"/>
      <c r="K16" s="1439"/>
      <c r="L16" s="1439"/>
      <c r="M16" s="1439"/>
      <c r="N16" s="1439"/>
      <c r="O16" s="795"/>
      <c r="P16" s="795"/>
      <c r="R16" s="1421"/>
      <c r="S16" s="1421"/>
      <c r="T16" s="1421"/>
      <c r="U16" s="1421"/>
      <c r="V16" s="1421"/>
      <c r="W16" s="1421"/>
      <c r="X16" s="1421"/>
    </row>
    <row r="17" spans="1:24" ht="6" hidden="1" customHeight="1">
      <c r="B17" s="748"/>
      <c r="C17" s="750"/>
      <c r="D17" s="751"/>
      <c r="E17" s="749"/>
      <c r="F17" s="751"/>
      <c r="G17" s="751"/>
      <c r="H17" s="751"/>
      <c r="I17" s="751"/>
      <c r="J17" s="751"/>
      <c r="K17" s="751"/>
      <c r="L17" s="751"/>
      <c r="M17" s="751"/>
      <c r="N17" s="751"/>
      <c r="O17" s="795"/>
      <c r="P17" s="795"/>
      <c r="R17" s="1421"/>
      <c r="S17" s="1421"/>
      <c r="T17" s="1421"/>
      <c r="U17" s="1421"/>
      <c r="V17" s="1421"/>
      <c r="W17" s="1421"/>
      <c r="X17" s="1421"/>
    </row>
    <row r="18" spans="1:24" ht="36" hidden="1" customHeight="1">
      <c r="B18" s="748"/>
      <c r="C18" s="750" t="s">
        <v>1050</v>
      </c>
      <c r="D18" s="1439" t="s">
        <v>1051</v>
      </c>
      <c r="E18" s="1439"/>
      <c r="F18" s="1439"/>
      <c r="G18" s="1439"/>
      <c r="H18" s="1439"/>
      <c r="I18" s="1439"/>
      <c r="J18" s="1439"/>
      <c r="K18" s="1439"/>
      <c r="L18" s="1439"/>
      <c r="M18" s="1439"/>
      <c r="N18" s="1439"/>
      <c r="O18" s="795"/>
      <c r="P18" s="795"/>
      <c r="R18" s="1421"/>
      <c r="S18" s="1421"/>
      <c r="T18" s="1421"/>
      <c r="U18" s="1421"/>
      <c r="V18" s="1421"/>
      <c r="W18" s="1421"/>
      <c r="X18" s="1421"/>
    </row>
    <row r="19" spans="1:24" ht="7.5" hidden="1" customHeight="1">
      <c r="B19" s="748"/>
      <c r="C19" s="750"/>
      <c r="D19" s="751"/>
      <c r="E19" s="751"/>
      <c r="F19" s="751"/>
      <c r="G19" s="751"/>
      <c r="H19" s="751"/>
      <c r="I19" s="751"/>
      <c r="J19" s="751"/>
      <c r="K19" s="751"/>
      <c r="L19" s="751"/>
      <c r="M19" s="751"/>
      <c r="N19" s="751"/>
      <c r="O19" s="795"/>
      <c r="P19" s="795"/>
      <c r="R19" s="1421"/>
      <c r="S19" s="1421"/>
      <c r="T19" s="1421"/>
      <c r="U19" s="1421"/>
      <c r="V19" s="1421"/>
      <c r="W19" s="1421"/>
      <c r="X19" s="1421"/>
    </row>
    <row r="20" spans="1:24" ht="17.25" hidden="1" customHeight="1">
      <c r="B20" s="748"/>
      <c r="C20" s="750" t="s">
        <v>1050</v>
      </c>
      <c r="D20" s="1439" t="s">
        <v>1052</v>
      </c>
      <c r="E20" s="1439"/>
      <c r="F20" s="1439"/>
      <c r="G20" s="1439"/>
      <c r="H20" s="1439"/>
      <c r="I20" s="1439"/>
      <c r="J20" s="1439"/>
      <c r="K20" s="1439"/>
      <c r="L20" s="1439"/>
      <c r="M20" s="1439"/>
      <c r="N20" s="1439"/>
      <c r="O20" s="795"/>
      <c r="P20" s="795"/>
      <c r="R20" s="1421"/>
      <c r="S20" s="1421"/>
      <c r="T20" s="1421"/>
      <c r="U20" s="1421"/>
      <c r="V20" s="1421"/>
      <c r="W20" s="1421"/>
      <c r="X20" s="1421"/>
    </row>
    <row r="21" spans="1:24" ht="8.25" hidden="1" customHeight="1">
      <c r="B21" s="748"/>
      <c r="C21" s="750"/>
      <c r="D21" s="751"/>
      <c r="E21" s="751"/>
      <c r="F21" s="751"/>
      <c r="G21" s="751"/>
      <c r="H21" s="751"/>
      <c r="I21" s="751"/>
      <c r="J21" s="751"/>
      <c r="K21" s="751"/>
      <c r="L21" s="751"/>
      <c r="M21" s="751"/>
      <c r="N21" s="751"/>
      <c r="O21" s="795"/>
      <c r="P21" s="795"/>
      <c r="R21" s="1421"/>
      <c r="S21" s="1421"/>
      <c r="T21" s="1421"/>
      <c r="U21" s="1421"/>
      <c r="V21" s="1421"/>
      <c r="W21" s="1421"/>
      <c r="X21" s="1421"/>
    </row>
    <row r="22" spans="1:24" ht="37.5" hidden="1" customHeight="1">
      <c r="B22" s="748"/>
      <c r="C22" s="1439" t="s">
        <v>1053</v>
      </c>
      <c r="D22" s="1439"/>
      <c r="E22" s="1439"/>
      <c r="F22" s="1439"/>
      <c r="G22" s="1439"/>
      <c r="H22" s="1439"/>
      <c r="I22" s="1439"/>
      <c r="J22" s="1439"/>
      <c r="K22" s="1439"/>
      <c r="L22" s="1439"/>
      <c r="M22" s="1439"/>
      <c r="N22" s="1439"/>
      <c r="O22" s="795"/>
      <c r="P22" s="795"/>
      <c r="R22" s="1421"/>
      <c r="S22" s="1421"/>
      <c r="T22" s="1421"/>
      <c r="U22" s="1421"/>
      <c r="V22" s="1421"/>
      <c r="W22" s="1421"/>
      <c r="X22" s="1421"/>
    </row>
    <row r="23" spans="1:24" ht="6.75" hidden="1" customHeight="1">
      <c r="B23" s="748"/>
      <c r="C23" s="750"/>
      <c r="D23" s="751"/>
      <c r="E23" s="751"/>
      <c r="F23" s="751"/>
      <c r="G23" s="751"/>
      <c r="H23" s="751"/>
      <c r="I23" s="751"/>
      <c r="J23" s="751"/>
      <c r="K23" s="751"/>
      <c r="L23" s="751"/>
      <c r="M23" s="751"/>
      <c r="N23" s="751"/>
      <c r="O23" s="795"/>
      <c r="P23" s="795"/>
      <c r="R23" s="1421"/>
      <c r="S23" s="1421"/>
      <c r="T23" s="1421"/>
      <c r="U23" s="1421"/>
      <c r="V23" s="1421"/>
      <c r="W23" s="1421"/>
      <c r="X23" s="1421"/>
    </row>
    <row r="24" spans="1:24" ht="15" customHeight="1">
      <c r="A24" s="730">
        <f>A6+1</f>
        <v>2</v>
      </c>
      <c r="B24" s="752" t="s">
        <v>1054</v>
      </c>
      <c r="C24" s="750"/>
      <c r="D24" s="751"/>
      <c r="E24" s="751"/>
      <c r="F24" s="751"/>
      <c r="G24" s="751"/>
      <c r="H24" s="751"/>
      <c r="I24" s="751"/>
      <c r="J24" s="751"/>
      <c r="K24" s="751"/>
      <c r="L24" s="751"/>
      <c r="M24" s="751"/>
      <c r="N24" s="751"/>
      <c r="O24" s="795"/>
      <c r="P24" s="795"/>
      <c r="R24" s="760"/>
      <c r="S24" s="760"/>
      <c r="T24" s="760"/>
      <c r="U24" s="760"/>
      <c r="V24" s="760"/>
      <c r="W24" s="760"/>
      <c r="X24" s="760"/>
    </row>
    <row r="25" spans="1:24" ht="10" customHeight="1">
      <c r="A25" s="730"/>
      <c r="B25" s="753"/>
      <c r="C25" s="750"/>
      <c r="D25" s="751"/>
      <c r="E25" s="751"/>
      <c r="F25" s="751"/>
      <c r="G25" s="751"/>
      <c r="H25" s="751"/>
      <c r="I25" s="751"/>
      <c r="J25" s="751"/>
      <c r="K25" s="751"/>
      <c r="L25" s="751"/>
      <c r="M25" s="751"/>
      <c r="N25" s="751"/>
      <c r="O25" s="795"/>
      <c r="P25" s="795"/>
      <c r="R25" s="760"/>
      <c r="S25" s="760"/>
      <c r="T25" s="760"/>
      <c r="U25" s="760"/>
      <c r="V25" s="760"/>
      <c r="W25" s="760"/>
      <c r="X25" s="760"/>
    </row>
    <row r="26" spans="1:24" ht="15" customHeight="1">
      <c r="A26" s="730"/>
      <c r="B26" s="754">
        <f>A24+0.1</f>
        <v>2.1</v>
      </c>
      <c r="C26" s="1438" t="s">
        <v>1055</v>
      </c>
      <c r="D26" s="1438"/>
      <c r="E26" s="1438"/>
      <c r="F26" s="1438"/>
      <c r="G26" s="1438"/>
      <c r="H26" s="1438"/>
      <c r="I26" s="751"/>
      <c r="J26" s="751"/>
      <c r="K26" s="751"/>
      <c r="L26" s="751"/>
      <c r="M26" s="751"/>
      <c r="N26" s="751"/>
      <c r="O26" s="795"/>
      <c r="P26" s="795"/>
      <c r="R26" s="760"/>
      <c r="S26" s="760"/>
      <c r="T26" s="760"/>
      <c r="U26" s="760"/>
      <c r="V26" s="760"/>
      <c r="W26" s="760"/>
      <c r="X26" s="760"/>
    </row>
    <row r="27" spans="1:24" ht="10" customHeight="1">
      <c r="A27" s="730"/>
      <c r="B27" s="753"/>
      <c r="C27" s="750"/>
      <c r="D27" s="751"/>
      <c r="E27" s="751"/>
      <c r="F27" s="1438"/>
      <c r="G27" s="1438"/>
      <c r="H27" s="1438"/>
      <c r="I27" s="751"/>
      <c r="J27" s="751"/>
      <c r="K27" s="751"/>
      <c r="L27" s="751"/>
      <c r="M27" s="751"/>
      <c r="N27" s="751"/>
      <c r="O27" s="795"/>
      <c r="P27" s="795"/>
      <c r="R27" s="760"/>
      <c r="S27" s="760"/>
      <c r="T27" s="760"/>
      <c r="U27" s="760"/>
      <c r="V27" s="760"/>
      <c r="W27" s="760"/>
      <c r="X27" s="760"/>
    </row>
    <row r="28" spans="1:24" ht="30" customHeight="1">
      <c r="A28" s="730"/>
      <c r="B28" s="753"/>
      <c r="C28" s="1439" t="s">
        <v>1056</v>
      </c>
      <c r="D28" s="1439"/>
      <c r="E28" s="1439"/>
      <c r="F28" s="1439"/>
      <c r="G28" s="1439"/>
      <c r="H28" s="1439"/>
      <c r="I28" s="1439"/>
      <c r="J28" s="1439"/>
      <c r="K28" s="1439"/>
      <c r="L28" s="1439"/>
      <c r="M28" s="1439"/>
      <c r="N28" s="1439"/>
      <c r="O28" s="795"/>
      <c r="P28" s="795"/>
      <c r="R28" s="760"/>
      <c r="S28" s="760"/>
      <c r="T28" s="760"/>
      <c r="U28" s="760"/>
      <c r="V28" s="760"/>
      <c r="W28" s="760"/>
      <c r="X28" s="760"/>
    </row>
    <row r="29" spans="1:24" ht="10" customHeight="1">
      <c r="A29" s="730"/>
      <c r="B29" s="753"/>
      <c r="C29" s="749"/>
      <c r="D29" s="749"/>
      <c r="E29" s="749"/>
      <c r="F29" s="749"/>
      <c r="G29" s="749"/>
      <c r="H29" s="749"/>
      <c r="I29" s="749"/>
      <c r="J29" s="749"/>
      <c r="K29" s="749"/>
      <c r="L29" s="749"/>
      <c r="M29" s="749"/>
      <c r="N29" s="749"/>
      <c r="O29" s="795"/>
      <c r="P29" s="795"/>
      <c r="R29" s="760"/>
      <c r="S29" s="760"/>
      <c r="T29" s="760"/>
      <c r="U29" s="760"/>
      <c r="V29" s="760"/>
      <c r="W29" s="760"/>
      <c r="X29" s="760"/>
    </row>
    <row r="30" spans="1:24" ht="15.75" customHeight="1">
      <c r="A30" s="730"/>
      <c r="B30" s="755">
        <f>B26+0.1</f>
        <v>2.2000000000000002</v>
      </c>
      <c r="C30" s="1438" t="s">
        <v>1057</v>
      </c>
      <c r="D30" s="1438"/>
      <c r="E30" s="1438"/>
      <c r="F30" s="788"/>
      <c r="G30" s="788"/>
      <c r="H30" s="789"/>
      <c r="I30" s="789"/>
      <c r="J30" s="789"/>
      <c r="K30" s="789"/>
      <c r="L30" s="789"/>
      <c r="M30" s="789"/>
      <c r="N30" s="776"/>
      <c r="O30" s="789"/>
      <c r="P30" s="789"/>
    </row>
    <row r="31" spans="1:24" ht="14.15" customHeight="1">
      <c r="B31" s="755"/>
      <c r="C31" s="1419" t="s">
        <v>1058</v>
      </c>
      <c r="D31" s="1419"/>
      <c r="E31" s="1419"/>
      <c r="F31" s="1419"/>
      <c r="G31" s="1419"/>
      <c r="H31" s="1419"/>
      <c r="I31" s="1419"/>
      <c r="J31" s="1419"/>
      <c r="K31" s="1419"/>
      <c r="L31" s="1419"/>
      <c r="M31" s="1419"/>
      <c r="N31" s="1419"/>
      <c r="O31" s="789"/>
      <c r="P31" s="789"/>
    </row>
    <row r="32" spans="1:24" ht="14.15" customHeight="1">
      <c r="B32" s="755"/>
      <c r="C32" s="757"/>
      <c r="D32" s="757"/>
      <c r="E32" s="757"/>
      <c r="F32" s="757"/>
      <c r="G32" s="757"/>
      <c r="H32" s="757"/>
      <c r="I32" s="757"/>
      <c r="J32" s="757"/>
      <c r="K32" s="757"/>
      <c r="L32" s="757"/>
      <c r="M32" s="757"/>
      <c r="N32" s="757"/>
      <c r="O32" s="789"/>
      <c r="P32" s="789"/>
    </row>
    <row r="33" spans="2:17" ht="15.75" customHeight="1">
      <c r="B33" s="758">
        <f>B30+0.1</f>
        <v>2.2999999999999998</v>
      </c>
      <c r="C33" s="759" t="s">
        <v>1059</v>
      </c>
      <c r="D33" s="760"/>
      <c r="E33" s="760"/>
      <c r="F33" s="760"/>
      <c r="G33" s="760"/>
      <c r="H33" s="760"/>
      <c r="I33" s="760"/>
      <c r="J33" s="760"/>
      <c r="K33" s="760"/>
      <c r="L33" s="760"/>
      <c r="M33" s="760"/>
      <c r="N33" s="760"/>
      <c r="O33" s="795"/>
      <c r="P33" s="795"/>
    </row>
    <row r="34" spans="2:17" ht="4.5" customHeight="1">
      <c r="B34" s="761"/>
      <c r="C34" s="762"/>
      <c r="D34" s="760"/>
      <c r="E34" s="760"/>
      <c r="F34" s="760"/>
      <c r="G34" s="760"/>
      <c r="H34" s="760"/>
      <c r="I34" s="760"/>
      <c r="J34" s="760"/>
      <c r="K34" s="760"/>
      <c r="L34" s="760"/>
      <c r="M34" s="760"/>
      <c r="N34" s="760"/>
      <c r="O34" s="795"/>
      <c r="P34" s="795"/>
    </row>
    <row r="35" spans="2:17" ht="33.75" customHeight="1">
      <c r="B35" s="761"/>
      <c r="C35" s="1421" t="s">
        <v>1060</v>
      </c>
      <c r="D35" s="1421"/>
      <c r="E35" s="1421"/>
      <c r="F35" s="1421"/>
      <c r="G35" s="1421"/>
      <c r="H35" s="1421"/>
      <c r="I35" s="1421"/>
      <c r="J35" s="1421"/>
      <c r="K35" s="1421"/>
      <c r="L35" s="1421"/>
      <c r="M35" s="1421"/>
      <c r="N35" s="1421"/>
      <c r="O35" s="794"/>
      <c r="P35" s="794"/>
    </row>
    <row r="36" spans="2:17" ht="4.5" customHeight="1">
      <c r="B36" s="761"/>
      <c r="C36" s="762"/>
      <c r="D36" s="760"/>
      <c r="E36" s="760"/>
      <c r="F36" s="760"/>
      <c r="G36" s="760"/>
      <c r="H36" s="760"/>
      <c r="I36" s="760"/>
      <c r="J36" s="760"/>
      <c r="K36" s="760"/>
      <c r="L36" s="760"/>
      <c r="M36" s="760"/>
      <c r="N36" s="760"/>
      <c r="O36" s="795"/>
      <c r="P36" s="795"/>
    </row>
    <row r="37" spans="2:17" ht="16.5" customHeight="1">
      <c r="B37" s="758">
        <f>B33+0.1</f>
        <v>2.4</v>
      </c>
      <c r="C37" s="759" t="s">
        <v>1061</v>
      </c>
      <c r="D37" s="763"/>
      <c r="E37" s="760"/>
      <c r="F37" s="760"/>
      <c r="G37" s="760"/>
      <c r="H37" s="760"/>
      <c r="I37" s="760"/>
      <c r="J37" s="760"/>
      <c r="K37" s="760"/>
      <c r="L37" s="760"/>
      <c r="M37" s="760"/>
      <c r="N37" s="760"/>
      <c r="O37" s="795"/>
      <c r="P37" s="795"/>
    </row>
    <row r="38" spans="2:17" ht="3.75" customHeight="1">
      <c r="B38" s="764"/>
      <c r="C38" s="762"/>
      <c r="D38" s="760"/>
      <c r="E38" s="760"/>
      <c r="F38" s="760"/>
      <c r="G38" s="760"/>
      <c r="H38" s="760"/>
      <c r="I38" s="760"/>
      <c r="J38" s="760"/>
      <c r="K38" s="760"/>
      <c r="L38" s="760"/>
      <c r="M38" s="760"/>
      <c r="N38" s="760"/>
      <c r="O38" s="795"/>
      <c r="P38" s="795"/>
    </row>
    <row r="39" spans="2:17" ht="31" customHeight="1">
      <c r="B39" s="764"/>
      <c r="C39" s="1422" t="s">
        <v>1062</v>
      </c>
      <c r="D39" s="1422"/>
      <c r="E39" s="1422"/>
      <c r="F39" s="1422"/>
      <c r="G39" s="1422"/>
      <c r="H39" s="1422"/>
      <c r="I39" s="1422"/>
      <c r="J39" s="1422"/>
      <c r="K39" s="1422"/>
      <c r="L39" s="1422"/>
      <c r="M39" s="1422"/>
      <c r="N39" s="1422"/>
      <c r="O39" s="766"/>
      <c r="P39" s="766"/>
      <c r="Q39" s="766"/>
    </row>
    <row r="40" spans="2:17" ht="31" customHeight="1">
      <c r="B40" s="764"/>
      <c r="C40" s="1422"/>
      <c r="D40" s="1422"/>
      <c r="E40" s="1422"/>
      <c r="F40" s="1422"/>
      <c r="G40" s="1422"/>
      <c r="H40" s="1422"/>
      <c r="I40" s="1422"/>
      <c r="J40" s="1422"/>
      <c r="K40" s="1422"/>
      <c r="L40" s="1422"/>
      <c r="M40" s="1422"/>
      <c r="N40" s="1422"/>
      <c r="O40" s="766"/>
      <c r="P40" s="766"/>
      <c r="Q40" s="766"/>
    </row>
    <row r="41" spans="2:17" ht="13.5" customHeight="1">
      <c r="B41" s="764"/>
      <c r="C41" s="1422" t="s">
        <v>1063</v>
      </c>
      <c r="D41" s="1422"/>
      <c r="E41" s="1422"/>
      <c r="F41" s="1422"/>
      <c r="G41" s="1422"/>
      <c r="H41" s="1422"/>
      <c r="I41" s="1422"/>
      <c r="J41" s="1422"/>
      <c r="K41" s="1422"/>
      <c r="L41" s="1422"/>
      <c r="M41" s="1422"/>
      <c r="N41" s="1422"/>
      <c r="O41" s="766"/>
      <c r="P41" s="766"/>
      <c r="Q41" s="766"/>
    </row>
    <row r="42" spans="2:17" ht="16.5" customHeight="1">
      <c r="B42" s="764"/>
      <c r="C42" s="1422"/>
      <c r="D42" s="1422"/>
      <c r="E42" s="1422"/>
      <c r="F42" s="1422"/>
      <c r="G42" s="1422"/>
      <c r="H42" s="1422"/>
      <c r="I42" s="1422"/>
      <c r="J42" s="1422"/>
      <c r="K42" s="1422"/>
      <c r="L42" s="1422"/>
      <c r="M42" s="1422"/>
      <c r="N42" s="1422"/>
      <c r="O42" s="766"/>
      <c r="P42" s="766"/>
      <c r="Q42" s="766"/>
    </row>
    <row r="43" spans="2:17" ht="6.75" customHeight="1">
      <c r="B43" s="764"/>
      <c r="C43" s="765"/>
      <c r="D43" s="766"/>
      <c r="E43" s="766"/>
      <c r="F43" s="766"/>
      <c r="G43" s="766"/>
      <c r="H43" s="766"/>
      <c r="I43" s="766"/>
      <c r="J43" s="766"/>
      <c r="K43" s="766"/>
      <c r="L43" s="766"/>
      <c r="M43" s="766"/>
      <c r="N43" s="766"/>
      <c r="O43" s="766"/>
      <c r="P43" s="766"/>
      <c r="Q43" s="766"/>
    </row>
    <row r="44" spans="2:17" ht="5.25" customHeight="1">
      <c r="B44" s="764"/>
      <c r="C44" s="762"/>
      <c r="D44" s="760"/>
      <c r="E44" s="760"/>
      <c r="F44" s="760"/>
      <c r="G44" s="760"/>
      <c r="H44" s="760"/>
      <c r="I44" s="760"/>
      <c r="J44" s="760"/>
      <c r="K44" s="760"/>
      <c r="L44" s="760"/>
      <c r="M44" s="760"/>
      <c r="N44" s="760"/>
      <c r="O44" s="795"/>
      <c r="P44" s="795"/>
    </row>
    <row r="45" spans="2:17" ht="30.75" hidden="1" customHeight="1">
      <c r="B45" s="761"/>
      <c r="C45" s="767" t="s">
        <v>1064</v>
      </c>
      <c r="D45" s="768"/>
      <c r="E45" s="1436" t="s">
        <v>1065</v>
      </c>
      <c r="F45" s="1436"/>
      <c r="G45" s="1436"/>
      <c r="H45" s="1436"/>
      <c r="I45" s="1436"/>
      <c r="J45" s="1436"/>
      <c r="K45" s="1436"/>
      <c r="L45" s="1436"/>
      <c r="M45" s="1436"/>
      <c r="N45" s="1436"/>
      <c r="O45" s="1436"/>
      <c r="P45" s="1436"/>
    </row>
    <row r="46" spans="2:17" hidden="1">
      <c r="B46" s="761"/>
      <c r="C46" s="767" t="s">
        <v>1066</v>
      </c>
      <c r="D46" s="769"/>
      <c r="E46" s="769" t="s">
        <v>1067</v>
      </c>
      <c r="F46" s="768"/>
      <c r="G46" s="768"/>
      <c r="H46" s="768"/>
      <c r="I46" s="768"/>
      <c r="J46" s="768"/>
      <c r="K46" s="768"/>
      <c r="L46" s="768"/>
      <c r="M46" s="768"/>
      <c r="N46" s="768"/>
      <c r="O46" s="768"/>
      <c r="P46" s="768"/>
    </row>
    <row r="47" spans="2:17" ht="16.5" hidden="1" customHeight="1">
      <c r="B47" s="761"/>
      <c r="C47" s="770"/>
      <c r="D47" s="768"/>
      <c r="E47" s="768"/>
      <c r="F47" s="768"/>
      <c r="G47" s="768"/>
      <c r="H47" s="768"/>
      <c r="I47" s="768"/>
      <c r="J47" s="768"/>
      <c r="K47" s="768"/>
      <c r="L47" s="768"/>
      <c r="M47" s="768"/>
      <c r="N47" s="768"/>
      <c r="O47" s="768"/>
      <c r="P47" s="768"/>
    </row>
    <row r="48" spans="2:17" hidden="1">
      <c r="C48" s="1437" t="s">
        <v>1068</v>
      </c>
      <c r="D48" s="1437"/>
      <c r="E48" s="1437"/>
      <c r="F48" s="1437"/>
      <c r="G48" s="1437"/>
      <c r="H48" s="1437"/>
      <c r="I48" s="1437"/>
      <c r="J48" s="1437"/>
      <c r="K48" s="1437"/>
      <c r="L48" s="1437"/>
      <c r="M48" s="1437"/>
      <c r="N48" s="1437"/>
      <c r="O48" s="1437"/>
      <c r="P48" s="1437"/>
    </row>
    <row r="49" spans="1:24" ht="20.25" customHeight="1">
      <c r="A49" s="730">
        <f>A24+1</f>
        <v>3</v>
      </c>
      <c r="B49" s="771" t="s">
        <v>1069</v>
      </c>
      <c r="C49" s="770"/>
      <c r="D49" s="768"/>
      <c r="E49" s="768"/>
      <c r="F49" s="768"/>
      <c r="G49" s="768"/>
      <c r="H49" s="768"/>
      <c r="I49" s="768"/>
      <c r="J49" s="768"/>
      <c r="K49" s="768"/>
      <c r="L49" s="768"/>
      <c r="M49" s="768"/>
      <c r="N49" s="768"/>
      <c r="O49" s="768"/>
      <c r="P49" s="768"/>
    </row>
    <row r="50" spans="1:24" ht="6" customHeight="1">
      <c r="B50" s="772"/>
      <c r="C50" s="773"/>
      <c r="D50" s="732"/>
      <c r="E50" s="732"/>
      <c r="F50" s="747"/>
      <c r="G50" s="747"/>
    </row>
    <row r="51" spans="1:24" ht="30" customHeight="1">
      <c r="C51" s="1422" t="s">
        <v>1070</v>
      </c>
      <c r="D51" s="1422"/>
      <c r="E51" s="1422"/>
      <c r="F51" s="1422"/>
      <c r="G51" s="1422"/>
      <c r="H51" s="1422"/>
      <c r="I51" s="1422"/>
      <c r="J51" s="1422"/>
      <c r="K51" s="1422"/>
      <c r="L51" s="1422"/>
      <c r="M51" s="1422"/>
      <c r="N51" s="1422"/>
      <c r="O51" s="766"/>
      <c r="P51" s="766"/>
    </row>
    <row r="52" spans="1:24" ht="6.75" customHeight="1">
      <c r="C52" s="774"/>
      <c r="D52" s="775"/>
      <c r="E52" s="732"/>
      <c r="F52" s="747"/>
      <c r="G52" s="747"/>
    </row>
    <row r="53" spans="1:24" ht="20.25" hidden="1" customHeight="1">
      <c r="B53" s="776"/>
      <c r="C53" s="1435" t="s">
        <v>1071</v>
      </c>
      <c r="D53" s="1435"/>
      <c r="E53" s="1435"/>
      <c r="F53" s="1435"/>
      <c r="G53" s="1435"/>
      <c r="H53" s="1435"/>
      <c r="I53" s="1435"/>
      <c r="J53" s="1435"/>
      <c r="K53" s="1435"/>
      <c r="L53" s="1435"/>
      <c r="M53" s="1435"/>
      <c r="N53" s="1435"/>
      <c r="O53" s="796"/>
      <c r="P53" s="796"/>
    </row>
    <row r="54" spans="1:24" ht="5.25" hidden="1" customHeight="1">
      <c r="B54" s="776"/>
      <c r="C54" s="777"/>
      <c r="D54" s="778"/>
      <c r="E54" s="778"/>
      <c r="F54" s="778"/>
      <c r="G54" s="778"/>
      <c r="H54" s="778"/>
      <c r="I54" s="778"/>
      <c r="J54" s="778"/>
      <c r="K54" s="778"/>
      <c r="L54" s="778"/>
      <c r="M54" s="778"/>
      <c r="N54" s="778"/>
      <c r="O54" s="760"/>
      <c r="P54" s="760"/>
    </row>
    <row r="55" spans="1:24" ht="49.5" hidden="1" customHeight="1">
      <c r="B55" s="776"/>
      <c r="C55" s="1435" t="s">
        <v>1072</v>
      </c>
      <c r="D55" s="1435"/>
      <c r="E55" s="1435"/>
      <c r="F55" s="1435"/>
      <c r="G55" s="1435"/>
      <c r="H55" s="1435"/>
      <c r="I55" s="1435"/>
      <c r="J55" s="1435"/>
      <c r="K55" s="1435"/>
      <c r="L55" s="1435"/>
      <c r="M55" s="1435"/>
      <c r="N55" s="1435"/>
      <c r="O55" s="796"/>
      <c r="P55" s="796"/>
      <c r="Q55" s="796"/>
    </row>
    <row r="56" spans="1:24" ht="12" hidden="1" customHeight="1">
      <c r="B56" s="776"/>
      <c r="C56" s="779"/>
      <c r="D56" s="780"/>
      <c r="E56" s="780"/>
      <c r="F56" s="780"/>
      <c r="G56" s="780"/>
      <c r="H56" s="780"/>
      <c r="I56" s="780"/>
      <c r="J56" s="780"/>
      <c r="K56" s="780"/>
      <c r="L56" s="780"/>
      <c r="M56" s="780"/>
      <c r="N56" s="780"/>
      <c r="O56" s="796"/>
      <c r="P56" s="796"/>
      <c r="Q56" s="796"/>
    </row>
    <row r="57" spans="1:24" ht="21.75" hidden="1" customHeight="1">
      <c r="B57" s="776"/>
      <c r="C57" s="1435" t="s">
        <v>1073</v>
      </c>
      <c r="D57" s="1435"/>
      <c r="E57" s="1435"/>
      <c r="F57" s="1435"/>
      <c r="G57" s="1435"/>
      <c r="H57" s="1435"/>
      <c r="I57" s="1435"/>
      <c r="J57" s="1435"/>
      <c r="K57" s="1435"/>
      <c r="L57" s="1435"/>
      <c r="M57" s="1435"/>
      <c r="N57" s="1435"/>
      <c r="O57" s="796"/>
      <c r="P57" s="796"/>
      <c r="Q57" s="796"/>
    </row>
    <row r="58" spans="1:24" ht="33.75" hidden="1" customHeight="1">
      <c r="B58" s="776"/>
      <c r="C58" s="1435" t="s">
        <v>1074</v>
      </c>
      <c r="D58" s="1435"/>
      <c r="E58" s="1435"/>
      <c r="F58" s="1435"/>
      <c r="G58" s="1435"/>
      <c r="H58" s="1435"/>
      <c r="I58" s="1435"/>
      <c r="J58" s="1435"/>
      <c r="K58" s="1435"/>
      <c r="L58" s="1435"/>
      <c r="M58" s="1435"/>
      <c r="N58" s="1435"/>
      <c r="O58" s="796"/>
      <c r="P58" s="796"/>
      <c r="Q58" s="796"/>
    </row>
    <row r="59" spans="1:24" ht="41.25" hidden="1" customHeight="1">
      <c r="B59" s="776"/>
      <c r="C59" s="1435" t="s">
        <v>1075</v>
      </c>
      <c r="D59" s="1435"/>
      <c r="E59" s="1435"/>
      <c r="F59" s="1435"/>
      <c r="G59" s="1435"/>
      <c r="H59" s="1435"/>
      <c r="I59" s="1435"/>
      <c r="J59" s="1435"/>
      <c r="K59" s="1435"/>
      <c r="L59" s="1435"/>
      <c r="M59" s="1435"/>
      <c r="N59" s="1435"/>
      <c r="O59" s="766"/>
      <c r="P59" s="766"/>
      <c r="Q59" s="766"/>
    </row>
    <row r="60" spans="1:24" ht="18.75" hidden="1" customHeight="1">
      <c r="B60" s="781" t="e">
        <f>#REF!+0.1</f>
        <v>#REF!</v>
      </c>
      <c r="C60" s="773" t="s">
        <v>1076</v>
      </c>
      <c r="E60" s="785"/>
      <c r="F60" s="785"/>
      <c r="G60" s="785"/>
      <c r="H60" s="785"/>
      <c r="I60" s="785"/>
      <c r="J60" s="785"/>
      <c r="K60" s="785"/>
      <c r="L60" s="785"/>
      <c r="M60" s="785"/>
      <c r="N60" s="797">
        <v>91381500</v>
      </c>
      <c r="O60" s="796"/>
      <c r="P60" s="796"/>
      <c r="Q60" s="796"/>
    </row>
    <row r="61" spans="1:24" ht="3.75" hidden="1" customHeight="1">
      <c r="B61" s="776"/>
      <c r="C61" s="782"/>
      <c r="D61" s="732"/>
      <c r="E61" s="785"/>
      <c r="F61" s="785"/>
      <c r="G61" s="785"/>
      <c r="H61" s="785"/>
      <c r="I61" s="785"/>
      <c r="J61" s="785"/>
      <c r="K61" s="785"/>
      <c r="L61" s="790" t="s">
        <v>1023</v>
      </c>
      <c r="M61" s="785"/>
      <c r="N61" s="785"/>
      <c r="O61" s="796"/>
      <c r="P61" s="796"/>
      <c r="Q61" s="796"/>
    </row>
    <row r="62" spans="1:24" ht="33.75" hidden="1" customHeight="1">
      <c r="B62" s="776"/>
      <c r="C62" s="1418" t="s">
        <v>1077</v>
      </c>
      <c r="D62" s="1418"/>
      <c r="E62" s="1418"/>
      <c r="F62" s="1418"/>
      <c r="G62" s="1418"/>
      <c r="H62" s="1418"/>
      <c r="I62" s="1418"/>
      <c r="J62" s="1418"/>
      <c r="K62" s="1418"/>
      <c r="L62" s="1418"/>
      <c r="M62" s="1418"/>
      <c r="N62" s="1418"/>
      <c r="O62" s="742"/>
      <c r="P62" s="796"/>
      <c r="Q62" s="796"/>
    </row>
    <row r="63" spans="1:24" hidden="1">
      <c r="B63" s="776"/>
      <c r="C63" s="784"/>
      <c r="D63" s="785"/>
      <c r="E63" s="785"/>
      <c r="F63" s="785"/>
      <c r="G63" s="785"/>
      <c r="H63" s="785"/>
      <c r="I63" s="785"/>
      <c r="J63" s="785"/>
      <c r="K63" s="785"/>
      <c r="L63" s="785"/>
      <c r="M63" s="785"/>
      <c r="N63" s="785"/>
      <c r="O63" s="796"/>
      <c r="P63" s="796"/>
      <c r="Q63" s="796"/>
    </row>
    <row r="64" spans="1:24">
      <c r="B64" s="786">
        <f>A49+0.1</f>
        <v>3.1</v>
      </c>
      <c r="C64" s="787" t="s">
        <v>1078</v>
      </c>
      <c r="E64" s="756"/>
      <c r="F64" s="756"/>
      <c r="G64" s="756"/>
      <c r="H64" s="756"/>
      <c r="I64" s="756"/>
      <c r="J64" s="756"/>
      <c r="K64" s="756"/>
      <c r="L64" s="756"/>
      <c r="M64" s="756"/>
      <c r="N64" s="756"/>
      <c r="O64" s="756"/>
      <c r="P64" s="756"/>
      <c r="Q64" s="768"/>
      <c r="R64" s="798"/>
      <c r="S64" s="798"/>
      <c r="T64" s="799"/>
      <c r="U64" s="798"/>
      <c r="V64" s="800"/>
      <c r="W64" s="798"/>
      <c r="X64" s="800"/>
    </row>
    <row r="65" spans="2:26" ht="4.5" customHeight="1">
      <c r="B65" s="786"/>
      <c r="C65" s="773"/>
      <c r="D65" s="756"/>
      <c r="E65" s="756"/>
      <c r="F65" s="756"/>
      <c r="G65" s="756"/>
      <c r="H65" s="756"/>
      <c r="I65" s="756"/>
      <c r="J65" s="756"/>
      <c r="K65" s="756"/>
      <c r="L65" s="756"/>
      <c r="M65" s="756"/>
      <c r="N65" s="756"/>
      <c r="O65" s="756"/>
      <c r="P65" s="756"/>
      <c r="Q65" s="768"/>
      <c r="R65" s="798"/>
      <c r="S65" s="798"/>
      <c r="T65" s="799"/>
      <c r="U65" s="798"/>
      <c r="V65" s="800"/>
      <c r="W65" s="798"/>
      <c r="X65" s="800"/>
    </row>
    <row r="66" spans="2:26" ht="4.5" customHeight="1">
      <c r="B66" s="786"/>
      <c r="C66" s="787"/>
      <c r="E66" s="756"/>
      <c r="F66" s="756"/>
      <c r="G66" s="756"/>
      <c r="H66" s="756"/>
      <c r="I66" s="756"/>
      <c r="J66" s="756"/>
      <c r="K66" s="756"/>
      <c r="L66" s="756"/>
      <c r="M66" s="756"/>
      <c r="N66" s="756"/>
      <c r="O66" s="756"/>
      <c r="P66" s="756"/>
      <c r="Q66" s="768"/>
      <c r="R66" s="798"/>
      <c r="S66" s="798"/>
      <c r="T66" s="799"/>
      <c r="U66" s="798"/>
      <c r="V66" s="800"/>
      <c r="W66" s="798"/>
      <c r="X66" s="800"/>
    </row>
    <row r="67" spans="2:26" ht="5.25" customHeight="1">
      <c r="B67" s="786"/>
      <c r="C67" s="773"/>
      <c r="D67" s="801"/>
      <c r="E67" s="756"/>
      <c r="F67" s="756"/>
      <c r="G67" s="756"/>
      <c r="H67" s="756"/>
      <c r="I67" s="756"/>
      <c r="J67" s="756"/>
      <c r="K67" s="756"/>
      <c r="L67" s="756"/>
      <c r="M67" s="756"/>
      <c r="N67" s="756"/>
      <c r="O67" s="756"/>
      <c r="P67" s="756"/>
      <c r="Q67" s="768"/>
      <c r="R67" s="798"/>
      <c r="S67" s="798"/>
      <c r="T67" s="799"/>
      <c r="U67" s="798"/>
      <c r="V67" s="800"/>
      <c r="W67" s="798"/>
      <c r="X67" s="800"/>
    </row>
    <row r="68" spans="2:26" ht="18.75" customHeight="1">
      <c r="B68" s="786"/>
      <c r="C68" s="802" t="s">
        <v>1079</v>
      </c>
      <c r="D68" s="803" t="s">
        <v>1080</v>
      </c>
      <c r="F68" s="796"/>
      <c r="G68" s="796"/>
      <c r="H68" s="796"/>
      <c r="I68" s="796"/>
      <c r="J68" s="796"/>
      <c r="K68" s="796"/>
      <c r="L68" s="796"/>
      <c r="M68" s="796"/>
      <c r="N68" s="796"/>
      <c r="O68" s="742"/>
      <c r="P68" s="742"/>
      <c r="Q68" s="1419"/>
      <c r="R68" s="1419"/>
      <c r="S68" s="1419"/>
      <c r="T68" s="1419"/>
      <c r="U68" s="1419"/>
      <c r="V68" s="1419"/>
      <c r="W68" s="1419"/>
      <c r="X68" s="1419"/>
      <c r="Y68" s="1419"/>
      <c r="Z68" s="1419"/>
    </row>
    <row r="69" spans="2:26" ht="3.75" customHeight="1">
      <c r="B69" s="786"/>
      <c r="C69" s="804"/>
      <c r="E69" s="760"/>
      <c r="F69" s="760"/>
      <c r="G69" s="760"/>
      <c r="H69" s="760"/>
      <c r="I69" s="760"/>
      <c r="J69" s="760"/>
      <c r="K69" s="760"/>
      <c r="L69" s="760"/>
      <c r="M69" s="760"/>
      <c r="N69" s="760"/>
      <c r="O69" s="760"/>
      <c r="P69" s="760"/>
    </row>
    <row r="70" spans="2:26" ht="28" customHeight="1">
      <c r="B70" s="786"/>
      <c r="C70" s="802" t="s">
        <v>1079</v>
      </c>
      <c r="D70" s="1433" t="s">
        <v>1081</v>
      </c>
      <c r="E70" s="1433"/>
      <c r="F70" s="1433"/>
      <c r="G70" s="1433"/>
      <c r="H70" s="1433"/>
      <c r="I70" s="1433"/>
      <c r="J70" s="1433"/>
      <c r="K70" s="1433"/>
      <c r="L70" s="1433"/>
      <c r="M70" s="1433"/>
      <c r="N70" s="1433"/>
      <c r="O70" s="760"/>
      <c r="P70" s="760"/>
    </row>
    <row r="71" spans="2:26" ht="3.75" customHeight="1">
      <c r="B71" s="786"/>
      <c r="C71" s="805"/>
      <c r="E71" s="796"/>
      <c r="F71" s="796"/>
      <c r="G71" s="796"/>
      <c r="H71" s="796"/>
      <c r="I71" s="796"/>
      <c r="J71" s="796"/>
      <c r="K71" s="796"/>
      <c r="L71" s="797">
        <v>800000</v>
      </c>
      <c r="M71" s="796"/>
      <c r="N71" s="796"/>
      <c r="O71" s="760"/>
      <c r="P71" s="760"/>
    </row>
    <row r="72" spans="2:26" ht="31" customHeight="1">
      <c r="B72" s="786"/>
      <c r="C72" s="802" t="s">
        <v>1079</v>
      </c>
      <c r="D72" s="1433" t="s">
        <v>1082</v>
      </c>
      <c r="E72" s="1433"/>
      <c r="F72" s="1433"/>
      <c r="G72" s="1433"/>
      <c r="H72" s="1433"/>
      <c r="I72" s="1433"/>
      <c r="J72" s="1433"/>
      <c r="K72" s="1433"/>
      <c r="L72" s="1433"/>
      <c r="M72" s="1433"/>
      <c r="N72" s="1433"/>
      <c r="O72" s="760"/>
      <c r="P72" s="760"/>
    </row>
    <row r="73" spans="2:26">
      <c r="B73" s="786"/>
      <c r="C73" s="806" t="str">
        <f>C72</f>
        <v>o</v>
      </c>
      <c r="D73" s="1434" t="s">
        <v>1083</v>
      </c>
      <c r="E73" s="1434"/>
      <c r="F73" s="1434"/>
      <c r="G73" s="1434"/>
      <c r="H73" s="1434"/>
      <c r="I73" s="1434"/>
      <c r="J73" s="1434"/>
      <c r="K73" s="1434"/>
      <c r="L73" s="1434"/>
      <c r="M73" s="1434"/>
      <c r="N73" s="1434"/>
      <c r="O73" s="760"/>
      <c r="P73" s="760"/>
    </row>
    <row r="74" spans="2:26" ht="3.75" customHeight="1">
      <c r="B74" s="786"/>
      <c r="C74" s="807"/>
      <c r="E74" s="760"/>
      <c r="F74" s="760"/>
      <c r="G74" s="760"/>
      <c r="H74" s="760"/>
      <c r="I74" s="760"/>
      <c r="J74" s="760"/>
      <c r="K74" s="760"/>
      <c r="L74" s="760"/>
      <c r="M74" s="760"/>
      <c r="N74" s="760"/>
      <c r="O74" s="760"/>
      <c r="P74" s="760"/>
    </row>
    <row r="75" spans="2:26" ht="14.25" customHeight="1">
      <c r="B75" s="786"/>
      <c r="C75" s="802" t="s">
        <v>1079</v>
      </c>
      <c r="D75" s="1433" t="s">
        <v>1084</v>
      </c>
      <c r="E75" s="1433"/>
      <c r="F75" s="1433"/>
      <c r="G75" s="1433"/>
      <c r="H75" s="1433"/>
      <c r="I75" s="1433"/>
      <c r="J75" s="1433"/>
      <c r="K75" s="1433"/>
      <c r="L75" s="1433"/>
      <c r="M75" s="1433"/>
      <c r="N75" s="1433"/>
      <c r="O75" s="760"/>
      <c r="P75" s="760"/>
    </row>
    <row r="76" spans="2:26" ht="5.25" customHeight="1">
      <c r="B76" s="808"/>
      <c r="C76" s="809"/>
      <c r="E76" s="747"/>
      <c r="F76" s="747"/>
      <c r="G76" s="747"/>
      <c r="N76" s="793"/>
    </row>
    <row r="77" spans="2:26" ht="48.75" hidden="1" customHeight="1">
      <c r="B77" s="808"/>
      <c r="C77" s="810" t="s">
        <v>1079</v>
      </c>
      <c r="D77" s="1421" t="s">
        <v>1085</v>
      </c>
      <c r="E77" s="1421"/>
      <c r="F77" s="1421"/>
      <c r="G77" s="1421"/>
      <c r="H77" s="1421"/>
      <c r="I77" s="1421"/>
      <c r="J77" s="1421"/>
      <c r="K77" s="1421"/>
      <c r="L77" s="1421"/>
      <c r="M77" s="1421"/>
      <c r="N77" s="1421"/>
      <c r="O77" s="794"/>
      <c r="P77" s="794"/>
      <c r="Q77" s="848"/>
    </row>
    <row r="78" spans="2:26" ht="6" hidden="1" customHeight="1">
      <c r="B78" s="808"/>
      <c r="C78" s="811"/>
      <c r="D78" s="789"/>
      <c r="E78" s="789"/>
      <c r="F78" s="789"/>
      <c r="G78" s="789"/>
      <c r="H78" s="789"/>
      <c r="I78" s="789"/>
      <c r="J78" s="789"/>
      <c r="K78" s="789"/>
      <c r="L78" s="789"/>
      <c r="M78" s="789"/>
      <c r="N78" s="842"/>
      <c r="O78" s="789"/>
      <c r="P78" s="789"/>
      <c r="Q78" s="789"/>
    </row>
    <row r="79" spans="2:26" ht="33" hidden="1" customHeight="1">
      <c r="B79" s="808"/>
      <c r="C79" s="810" t="s">
        <v>1079</v>
      </c>
      <c r="D79" s="1421" t="s">
        <v>1086</v>
      </c>
      <c r="E79" s="1421"/>
      <c r="F79" s="1421"/>
      <c r="G79" s="1421"/>
      <c r="H79" s="1421"/>
      <c r="I79" s="1421"/>
      <c r="J79" s="1421"/>
      <c r="K79" s="1421"/>
      <c r="L79" s="1421"/>
      <c r="M79" s="1421"/>
      <c r="N79" s="1421"/>
      <c r="O79" s="794"/>
      <c r="P79" s="794"/>
      <c r="Q79" s="760"/>
    </row>
    <row r="80" spans="2:26" ht="9" hidden="1" customHeight="1">
      <c r="B80" s="808"/>
      <c r="C80" s="811"/>
      <c r="D80" s="789"/>
      <c r="E80" s="789"/>
      <c r="F80" s="789"/>
      <c r="G80" s="789"/>
      <c r="H80" s="789"/>
      <c r="I80" s="789"/>
      <c r="J80" s="789"/>
      <c r="K80" s="789"/>
      <c r="L80" s="789"/>
      <c r="M80" s="789"/>
      <c r="N80" s="842"/>
      <c r="O80" s="789"/>
      <c r="P80" s="789"/>
      <c r="Q80" s="789"/>
    </row>
    <row r="81" spans="1:20" ht="32.25" hidden="1" customHeight="1">
      <c r="B81" s="808"/>
      <c r="C81" s="810" t="s">
        <v>1079</v>
      </c>
      <c r="D81" s="1421" t="s">
        <v>1087</v>
      </c>
      <c r="E81" s="1421"/>
      <c r="F81" s="1421"/>
      <c r="G81" s="1421"/>
      <c r="H81" s="1421"/>
      <c r="I81" s="1421"/>
      <c r="J81" s="1421"/>
      <c r="K81" s="1421"/>
      <c r="L81" s="1421"/>
      <c r="M81" s="1421"/>
      <c r="N81" s="1421"/>
      <c r="O81" s="794"/>
      <c r="P81" s="794"/>
      <c r="Q81" s="760"/>
    </row>
    <row r="82" spans="1:20" ht="11.25" customHeight="1">
      <c r="B82" s="808"/>
      <c r="C82" s="810"/>
      <c r="D82" s="760"/>
      <c r="E82" s="760"/>
      <c r="F82" s="760"/>
      <c r="G82" s="760"/>
      <c r="H82" s="760"/>
      <c r="I82" s="760"/>
      <c r="J82" s="760"/>
      <c r="K82" s="760"/>
      <c r="L82" s="760"/>
      <c r="M82" s="760"/>
      <c r="N82" s="760"/>
      <c r="O82" s="760"/>
      <c r="P82" s="760"/>
      <c r="Q82" s="760"/>
    </row>
    <row r="83" spans="1:20" ht="19.5" customHeight="1">
      <c r="B83" s="786">
        <f>B64+0.1</f>
        <v>3.2</v>
      </c>
      <c r="C83" s="812" t="s">
        <v>1088</v>
      </c>
      <c r="D83" s="760"/>
      <c r="E83" s="760"/>
      <c r="F83" s="760"/>
      <c r="G83" s="760"/>
      <c r="H83" s="760"/>
      <c r="I83" s="760"/>
      <c r="J83" s="760"/>
      <c r="K83" s="760"/>
      <c r="L83" s="760"/>
      <c r="M83" s="760"/>
      <c r="N83" s="760"/>
      <c r="O83" s="760"/>
      <c r="P83" s="760"/>
      <c r="Q83" s="760"/>
    </row>
    <row r="84" spans="1:20" ht="3" customHeight="1">
      <c r="B84" s="808"/>
      <c r="C84" s="810"/>
      <c r="D84" s="760"/>
      <c r="E84" s="760"/>
      <c r="F84" s="760"/>
      <c r="G84" s="760"/>
      <c r="H84" s="760"/>
      <c r="I84" s="760"/>
      <c r="J84" s="760"/>
      <c r="K84" s="760"/>
      <c r="L84" s="760"/>
      <c r="M84" s="760"/>
      <c r="N84" s="760"/>
      <c r="O84" s="760"/>
      <c r="P84" s="760"/>
      <c r="Q84" s="760"/>
    </row>
    <row r="85" spans="1:20" ht="15.75" hidden="1" customHeight="1">
      <c r="B85" s="808"/>
      <c r="C85" s="1424" t="s">
        <v>1089</v>
      </c>
      <c r="D85" s="1424"/>
      <c r="E85" s="1424"/>
      <c r="F85" s="1424"/>
      <c r="G85" s="1424"/>
      <c r="H85" s="1424"/>
      <c r="I85" s="1424"/>
      <c r="J85" s="1424"/>
      <c r="K85" s="1424"/>
      <c r="L85" s="1424"/>
      <c r="M85" s="1424"/>
      <c r="N85" s="1424"/>
      <c r="O85" s="760"/>
      <c r="P85" s="760"/>
      <c r="Q85" s="760"/>
    </row>
    <row r="86" spans="1:20" ht="21" hidden="1" customHeight="1">
      <c r="B86" s="808"/>
      <c r="C86" s="1424"/>
      <c r="D86" s="1424"/>
      <c r="E86" s="1424"/>
      <c r="F86" s="1424"/>
      <c r="G86" s="1424"/>
      <c r="H86" s="1424"/>
      <c r="I86" s="1424"/>
      <c r="J86" s="1424"/>
      <c r="K86" s="1424"/>
      <c r="L86" s="1424"/>
      <c r="M86" s="1424"/>
      <c r="N86" s="1424"/>
      <c r="O86" s="760"/>
      <c r="P86" s="760"/>
      <c r="Q86" s="760"/>
    </row>
    <row r="87" spans="1:20" ht="5.15" customHeight="1">
      <c r="B87" s="808"/>
      <c r="C87" s="1423" t="s">
        <v>1090</v>
      </c>
      <c r="D87" s="1423"/>
      <c r="E87" s="1423"/>
      <c r="F87" s="1423"/>
      <c r="G87" s="1423"/>
      <c r="H87" s="1423"/>
      <c r="I87" s="1423"/>
      <c r="J87" s="1423"/>
      <c r="K87" s="1423"/>
      <c r="L87" s="1423"/>
      <c r="M87" s="1423"/>
      <c r="N87" s="1423"/>
      <c r="O87" s="760"/>
      <c r="P87" s="760"/>
      <c r="Q87" s="760"/>
    </row>
    <row r="88" spans="1:20" ht="5.15" customHeight="1">
      <c r="B88" s="808"/>
      <c r="C88" s="1423"/>
      <c r="D88" s="1423"/>
      <c r="E88" s="1423"/>
      <c r="F88" s="1423"/>
      <c r="G88" s="1423"/>
      <c r="H88" s="1423"/>
      <c r="I88" s="1423"/>
      <c r="J88" s="1423"/>
      <c r="K88" s="1423"/>
      <c r="L88" s="1423"/>
      <c r="M88" s="1423"/>
      <c r="N88" s="1423"/>
      <c r="O88" s="760"/>
      <c r="P88" s="760"/>
      <c r="Q88" s="760"/>
    </row>
    <row r="89" spans="1:20" ht="5.15" customHeight="1">
      <c r="B89" s="808"/>
      <c r="C89" s="1423"/>
      <c r="D89" s="1423"/>
      <c r="E89" s="1423"/>
      <c r="F89" s="1423"/>
      <c r="G89" s="1423"/>
      <c r="H89" s="1423"/>
      <c r="I89" s="1423"/>
      <c r="J89" s="1423"/>
      <c r="K89" s="1423"/>
      <c r="L89" s="1423"/>
      <c r="M89" s="1423"/>
      <c r="N89" s="1423"/>
      <c r="O89" s="760"/>
      <c r="P89" s="760"/>
      <c r="Q89" s="760"/>
    </row>
    <row r="90" spans="1:20" ht="4" customHeight="1">
      <c r="B90" s="808"/>
      <c r="C90" s="814"/>
      <c r="D90" s="813"/>
      <c r="E90" s="813"/>
      <c r="F90" s="813"/>
      <c r="G90" s="813"/>
      <c r="H90" s="813"/>
      <c r="I90" s="813"/>
      <c r="J90" s="813"/>
      <c r="K90" s="813"/>
      <c r="L90" s="813"/>
      <c r="M90" s="813"/>
      <c r="N90" s="813"/>
      <c r="O90" s="760"/>
      <c r="P90" s="760"/>
      <c r="Q90" s="760"/>
    </row>
    <row r="91" spans="1:20" ht="45" customHeight="1">
      <c r="B91" s="808"/>
      <c r="C91" s="1423" t="s">
        <v>1091</v>
      </c>
      <c r="D91" s="1423"/>
      <c r="E91" s="1423"/>
      <c r="F91" s="1423"/>
      <c r="G91" s="1423"/>
      <c r="H91" s="1423"/>
      <c r="I91" s="1423"/>
      <c r="J91" s="1423"/>
      <c r="K91" s="1423"/>
      <c r="L91" s="1423"/>
      <c r="M91" s="1423"/>
      <c r="N91" s="1423"/>
      <c r="O91" s="760"/>
      <c r="P91" s="760"/>
      <c r="Q91" s="760"/>
    </row>
    <row r="92" spans="1:20" ht="11.25" customHeight="1">
      <c r="B92" s="808"/>
      <c r="C92" s="810"/>
      <c r="D92" s="760"/>
      <c r="E92" s="760"/>
      <c r="F92" s="760"/>
      <c r="G92" s="760"/>
      <c r="H92" s="760"/>
      <c r="I92" s="760"/>
      <c r="J92" s="760"/>
      <c r="K92" s="760"/>
      <c r="L92" s="760"/>
      <c r="M92" s="760"/>
      <c r="N92" s="760"/>
      <c r="O92" s="760"/>
      <c r="P92" s="760"/>
      <c r="Q92" s="760"/>
    </row>
    <row r="93" spans="1:20" ht="15.75" customHeight="1">
      <c r="A93" s="815"/>
      <c r="B93" s="786">
        <f>B83+0.1</f>
        <v>3.3</v>
      </c>
      <c r="C93" s="816" t="s">
        <v>1092</v>
      </c>
      <c r="D93" s="793"/>
      <c r="E93" s="793"/>
      <c r="F93" s="839"/>
      <c r="G93" s="839"/>
      <c r="H93" s="840"/>
      <c r="I93" s="840"/>
      <c r="J93" s="840"/>
      <c r="K93" s="840"/>
      <c r="L93" s="840"/>
      <c r="M93" s="840"/>
      <c r="N93" s="843"/>
      <c r="O93" s="840"/>
      <c r="P93" s="844"/>
    </row>
    <row r="94" spans="1:20" ht="5.25" customHeight="1">
      <c r="A94" s="815"/>
      <c r="B94" s="786"/>
      <c r="C94" s="738"/>
      <c r="D94" s="793"/>
      <c r="E94" s="793"/>
      <c r="F94" s="839"/>
      <c r="G94" s="839"/>
      <c r="H94" s="840"/>
      <c r="I94" s="840"/>
      <c r="J94" s="840"/>
      <c r="K94" s="840"/>
      <c r="L94" s="840"/>
      <c r="M94" s="840"/>
      <c r="N94" s="843"/>
      <c r="O94" s="840"/>
      <c r="P94" s="844"/>
    </row>
    <row r="95" spans="1:20" ht="45" customHeight="1">
      <c r="A95" s="817"/>
      <c r="B95" s="808"/>
      <c r="C95" s="1418" t="s">
        <v>1093</v>
      </c>
      <c r="D95" s="1418"/>
      <c r="E95" s="1418"/>
      <c r="F95" s="1418"/>
      <c r="G95" s="1418"/>
      <c r="H95" s="1418"/>
      <c r="I95" s="1418"/>
      <c r="J95" s="1418"/>
      <c r="K95" s="1418"/>
      <c r="L95" s="1418"/>
      <c r="M95" s="1418"/>
      <c r="N95" s="1418"/>
      <c r="O95" s="845"/>
      <c r="P95" s="845"/>
      <c r="Q95" s="845"/>
      <c r="R95" s="849"/>
      <c r="S95" s="849"/>
      <c r="T95" s="850"/>
    </row>
    <row r="96" spans="1:20" ht="3.75" customHeight="1">
      <c r="B96" s="808"/>
      <c r="C96" s="818"/>
      <c r="D96" s="819"/>
      <c r="E96" s="819"/>
      <c r="F96" s="819"/>
      <c r="G96" s="819"/>
      <c r="H96" s="819"/>
      <c r="I96" s="819"/>
      <c r="J96" s="819"/>
      <c r="K96" s="819"/>
      <c r="L96" s="819"/>
      <c r="M96" s="819"/>
      <c r="N96" s="819"/>
      <c r="O96" s="819"/>
      <c r="P96" s="819"/>
      <c r="Q96" s="851"/>
      <c r="R96" s="849"/>
      <c r="S96" s="849"/>
      <c r="T96" s="850"/>
    </row>
    <row r="97" spans="1:20" ht="45" customHeight="1">
      <c r="B97" s="808"/>
      <c r="C97" s="1418" t="s">
        <v>1094</v>
      </c>
      <c r="D97" s="1418"/>
      <c r="E97" s="1418"/>
      <c r="F97" s="1418"/>
      <c r="G97" s="1418"/>
      <c r="H97" s="1418"/>
      <c r="I97" s="1418"/>
      <c r="J97" s="1418"/>
      <c r="K97" s="1418"/>
      <c r="L97" s="1418"/>
      <c r="M97" s="1418"/>
      <c r="N97" s="1418"/>
      <c r="O97" s="845"/>
      <c r="P97" s="845"/>
      <c r="Q97" s="845"/>
      <c r="R97" s="849"/>
      <c r="S97" s="849"/>
      <c r="T97" s="850"/>
    </row>
    <row r="98" spans="1:20" ht="10" customHeight="1">
      <c r="B98" s="808"/>
      <c r="C98" s="783"/>
      <c r="D98" s="783"/>
      <c r="E98" s="783"/>
      <c r="F98" s="783"/>
      <c r="G98" s="783"/>
      <c r="H98" s="783"/>
      <c r="I98" s="783"/>
      <c r="J98" s="783"/>
      <c r="K98" s="783"/>
      <c r="L98" s="783"/>
      <c r="M98" s="783"/>
      <c r="N98" s="783"/>
      <c r="O98" s="845"/>
      <c r="P98" s="845"/>
      <c r="Q98" s="845"/>
      <c r="R98" s="849"/>
      <c r="S98" s="849"/>
      <c r="T98" s="850"/>
    </row>
    <row r="99" spans="1:20" ht="10" customHeight="1">
      <c r="B99" s="820"/>
      <c r="C99" s="783"/>
      <c r="D99" s="783"/>
      <c r="E99" s="783"/>
      <c r="F99" s="783"/>
      <c r="G99" s="783"/>
      <c r="H99" s="783"/>
      <c r="I99" s="783"/>
      <c r="J99" s="783"/>
      <c r="K99" s="783"/>
      <c r="L99" s="783"/>
      <c r="M99" s="783"/>
      <c r="N99" s="783"/>
      <c r="O99" s="845"/>
      <c r="P99" s="845"/>
      <c r="Q99" s="845"/>
      <c r="R99" s="849"/>
      <c r="S99" s="849"/>
      <c r="T99" s="850"/>
    </row>
    <row r="100" spans="1:20" ht="10" customHeight="1">
      <c r="B100" s="820"/>
      <c r="C100" s="783"/>
      <c r="D100" s="783"/>
      <c r="E100" s="783"/>
      <c r="F100" s="783"/>
      <c r="G100" s="783"/>
      <c r="H100" s="783"/>
      <c r="I100" s="783"/>
      <c r="J100" s="783"/>
      <c r="K100" s="783"/>
      <c r="L100" s="783"/>
      <c r="M100" s="783"/>
      <c r="N100" s="783"/>
      <c r="O100" s="845"/>
      <c r="P100" s="845"/>
      <c r="Q100" s="845"/>
      <c r="R100" s="849"/>
      <c r="S100" s="849"/>
      <c r="T100" s="850"/>
    </row>
    <row r="101" spans="1:20" ht="10" customHeight="1">
      <c r="B101" s="820"/>
      <c r="C101" s="783"/>
      <c r="D101" s="783"/>
      <c r="E101" s="783"/>
      <c r="F101" s="783"/>
      <c r="G101" s="783"/>
      <c r="H101" s="783"/>
      <c r="I101" s="783"/>
      <c r="J101" s="783"/>
      <c r="K101" s="783"/>
      <c r="L101" s="783"/>
      <c r="M101" s="783"/>
      <c r="N101" s="783"/>
      <c r="O101" s="845"/>
      <c r="P101" s="845"/>
      <c r="Q101" s="845"/>
      <c r="R101" s="849"/>
      <c r="S101" s="849"/>
      <c r="T101" s="850"/>
    </row>
    <row r="102" spans="1:20" ht="10" customHeight="1">
      <c r="B102" s="820"/>
      <c r="C102" s="783"/>
      <c r="D102" s="783"/>
      <c r="E102" s="783"/>
      <c r="F102" s="783"/>
      <c r="G102" s="783"/>
      <c r="H102" s="783"/>
      <c r="I102" s="783"/>
      <c r="J102" s="783"/>
      <c r="K102" s="783"/>
      <c r="L102" s="783"/>
      <c r="M102" s="783"/>
      <c r="N102" s="783"/>
      <c r="O102" s="845"/>
      <c r="P102" s="845"/>
      <c r="Q102" s="845"/>
      <c r="R102" s="849"/>
      <c r="S102" s="849"/>
      <c r="T102" s="850"/>
    </row>
    <row r="103" spans="1:20" ht="10" customHeight="1">
      <c r="B103" s="820"/>
      <c r="C103" s="783"/>
      <c r="D103" s="783"/>
      <c r="E103" s="783"/>
      <c r="F103" s="783"/>
      <c r="G103" s="783"/>
      <c r="H103" s="783"/>
      <c r="I103" s="783"/>
      <c r="J103" s="783"/>
      <c r="K103" s="783"/>
      <c r="L103" s="783"/>
      <c r="M103" s="783"/>
      <c r="N103" s="783"/>
      <c r="O103" s="845"/>
      <c r="P103" s="845"/>
      <c r="Q103" s="845"/>
      <c r="R103" s="849"/>
      <c r="S103" s="849"/>
      <c r="T103" s="850"/>
    </row>
    <row r="104" spans="1:20" ht="10" customHeight="1">
      <c r="B104" s="820"/>
      <c r="C104" s="783"/>
      <c r="D104" s="783"/>
      <c r="E104" s="783"/>
      <c r="F104" s="783"/>
      <c r="G104" s="783"/>
      <c r="H104" s="783"/>
      <c r="I104" s="783"/>
      <c r="J104" s="783"/>
      <c r="K104" s="783"/>
      <c r="L104" s="783"/>
      <c r="M104" s="783"/>
      <c r="N104" s="783"/>
      <c r="O104" s="845"/>
      <c r="P104" s="845"/>
      <c r="Q104" s="845"/>
      <c r="R104" s="849"/>
      <c r="S104" s="849"/>
      <c r="T104" s="850"/>
    </row>
    <row r="105" spans="1:20" ht="10" customHeight="1">
      <c r="B105" s="820"/>
      <c r="C105" s="783"/>
      <c r="D105" s="783"/>
      <c r="E105" s="783"/>
      <c r="F105" s="783"/>
      <c r="G105" s="783"/>
      <c r="H105" s="783"/>
      <c r="I105" s="783"/>
      <c r="J105" s="783"/>
      <c r="K105" s="783"/>
      <c r="L105" s="783"/>
      <c r="M105" s="783"/>
      <c r="N105" s="783"/>
      <c r="O105" s="845"/>
      <c r="P105" s="845"/>
      <c r="Q105" s="845"/>
      <c r="R105" s="849"/>
      <c r="S105" s="849"/>
      <c r="T105" s="850"/>
    </row>
    <row r="106" spans="1:20" ht="14.15" customHeight="1">
      <c r="B106" s="821">
        <f>B93+0.1</f>
        <v>3.4</v>
      </c>
      <c r="C106" s="822" t="s">
        <v>1095</v>
      </c>
      <c r="D106" s="819"/>
      <c r="E106" s="819"/>
      <c r="F106" s="819"/>
      <c r="G106" s="819"/>
      <c r="H106" s="819"/>
      <c r="I106" s="819"/>
      <c r="J106" s="819"/>
      <c r="K106" s="819"/>
      <c r="L106" s="819"/>
      <c r="M106" s="819"/>
      <c r="N106" s="819"/>
      <c r="O106" s="819"/>
      <c r="P106" s="819"/>
      <c r="Q106" s="851"/>
      <c r="R106" s="849"/>
      <c r="S106" s="849"/>
      <c r="T106" s="850"/>
    </row>
    <row r="107" spans="1:20" ht="10" customHeight="1">
      <c r="B107" s="808"/>
      <c r="C107" s="822"/>
      <c r="D107" s="819"/>
      <c r="E107" s="819"/>
      <c r="F107" s="819"/>
      <c r="G107" s="819"/>
      <c r="H107" s="819"/>
      <c r="I107" s="819"/>
      <c r="J107" s="819"/>
      <c r="K107" s="819"/>
      <c r="L107" s="819"/>
      <c r="M107" s="819"/>
      <c r="N107" s="819"/>
      <c r="O107" s="819"/>
      <c r="P107" s="819"/>
      <c r="Q107" s="851"/>
      <c r="R107" s="849"/>
      <c r="S107" s="849"/>
      <c r="T107" s="850"/>
    </row>
    <row r="108" spans="1:20" ht="14.15" customHeight="1">
      <c r="B108" s="808"/>
      <c r="C108" s="1418" t="s">
        <v>1096</v>
      </c>
      <c r="D108" s="1418"/>
      <c r="E108" s="1418"/>
      <c r="F108" s="1418"/>
      <c r="G108" s="1418"/>
      <c r="H108" s="1418"/>
      <c r="I108" s="1418"/>
      <c r="J108" s="1418"/>
      <c r="K108" s="1418"/>
      <c r="L108" s="1418"/>
      <c r="M108" s="1418"/>
      <c r="N108" s="1418"/>
      <c r="O108" s="845"/>
      <c r="P108" s="845"/>
      <c r="Q108" s="845"/>
      <c r="R108" s="849"/>
      <c r="S108" s="849"/>
      <c r="T108" s="850"/>
    </row>
    <row r="109" spans="1:20" ht="10" customHeight="1">
      <c r="A109" s="823"/>
      <c r="B109" s="808"/>
      <c r="C109" s="1429"/>
      <c r="D109" s="1429"/>
      <c r="E109" s="1429"/>
      <c r="F109" s="1429"/>
      <c r="G109" s="1429"/>
      <c r="H109" s="1429"/>
      <c r="I109" s="1429"/>
      <c r="J109" s="1429"/>
      <c r="K109" s="1429"/>
      <c r="L109" s="1429"/>
      <c r="M109" s="1429"/>
      <c r="N109" s="1429"/>
      <c r="O109" s="819"/>
      <c r="P109" s="819"/>
      <c r="Q109" s="852"/>
      <c r="R109" s="852"/>
      <c r="S109" s="852"/>
      <c r="T109" s="853"/>
    </row>
    <row r="110" spans="1:20" ht="19.5" customHeight="1">
      <c r="A110" s="823"/>
      <c r="B110" s="821">
        <f>B106+0.1</f>
        <v>3.5</v>
      </c>
      <c r="C110" s="824" t="s">
        <v>1097</v>
      </c>
      <c r="D110" s="825"/>
      <c r="E110" s="825"/>
      <c r="F110" s="825"/>
      <c r="G110" s="825"/>
      <c r="H110" s="825"/>
      <c r="I110" s="825"/>
      <c r="J110" s="825"/>
      <c r="K110" s="825"/>
      <c r="L110" s="825"/>
      <c r="M110" s="825"/>
      <c r="N110" s="825"/>
      <c r="O110" s="819"/>
      <c r="P110" s="819"/>
      <c r="Q110" s="852"/>
      <c r="R110" s="852"/>
      <c r="S110" s="852"/>
      <c r="T110" s="853"/>
    </row>
    <row r="111" spans="1:20" ht="16.5" customHeight="1">
      <c r="A111" s="823"/>
      <c r="B111" s="826"/>
      <c r="C111" s="1430" t="s">
        <v>1098</v>
      </c>
      <c r="D111" s="1430"/>
      <c r="E111" s="1430"/>
      <c r="F111" s="1430"/>
      <c r="G111" s="1430"/>
      <c r="H111" s="1430"/>
      <c r="I111" s="1430"/>
      <c r="J111" s="1430"/>
      <c r="K111" s="1430"/>
      <c r="L111" s="827"/>
      <c r="M111" s="827"/>
      <c r="N111" s="846"/>
      <c r="O111" s="847"/>
      <c r="P111" s="847"/>
      <c r="Q111" s="847"/>
      <c r="R111" s="852"/>
      <c r="S111" s="852"/>
      <c r="T111" s="853"/>
    </row>
    <row r="112" spans="1:20" ht="28" customHeight="1">
      <c r="A112" s="823"/>
      <c r="B112" s="826"/>
      <c r="C112" s="1430" t="s">
        <v>1099</v>
      </c>
      <c r="D112" s="1430"/>
      <c r="E112" s="1430"/>
      <c r="F112" s="1430"/>
      <c r="G112" s="1430"/>
      <c r="H112" s="1430"/>
      <c r="I112" s="1430"/>
      <c r="J112" s="1430"/>
      <c r="K112" s="1430"/>
      <c r="L112" s="1430"/>
      <c r="M112" s="1430"/>
      <c r="N112" s="1430"/>
      <c r="O112" s="847"/>
      <c r="P112" s="847"/>
      <c r="Q112" s="847"/>
      <c r="R112" s="852"/>
      <c r="S112" s="852"/>
      <c r="T112" s="853"/>
    </row>
    <row r="113" spans="1:20" ht="21" hidden="1" customHeight="1">
      <c r="A113" s="823"/>
      <c r="B113" s="808"/>
      <c r="C113" s="828" t="s">
        <v>1100</v>
      </c>
      <c r="D113" s="829"/>
      <c r="E113" s="829"/>
      <c r="F113" s="829"/>
      <c r="G113" s="1370" t="s">
        <v>1101</v>
      </c>
      <c r="H113" s="829"/>
      <c r="I113" s="829"/>
      <c r="J113" s="829"/>
      <c r="K113" s="829"/>
      <c r="L113" s="831"/>
      <c r="M113" s="831"/>
      <c r="N113" s="847"/>
      <c r="O113" s="847"/>
      <c r="P113" s="847"/>
      <c r="Q113" s="847"/>
      <c r="R113" s="852"/>
      <c r="S113" s="852"/>
      <c r="T113" s="853"/>
    </row>
    <row r="114" spans="1:20" ht="18" hidden="1" customHeight="1">
      <c r="A114" s="823"/>
      <c r="B114" s="808"/>
      <c r="C114" s="828" t="s">
        <v>1102</v>
      </c>
      <c r="D114" s="830"/>
      <c r="E114" s="830"/>
      <c r="F114" s="830"/>
      <c r="G114" s="1370" t="s">
        <v>1101</v>
      </c>
      <c r="H114" s="830"/>
      <c r="I114" s="830"/>
      <c r="J114" s="830"/>
      <c r="K114" s="830"/>
      <c r="L114" s="836"/>
      <c r="M114" s="836"/>
      <c r="N114" s="836"/>
      <c r="O114" s="819"/>
      <c r="P114" s="819"/>
      <c r="Q114" s="852"/>
      <c r="R114" s="852"/>
      <c r="S114" s="852"/>
      <c r="T114" s="853"/>
    </row>
    <row r="115" spans="1:20" ht="12" customHeight="1">
      <c r="A115" s="823"/>
      <c r="B115" s="808"/>
      <c r="C115" s="828"/>
      <c r="D115" s="830"/>
      <c r="E115" s="830"/>
      <c r="F115" s="830"/>
      <c r="G115" s="841"/>
      <c r="H115" s="830"/>
      <c r="I115" s="830"/>
      <c r="J115" s="830"/>
      <c r="K115" s="830"/>
      <c r="L115" s="836"/>
      <c r="M115" s="836"/>
      <c r="N115" s="836"/>
      <c r="O115" s="819"/>
      <c r="P115" s="819"/>
      <c r="Q115" s="852"/>
      <c r="R115" s="852"/>
      <c r="S115" s="852"/>
      <c r="T115" s="853"/>
    </row>
    <row r="116" spans="1:20" ht="18" customHeight="1">
      <c r="A116" s="823"/>
      <c r="B116" s="821">
        <f>B110+0.1</f>
        <v>3.6</v>
      </c>
      <c r="C116" s="1431" t="s">
        <v>1103</v>
      </c>
      <c r="D116" s="1432"/>
      <c r="E116" s="830"/>
      <c r="F116" s="830"/>
      <c r="G116" s="841"/>
      <c r="H116" s="830"/>
      <c r="I116" s="830"/>
      <c r="J116" s="830"/>
      <c r="K116" s="830"/>
      <c r="L116" s="836"/>
      <c r="M116" s="836"/>
      <c r="N116" s="836"/>
      <c r="O116" s="819"/>
      <c r="P116" s="819"/>
      <c r="Q116" s="852"/>
      <c r="R116" s="852"/>
      <c r="S116" s="852"/>
      <c r="T116" s="853"/>
    </row>
    <row r="117" spans="1:20" ht="30" customHeight="1">
      <c r="A117" s="823"/>
      <c r="B117" s="808"/>
      <c r="C117" s="1427" t="s">
        <v>1104</v>
      </c>
      <c r="D117" s="1427"/>
      <c r="E117" s="1427"/>
      <c r="F117" s="1427"/>
      <c r="G117" s="1427"/>
      <c r="H117" s="1427"/>
      <c r="I117" s="1427"/>
      <c r="J117" s="1427"/>
      <c r="K117" s="1427"/>
      <c r="L117" s="1427"/>
      <c r="M117" s="1427"/>
      <c r="N117" s="1427"/>
      <c r="O117" s="819"/>
      <c r="P117" s="819"/>
      <c r="Q117" s="852"/>
      <c r="R117" s="852"/>
      <c r="S117" s="852"/>
      <c r="T117" s="853"/>
    </row>
    <row r="118" spans="1:20" ht="10" customHeight="1">
      <c r="A118" s="823"/>
      <c r="B118" s="821"/>
      <c r="C118" s="828"/>
      <c r="D118" s="830"/>
      <c r="E118" s="830"/>
      <c r="F118" s="830"/>
      <c r="G118" s="841"/>
      <c r="H118" s="830"/>
      <c r="I118" s="830"/>
      <c r="J118" s="830"/>
      <c r="K118" s="830"/>
      <c r="L118" s="836"/>
      <c r="M118" s="836"/>
      <c r="N118" s="836"/>
      <c r="O118" s="819"/>
      <c r="P118" s="819"/>
      <c r="Q118" s="852"/>
      <c r="R118" s="852"/>
      <c r="S118" s="852"/>
      <c r="T118" s="853"/>
    </row>
    <row r="119" spans="1:20">
      <c r="A119" s="823"/>
      <c r="B119" s="821"/>
      <c r="C119" s="828"/>
      <c r="D119" s="830"/>
      <c r="E119" s="830"/>
      <c r="F119" s="830"/>
      <c r="G119" s="841"/>
      <c r="H119" s="830"/>
      <c r="I119" s="830"/>
      <c r="J119" s="830"/>
      <c r="K119" s="830"/>
      <c r="L119" s="836"/>
      <c r="M119" s="836"/>
      <c r="N119" s="836"/>
      <c r="O119" s="819"/>
      <c r="P119" s="819"/>
      <c r="Q119" s="852"/>
      <c r="R119" s="852"/>
      <c r="S119" s="852"/>
      <c r="T119" s="853"/>
    </row>
    <row r="120" spans="1:20" ht="18" customHeight="1">
      <c r="A120" s="823"/>
      <c r="B120" s="821">
        <f>B116+0.1</f>
        <v>3.7</v>
      </c>
      <c r="C120" s="832" t="s">
        <v>1105</v>
      </c>
      <c r="D120" s="833"/>
      <c r="E120" s="830"/>
      <c r="F120" s="830"/>
      <c r="G120" s="841"/>
      <c r="H120" s="830"/>
      <c r="I120" s="830"/>
      <c r="J120" s="830"/>
      <c r="K120" s="830"/>
      <c r="L120" s="836"/>
      <c r="M120" s="836"/>
      <c r="N120" s="836"/>
      <c r="O120" s="819"/>
      <c r="P120" s="819"/>
      <c r="Q120" s="852">
        <f>175-35.01+90</f>
        <v>229.99</v>
      </c>
      <c r="R120" s="852"/>
      <c r="S120" s="852"/>
      <c r="T120" s="853"/>
    </row>
    <row r="121" spans="1:20" ht="10" customHeight="1">
      <c r="A121" s="823"/>
      <c r="B121" s="821"/>
      <c r="C121" s="834"/>
      <c r="D121" s="834"/>
      <c r="E121" s="830"/>
      <c r="F121" s="830"/>
      <c r="G121" s="841"/>
      <c r="H121" s="830"/>
      <c r="I121" s="830"/>
      <c r="J121" s="830"/>
      <c r="K121" s="830"/>
      <c r="L121" s="836"/>
      <c r="M121" s="836"/>
      <c r="N121" s="836"/>
      <c r="O121" s="819"/>
      <c r="P121" s="819"/>
      <c r="Q121" s="852">
        <f>Q120/22</f>
        <v>10.454090909090899</v>
      </c>
      <c r="R121" s="852"/>
      <c r="S121" s="852"/>
      <c r="T121" s="853"/>
    </row>
    <row r="122" spans="1:20" ht="32.15" customHeight="1">
      <c r="A122" s="823"/>
      <c r="B122" s="821"/>
      <c r="C122" s="1428" t="s">
        <v>1106</v>
      </c>
      <c r="D122" s="1428"/>
      <c r="E122" s="1428"/>
      <c r="F122" s="1428"/>
      <c r="G122" s="1428"/>
      <c r="H122" s="1428"/>
      <c r="I122" s="1428"/>
      <c r="J122" s="1428"/>
      <c r="K122" s="1428"/>
      <c r="L122" s="1428"/>
      <c r="M122" s="1428"/>
      <c r="N122" s="1428"/>
      <c r="O122" s="819"/>
      <c r="P122" s="819"/>
      <c r="Q122" s="852"/>
      <c r="R122" s="852"/>
      <c r="S122" s="852"/>
      <c r="T122" s="853"/>
    </row>
    <row r="123" spans="1:20" ht="18" customHeight="1">
      <c r="A123" s="823"/>
      <c r="B123" s="808"/>
      <c r="C123" s="828"/>
      <c r="D123" s="830"/>
      <c r="E123" s="830"/>
      <c r="F123" s="830"/>
      <c r="G123" s="841"/>
      <c r="H123" s="830"/>
      <c r="I123" s="830"/>
      <c r="J123" s="830"/>
      <c r="K123" s="830"/>
      <c r="L123" s="836"/>
      <c r="M123" s="836"/>
      <c r="N123" s="836"/>
      <c r="O123" s="819"/>
      <c r="P123" s="819"/>
      <c r="Q123" s="852"/>
      <c r="R123" s="852"/>
      <c r="S123" s="852"/>
      <c r="T123" s="853"/>
    </row>
    <row r="124" spans="1:20" ht="15.75" customHeight="1">
      <c r="A124" s="823"/>
      <c r="B124" s="786">
        <f>B120+0.1</f>
        <v>3.8</v>
      </c>
      <c r="C124" s="835" t="s">
        <v>1107</v>
      </c>
      <c r="D124" s="836"/>
      <c r="E124" s="836"/>
      <c r="F124" s="836"/>
      <c r="G124" s="836"/>
      <c r="H124" s="836"/>
      <c r="I124" s="836"/>
      <c r="J124" s="836"/>
      <c r="K124" s="836"/>
      <c r="L124" s="836"/>
      <c r="M124" s="836"/>
      <c r="N124" s="836"/>
      <c r="O124" s="819"/>
      <c r="P124" s="819"/>
      <c r="Q124" s="852"/>
      <c r="R124" s="852"/>
      <c r="S124" s="852"/>
      <c r="T124" s="853"/>
    </row>
    <row r="125" spans="1:20" ht="8.25" customHeight="1">
      <c r="A125" s="823"/>
      <c r="B125" s="808"/>
      <c r="C125" s="837"/>
      <c r="D125" s="836"/>
      <c r="E125" s="836"/>
      <c r="F125" s="836"/>
      <c r="G125" s="836"/>
      <c r="H125" s="836"/>
      <c r="I125" s="836"/>
      <c r="J125" s="836"/>
      <c r="K125" s="836"/>
      <c r="L125" s="836"/>
      <c r="M125" s="836"/>
      <c r="N125" s="836"/>
      <c r="O125" s="819"/>
      <c r="P125" s="819"/>
      <c r="Q125" s="852"/>
      <c r="R125" s="852"/>
      <c r="S125" s="852"/>
      <c r="T125" s="853"/>
    </row>
    <row r="126" spans="1:20" ht="28" customHeight="1">
      <c r="A126" s="823"/>
      <c r="B126" s="808"/>
      <c r="C126" s="1422" t="s">
        <v>1108</v>
      </c>
      <c r="D126" s="1422"/>
      <c r="E126" s="1422"/>
      <c r="F126" s="1422"/>
      <c r="G126" s="1422"/>
      <c r="H126" s="1422"/>
      <c r="I126" s="1422"/>
      <c r="J126" s="1422"/>
      <c r="K126" s="1422"/>
      <c r="L126" s="1422"/>
      <c r="M126" s="1422"/>
      <c r="N126" s="1422"/>
      <c r="O126" s="819"/>
      <c r="P126" s="819"/>
      <c r="Q126" s="852"/>
      <c r="R126" s="852"/>
      <c r="S126" s="852"/>
      <c r="T126" s="853"/>
    </row>
    <row r="127" spans="1:20" ht="14.25" hidden="1" customHeight="1">
      <c r="B127" s="786">
        <f>B124+0.1</f>
        <v>3.9</v>
      </c>
      <c r="C127" s="838" t="s">
        <v>1109</v>
      </c>
      <c r="D127" s="732"/>
      <c r="E127" s="732"/>
      <c r="F127" s="798"/>
      <c r="G127" s="798"/>
      <c r="H127" s="798"/>
      <c r="I127" s="798"/>
      <c r="J127" s="798"/>
      <c r="K127" s="798"/>
      <c r="L127" s="798"/>
      <c r="M127" s="798"/>
      <c r="N127" s="799"/>
      <c r="O127" s="798"/>
      <c r="P127" s="800"/>
      <c r="Q127" s="732"/>
    </row>
    <row r="128" spans="1:20" ht="7.5" hidden="1" customHeight="1">
      <c r="B128" s="786"/>
      <c r="C128" s="773"/>
      <c r="D128" s="732"/>
      <c r="E128" s="732"/>
      <c r="F128" s="798"/>
      <c r="G128" s="798"/>
      <c r="H128" s="798"/>
      <c r="I128" s="798"/>
      <c r="J128" s="798"/>
      <c r="K128" s="798"/>
      <c r="L128" s="798"/>
      <c r="M128" s="798"/>
      <c r="N128" s="799"/>
      <c r="O128" s="798"/>
      <c r="P128" s="800"/>
      <c r="Q128" s="732"/>
    </row>
    <row r="129" spans="2:24" ht="15.75" hidden="1" customHeight="1">
      <c r="B129" s="786"/>
      <c r="C129" s="1418" t="s">
        <v>1110</v>
      </c>
      <c r="D129" s="1418"/>
      <c r="E129" s="1418"/>
      <c r="F129" s="1418"/>
      <c r="G129" s="1418"/>
      <c r="H129" s="1418"/>
      <c r="I129" s="1418"/>
      <c r="J129" s="1418"/>
      <c r="K129" s="1418"/>
      <c r="L129" s="1418"/>
      <c r="M129" s="1418"/>
      <c r="N129" s="1418"/>
      <c r="O129" s="803"/>
      <c r="P129" s="803"/>
      <c r="Q129" s="803"/>
    </row>
    <row r="130" spans="2:24" ht="55.5" hidden="1" customHeight="1">
      <c r="B130" s="786"/>
      <c r="C130" s="1418" t="s">
        <v>1111</v>
      </c>
      <c r="D130" s="1418"/>
      <c r="E130" s="1418"/>
      <c r="F130" s="1418"/>
      <c r="G130" s="1418"/>
      <c r="H130" s="1418"/>
      <c r="I130" s="1418"/>
      <c r="J130" s="1418"/>
      <c r="K130" s="1418"/>
      <c r="L130" s="1418"/>
      <c r="M130" s="1418"/>
      <c r="N130" s="1418"/>
      <c r="O130" s="803"/>
      <c r="P130" s="803"/>
      <c r="Q130" s="803"/>
    </row>
    <row r="131" spans="2:24" ht="14.15" customHeight="1">
      <c r="B131" s="786"/>
      <c r="C131" s="783"/>
      <c r="D131" s="783"/>
      <c r="E131" s="783"/>
      <c r="F131" s="783"/>
      <c r="G131" s="783"/>
      <c r="H131" s="783"/>
      <c r="I131" s="783"/>
      <c r="J131" s="783"/>
      <c r="K131" s="783"/>
      <c r="L131" s="783"/>
      <c r="M131" s="783"/>
      <c r="N131" s="783"/>
      <c r="O131" s="803"/>
      <c r="P131" s="803"/>
      <c r="Q131" s="803"/>
    </row>
    <row r="132" spans="2:24" ht="14.15" customHeight="1">
      <c r="B132" s="821"/>
      <c r="C132" s="783"/>
      <c r="D132" s="783"/>
      <c r="E132" s="783"/>
      <c r="F132" s="783"/>
      <c r="G132" s="783"/>
      <c r="H132" s="783"/>
      <c r="I132" s="783"/>
      <c r="J132" s="783"/>
      <c r="K132" s="783"/>
      <c r="L132" s="783"/>
      <c r="M132" s="783"/>
      <c r="N132" s="783"/>
      <c r="O132" s="803"/>
      <c r="P132" s="803"/>
      <c r="Q132" s="803"/>
      <c r="R132" s="798"/>
      <c r="S132" s="798"/>
      <c r="T132" s="799"/>
      <c r="U132" s="798"/>
      <c r="V132" s="800"/>
      <c r="W132" s="798"/>
      <c r="X132" s="800"/>
    </row>
    <row r="133" spans="2:24" ht="14.15" customHeight="1">
      <c r="B133" s="821">
        <v>3.09</v>
      </c>
      <c r="C133" s="1426" t="s">
        <v>1076</v>
      </c>
      <c r="D133" s="1426"/>
      <c r="E133" s="1426"/>
      <c r="F133" s="1426"/>
      <c r="G133" s="783"/>
      <c r="H133" s="783"/>
      <c r="I133" s="783"/>
      <c r="J133" s="783"/>
      <c r="K133" s="783"/>
      <c r="L133" s="783"/>
      <c r="M133" s="783"/>
      <c r="N133" s="783"/>
      <c r="O133" s="803"/>
      <c r="P133" s="803"/>
      <c r="Q133" s="803"/>
      <c r="R133" s="798"/>
      <c r="S133" s="798"/>
      <c r="T133" s="799"/>
      <c r="U133" s="798"/>
      <c r="V133" s="800"/>
      <c r="W133" s="798"/>
      <c r="X133" s="800"/>
    </row>
    <row r="134" spans="2:24" ht="9" customHeight="1">
      <c r="B134" s="821"/>
      <c r="C134" s="854"/>
      <c r="D134" s="854"/>
      <c r="E134" s="854"/>
      <c r="F134" s="854"/>
      <c r="G134" s="783"/>
      <c r="H134" s="783"/>
      <c r="I134" s="783"/>
      <c r="J134" s="783"/>
      <c r="K134" s="783"/>
      <c r="L134" s="783"/>
      <c r="M134" s="783"/>
      <c r="N134" s="783"/>
      <c r="O134" s="803"/>
      <c r="P134" s="803"/>
      <c r="Q134" s="803"/>
      <c r="R134" s="798"/>
      <c r="S134" s="798"/>
      <c r="T134" s="799"/>
      <c r="U134" s="798"/>
      <c r="V134" s="800"/>
      <c r="W134" s="798"/>
      <c r="X134" s="800"/>
    </row>
    <row r="135" spans="2:24" ht="14.15" customHeight="1">
      <c r="B135" s="821"/>
      <c r="C135" s="1418" t="s">
        <v>1112</v>
      </c>
      <c r="D135" s="1418"/>
      <c r="E135" s="1418"/>
      <c r="F135" s="1418"/>
      <c r="G135" s="1418"/>
      <c r="H135" s="1418"/>
      <c r="I135" s="1418"/>
      <c r="J135" s="1418"/>
      <c r="K135" s="1418"/>
      <c r="L135" s="1418"/>
      <c r="M135" s="1418"/>
      <c r="N135" s="1418"/>
      <c r="O135" s="803"/>
      <c r="P135" s="803"/>
      <c r="Q135" s="803"/>
      <c r="R135" s="798"/>
      <c r="S135" s="798"/>
      <c r="T135" s="799"/>
      <c r="U135" s="798"/>
      <c r="V135" s="800"/>
      <c r="W135" s="798"/>
      <c r="X135" s="800"/>
    </row>
    <row r="136" spans="2:24">
      <c r="B136" s="821"/>
      <c r="C136" s="855"/>
      <c r="D136" s="756"/>
      <c r="E136" s="756"/>
      <c r="F136" s="756"/>
      <c r="G136" s="756"/>
      <c r="H136" s="756"/>
      <c r="I136" s="756"/>
      <c r="J136" s="756"/>
      <c r="K136" s="756"/>
      <c r="L136" s="756"/>
      <c r="M136" s="756"/>
      <c r="N136" s="756"/>
      <c r="O136" s="756"/>
      <c r="P136" s="756"/>
      <c r="Q136" s="768"/>
      <c r="R136" s="798"/>
      <c r="S136" s="798"/>
      <c r="T136" s="799"/>
      <c r="U136" s="798"/>
      <c r="V136" s="800"/>
      <c r="W136" s="798"/>
      <c r="X136" s="800"/>
    </row>
    <row r="137" spans="2:24" ht="15.75" customHeight="1">
      <c r="B137" s="821">
        <f>B133+0.01</f>
        <v>3.1</v>
      </c>
      <c r="C137" s="738" t="s">
        <v>1113</v>
      </c>
      <c r="D137" s="793"/>
      <c r="N137" s="859"/>
      <c r="O137" s="860"/>
      <c r="P137" s="860"/>
      <c r="Q137" s="798"/>
      <c r="R137" s="798"/>
      <c r="S137" s="798"/>
      <c r="T137" s="799"/>
      <c r="U137" s="798"/>
      <c r="V137" s="800"/>
      <c r="W137" s="798"/>
      <c r="X137" s="800"/>
    </row>
    <row r="138" spans="2:24" ht="7" customHeight="1">
      <c r="B138" s="821"/>
      <c r="C138" s="738"/>
      <c r="D138" s="793"/>
      <c r="N138" s="859"/>
      <c r="O138" s="860"/>
      <c r="P138" s="860"/>
      <c r="Q138" s="798"/>
      <c r="R138" s="798"/>
      <c r="S138" s="798"/>
      <c r="T138" s="799"/>
      <c r="U138" s="798"/>
      <c r="V138" s="800"/>
      <c r="W138" s="798"/>
      <c r="X138" s="800"/>
    </row>
    <row r="139" spans="2:24" ht="62.15" customHeight="1">
      <c r="B139" s="821"/>
      <c r="C139" s="1418" t="s">
        <v>1114</v>
      </c>
      <c r="D139" s="1418"/>
      <c r="E139" s="1418"/>
      <c r="F139" s="1418"/>
      <c r="G139" s="1418"/>
      <c r="H139" s="1418"/>
      <c r="I139" s="1418"/>
      <c r="J139" s="1418"/>
      <c r="K139" s="1418"/>
      <c r="L139" s="1418"/>
      <c r="M139" s="1418"/>
      <c r="N139" s="1418"/>
      <c r="O139" s="861"/>
      <c r="P139" s="861"/>
      <c r="Q139" s="861"/>
      <c r="R139" s="861"/>
      <c r="S139" s="861"/>
      <c r="T139" s="861"/>
      <c r="U139" s="861"/>
      <c r="V139" s="861"/>
      <c r="W139" s="861"/>
      <c r="X139" s="861"/>
    </row>
    <row r="140" spans="2:24" ht="15" customHeight="1">
      <c r="B140" s="821">
        <f>B137+0.01</f>
        <v>3.11</v>
      </c>
      <c r="C140" s="1426" t="s">
        <v>1019</v>
      </c>
      <c r="D140" s="1426"/>
      <c r="E140" s="783"/>
      <c r="F140" s="783"/>
      <c r="G140" s="783"/>
      <c r="H140" s="783"/>
      <c r="I140" s="783"/>
      <c r="J140" s="783"/>
      <c r="K140" s="783"/>
      <c r="L140" s="783"/>
      <c r="M140" s="783"/>
      <c r="N140" s="783"/>
      <c r="O140" s="861"/>
      <c r="P140" s="861"/>
      <c r="Q140" s="861"/>
      <c r="R140" s="861"/>
      <c r="S140" s="861"/>
      <c r="T140" s="861"/>
      <c r="U140" s="861"/>
      <c r="V140" s="861"/>
      <c r="W140" s="861"/>
      <c r="X140" s="861"/>
    </row>
    <row r="141" spans="2:24" ht="7" customHeight="1">
      <c r="B141" s="821"/>
      <c r="C141" s="783"/>
      <c r="D141" s="783"/>
      <c r="E141" s="783"/>
      <c r="F141" s="783"/>
      <c r="G141" s="783"/>
      <c r="H141" s="783"/>
      <c r="I141" s="783"/>
      <c r="J141" s="783"/>
      <c r="K141" s="783"/>
      <c r="L141" s="783"/>
      <c r="M141" s="783"/>
      <c r="N141" s="783"/>
      <c r="O141" s="861"/>
      <c r="P141" s="861"/>
      <c r="Q141" s="861"/>
      <c r="R141" s="861"/>
      <c r="S141" s="861"/>
      <c r="T141" s="861"/>
      <c r="U141" s="861"/>
      <c r="V141" s="861"/>
      <c r="W141" s="861"/>
      <c r="X141" s="861"/>
    </row>
    <row r="142" spans="2:24" ht="30" customHeight="1">
      <c r="B142" s="821"/>
      <c r="C142" s="1418" t="s">
        <v>1115</v>
      </c>
      <c r="D142" s="1418"/>
      <c r="E142" s="1418"/>
      <c r="F142" s="1418"/>
      <c r="G142" s="1418"/>
      <c r="H142" s="1418"/>
      <c r="I142" s="1418"/>
      <c r="J142" s="1418"/>
      <c r="K142" s="1418"/>
      <c r="L142" s="1418"/>
      <c r="M142" s="1418"/>
      <c r="N142" s="1418"/>
      <c r="O142" s="861"/>
      <c r="P142" s="861"/>
      <c r="Q142" s="861"/>
      <c r="R142" s="861"/>
      <c r="S142" s="861"/>
      <c r="T142" s="861"/>
      <c r="U142" s="861"/>
      <c r="V142" s="861"/>
      <c r="W142" s="861"/>
      <c r="X142" s="861"/>
    </row>
    <row r="143" spans="2:24" ht="15" customHeight="1">
      <c r="B143" s="821"/>
      <c r="C143" s="855"/>
      <c r="D143" s="756"/>
      <c r="E143" s="756"/>
      <c r="F143" s="756"/>
      <c r="G143" s="756"/>
      <c r="H143" s="756"/>
      <c r="I143" s="756"/>
      <c r="J143" s="756"/>
      <c r="K143" s="756"/>
      <c r="L143" s="756"/>
      <c r="M143" s="756"/>
      <c r="N143" s="756"/>
      <c r="O143" s="819"/>
      <c r="P143" s="819"/>
      <c r="Q143" s="860"/>
    </row>
    <row r="144" spans="2:24" ht="15" customHeight="1">
      <c r="B144" s="821"/>
      <c r="C144" s="855"/>
      <c r="D144" s="756"/>
      <c r="E144" s="756"/>
      <c r="F144" s="756"/>
      <c r="G144" s="756"/>
      <c r="H144" s="756"/>
      <c r="I144" s="756"/>
      <c r="J144" s="756"/>
      <c r="K144" s="756"/>
      <c r="L144" s="756"/>
      <c r="M144" s="756"/>
      <c r="N144" s="756"/>
      <c r="O144" s="819"/>
      <c r="P144" s="819"/>
      <c r="Q144" s="860"/>
    </row>
    <row r="145" spans="1:17" ht="15" customHeight="1">
      <c r="B145" s="821">
        <f>B140+0.01</f>
        <v>3.12</v>
      </c>
      <c r="C145" s="1417" t="s">
        <v>1116</v>
      </c>
      <c r="D145" s="1417"/>
      <c r="E145" s="1417"/>
      <c r="F145" s="1417"/>
      <c r="G145" s="747"/>
      <c r="H145" s="747"/>
      <c r="I145" s="747"/>
      <c r="J145" s="747"/>
      <c r="K145" s="747"/>
      <c r="L145" s="747"/>
      <c r="M145" s="747"/>
      <c r="N145" s="732"/>
    </row>
    <row r="146" spans="1:17" ht="7" customHeight="1">
      <c r="B146" s="856"/>
      <c r="C146" s="738"/>
      <c r="D146" s="793"/>
      <c r="E146" s="793"/>
      <c r="F146" s="747"/>
      <c r="G146" s="747"/>
      <c r="H146" s="747"/>
      <c r="I146" s="747"/>
      <c r="J146" s="747"/>
      <c r="K146" s="747"/>
      <c r="L146" s="747"/>
      <c r="M146" s="747"/>
      <c r="N146" s="732"/>
    </row>
    <row r="147" spans="1:17" ht="45" customHeight="1">
      <c r="B147" s="856"/>
      <c r="C147" s="1418" t="s">
        <v>1117</v>
      </c>
      <c r="D147" s="1418"/>
      <c r="E147" s="1418"/>
      <c r="F147" s="1418"/>
      <c r="G147" s="1418"/>
      <c r="H147" s="1418"/>
      <c r="I147" s="1418"/>
      <c r="J147" s="1418"/>
      <c r="K147" s="1418"/>
      <c r="L147" s="1418"/>
      <c r="M147" s="1418"/>
      <c r="N147" s="1418"/>
      <c r="O147" s="803"/>
      <c r="P147" s="803"/>
      <c r="Q147" s="803"/>
    </row>
    <row r="148" spans="1:17" ht="5.25" customHeight="1">
      <c r="B148" s="856"/>
      <c r="C148" s="1419"/>
      <c r="D148" s="1419"/>
      <c r="E148" s="1419"/>
      <c r="F148" s="1419"/>
      <c r="G148" s="1419"/>
      <c r="H148" s="1419"/>
      <c r="I148" s="1419"/>
      <c r="J148" s="1419"/>
      <c r="K148" s="1419"/>
      <c r="L148" s="1419"/>
      <c r="M148" s="1419"/>
      <c r="N148" s="1419"/>
      <c r="O148" s="819"/>
      <c r="P148" s="819"/>
    </row>
    <row r="149" spans="1:17" ht="5.15" customHeight="1">
      <c r="B149" s="856"/>
      <c r="C149" s="729"/>
      <c r="D149" s="783"/>
      <c r="E149" s="783"/>
      <c r="F149" s="783"/>
      <c r="G149" s="783"/>
      <c r="H149" s="783"/>
      <c r="I149" s="783"/>
      <c r="J149" s="783"/>
      <c r="K149" s="783"/>
      <c r="L149" s="783"/>
      <c r="M149" s="783"/>
      <c r="N149" s="783"/>
      <c r="O149" s="803"/>
      <c r="P149" s="803"/>
      <c r="Q149" s="803"/>
    </row>
    <row r="150" spans="1:17">
      <c r="B150" s="856"/>
      <c r="C150" s="729"/>
      <c r="D150" s="783"/>
      <c r="E150" s="783"/>
      <c r="F150" s="783"/>
      <c r="G150" s="783"/>
      <c r="H150" s="783"/>
      <c r="I150" s="783"/>
      <c r="J150" s="783"/>
      <c r="K150" s="783"/>
      <c r="L150" s="783"/>
      <c r="M150" s="783"/>
      <c r="N150" s="783"/>
      <c r="O150" s="803"/>
      <c r="P150" s="803"/>
      <c r="Q150" s="803"/>
    </row>
    <row r="151" spans="1:17">
      <c r="A151" s="730">
        <v>4</v>
      </c>
      <c r="B151" s="856"/>
      <c r="C151" s="773" t="s">
        <v>1118</v>
      </c>
      <c r="D151" s="739"/>
      <c r="E151" s="739"/>
      <c r="F151" s="739"/>
      <c r="G151" s="739"/>
      <c r="H151" s="739"/>
      <c r="I151" s="739"/>
      <c r="J151" s="739"/>
      <c r="K151" s="739"/>
      <c r="L151" s="739"/>
      <c r="M151" s="739"/>
      <c r="N151" s="739"/>
    </row>
    <row r="152" spans="1:17" ht="8.15" customHeight="1">
      <c r="A152" s="730"/>
      <c r="B152" s="856"/>
      <c r="C152" s="773"/>
      <c r="D152" s="739"/>
      <c r="E152" s="739"/>
      <c r="F152" s="739"/>
      <c r="G152" s="739"/>
      <c r="H152" s="739"/>
      <c r="I152" s="739"/>
      <c r="J152" s="739"/>
      <c r="K152" s="739"/>
      <c r="L152" s="739"/>
      <c r="M152" s="739"/>
      <c r="N152" s="739"/>
    </row>
    <row r="153" spans="1:17">
      <c r="B153" s="856"/>
      <c r="C153" s="1425" t="s">
        <v>1119</v>
      </c>
      <c r="D153" s="1425"/>
      <c r="E153" s="1425"/>
      <c r="F153" s="1425"/>
      <c r="G153" s="1425"/>
      <c r="H153" s="1425"/>
      <c r="I153" s="1425"/>
      <c r="J153" s="1425"/>
      <c r="K153" s="1425"/>
      <c r="L153" s="1425"/>
      <c r="M153" s="1425"/>
      <c r="N153" s="1425"/>
    </row>
    <row r="154" spans="1:17">
      <c r="B154" s="856"/>
      <c r="C154" s="1425"/>
      <c r="D154" s="1425"/>
      <c r="E154" s="1425"/>
      <c r="F154" s="1425"/>
      <c r="G154" s="1425"/>
      <c r="H154" s="1425"/>
      <c r="I154" s="1425"/>
      <c r="J154" s="1425"/>
      <c r="K154" s="1425"/>
      <c r="L154" s="1425"/>
      <c r="M154" s="1425"/>
      <c r="N154" s="1425"/>
    </row>
    <row r="155" spans="1:17" ht="13.5" customHeight="1">
      <c r="A155" s="729"/>
      <c r="B155" s="857"/>
      <c r="C155" s="729"/>
      <c r="D155" s="732"/>
      <c r="E155" s="732"/>
      <c r="F155" s="747"/>
      <c r="G155" s="747"/>
    </row>
    <row r="156" spans="1:17" ht="2.25" customHeight="1">
      <c r="B156" s="856"/>
      <c r="C156" s="746"/>
      <c r="D156" s="747"/>
      <c r="E156" s="747"/>
      <c r="F156" s="747"/>
      <c r="G156" s="747"/>
      <c r="N156" s="793"/>
    </row>
    <row r="157" spans="1:17" ht="16" customHeight="1">
      <c r="B157" s="856"/>
      <c r="C157" s="1420"/>
      <c r="D157" s="1420"/>
      <c r="E157" s="1420"/>
      <c r="F157" s="1420"/>
      <c r="G157" s="1420"/>
      <c r="H157" s="1420"/>
      <c r="I157" s="1420"/>
      <c r="J157" s="1420"/>
      <c r="K157" s="1420"/>
      <c r="L157" s="1420"/>
      <c r="M157" s="1420"/>
      <c r="N157" s="1420"/>
      <c r="O157" s="819"/>
      <c r="P157" s="819"/>
    </row>
    <row r="158" spans="1:17" ht="16" customHeight="1">
      <c r="B158" s="856"/>
      <c r="C158" s="858"/>
      <c r="D158" s="858"/>
      <c r="E158" s="858"/>
      <c r="F158" s="858"/>
      <c r="G158" s="858"/>
      <c r="H158" s="858"/>
      <c r="I158" s="858"/>
      <c r="J158" s="858"/>
      <c r="K158" s="858"/>
      <c r="L158" s="858"/>
      <c r="M158" s="858"/>
      <c r="N158" s="858"/>
      <c r="O158" s="819"/>
      <c r="P158" s="819"/>
    </row>
    <row r="159" spans="1:17" ht="16" customHeight="1">
      <c r="B159" s="856"/>
      <c r="C159" s="858"/>
      <c r="D159" s="858"/>
      <c r="E159" s="858"/>
      <c r="F159" s="858"/>
      <c r="G159" s="858"/>
      <c r="H159" s="858"/>
      <c r="I159" s="858"/>
      <c r="J159" s="858"/>
      <c r="K159" s="858"/>
      <c r="L159" s="858"/>
      <c r="M159" s="858"/>
      <c r="N159" s="858"/>
      <c r="O159" s="819"/>
      <c r="P159" s="819"/>
    </row>
    <row r="160" spans="1:17" ht="16" customHeight="1">
      <c r="B160" s="856"/>
      <c r="C160" s="858"/>
      <c r="D160" s="858"/>
      <c r="E160" s="858"/>
      <c r="F160" s="858"/>
      <c r="G160" s="858"/>
      <c r="H160" s="858"/>
      <c r="I160" s="858"/>
      <c r="J160" s="858"/>
      <c r="K160" s="858"/>
      <c r="L160" s="858"/>
      <c r="M160" s="858"/>
      <c r="N160" s="858"/>
      <c r="O160" s="819"/>
      <c r="P160" s="819"/>
    </row>
    <row r="161" spans="2:16" ht="16" customHeight="1">
      <c r="B161" s="856"/>
      <c r="C161" s="858"/>
      <c r="D161" s="858"/>
      <c r="E161" s="858"/>
      <c r="F161" s="858"/>
      <c r="G161" s="858"/>
      <c r="H161" s="858"/>
      <c r="I161" s="858"/>
      <c r="J161" s="858"/>
      <c r="K161" s="858"/>
      <c r="L161" s="858"/>
      <c r="M161" s="858"/>
      <c r="N161" s="858"/>
      <c r="O161" s="819"/>
      <c r="P161" s="819"/>
    </row>
    <row r="162" spans="2:16" ht="16" customHeight="1">
      <c r="B162" s="856"/>
      <c r="C162" s="858"/>
      <c r="D162" s="858"/>
      <c r="E162" s="858"/>
      <c r="F162" s="858"/>
      <c r="G162" s="858"/>
      <c r="H162" s="858"/>
      <c r="I162" s="858"/>
      <c r="J162" s="858"/>
      <c r="K162" s="858"/>
      <c r="L162" s="858"/>
      <c r="M162" s="858"/>
      <c r="N162" s="858"/>
      <c r="O162" s="819"/>
      <c r="P162" s="819"/>
    </row>
    <row r="233" spans="14:14">
      <c r="N233" s="730">
        <f>SUM(N232:N232)</f>
        <v>0</v>
      </c>
    </row>
    <row r="243" spans="3:3" ht="10" customHeight="1"/>
    <row r="245" spans="3:3" ht="12" customHeight="1"/>
    <row r="249" spans="3:3">
      <c r="C249" s="728" t="s">
        <v>985</v>
      </c>
    </row>
    <row r="251" spans="3:3">
      <c r="C251" s="728" t="s">
        <v>986</v>
      </c>
    </row>
    <row r="278" spans="14:14">
      <c r="N278" s="730">
        <v>2013120</v>
      </c>
    </row>
    <row r="370" ht="15" customHeight="1"/>
  </sheetData>
  <mergeCells count="60">
    <mergeCell ref="A2:N2"/>
    <mergeCell ref="A3:N3"/>
    <mergeCell ref="C10:N10"/>
    <mergeCell ref="C12:N12"/>
    <mergeCell ref="C16:N16"/>
    <mergeCell ref="D18:N18"/>
    <mergeCell ref="D20:N20"/>
    <mergeCell ref="C22:N22"/>
    <mergeCell ref="C26:E26"/>
    <mergeCell ref="F26:H26"/>
    <mergeCell ref="F27:H27"/>
    <mergeCell ref="C28:N28"/>
    <mergeCell ref="C30:E30"/>
    <mergeCell ref="C31:N31"/>
    <mergeCell ref="C35:N35"/>
    <mergeCell ref="E45:P45"/>
    <mergeCell ref="C48:P48"/>
    <mergeCell ref="C51:N51"/>
    <mergeCell ref="C53:N53"/>
    <mergeCell ref="C55:N55"/>
    <mergeCell ref="C57:N57"/>
    <mergeCell ref="C58:N58"/>
    <mergeCell ref="C59:N59"/>
    <mergeCell ref="C62:N62"/>
    <mergeCell ref="Q68:Z68"/>
    <mergeCell ref="D70:N70"/>
    <mergeCell ref="D72:N72"/>
    <mergeCell ref="D73:N73"/>
    <mergeCell ref="D75:N75"/>
    <mergeCell ref="D77:N77"/>
    <mergeCell ref="D79:N79"/>
    <mergeCell ref="D81:N81"/>
    <mergeCell ref="C91:N91"/>
    <mergeCell ref="C95:N95"/>
    <mergeCell ref="C97:N97"/>
    <mergeCell ref="C122:N122"/>
    <mergeCell ref="C126:N126"/>
    <mergeCell ref="C129:N129"/>
    <mergeCell ref="C130:N130"/>
    <mergeCell ref="C108:N108"/>
    <mergeCell ref="C109:N109"/>
    <mergeCell ref="C111:K111"/>
    <mergeCell ref="C112:N112"/>
    <mergeCell ref="C116:D116"/>
    <mergeCell ref="C145:F145"/>
    <mergeCell ref="C147:N147"/>
    <mergeCell ref="C148:N148"/>
    <mergeCell ref="C157:N157"/>
    <mergeCell ref="R16:X23"/>
    <mergeCell ref="C39:N40"/>
    <mergeCell ref="C87:N89"/>
    <mergeCell ref="C41:N42"/>
    <mergeCell ref="C85:N86"/>
    <mergeCell ref="C153:N154"/>
    <mergeCell ref="C133:F133"/>
    <mergeCell ref="C135:N135"/>
    <mergeCell ref="C139:N139"/>
    <mergeCell ref="C140:D140"/>
    <mergeCell ref="C142:N142"/>
    <mergeCell ref="C117:N117"/>
  </mergeCells>
  <printOptions horizontalCentered="1"/>
  <pageMargins left="0.35" right="0.35" top="0.4" bottom="0.25" header="0.46" footer="0.511811023622047"/>
  <pageSetup scale="89" fitToHeight="0" orientation="portrait" r:id="rId1"/>
  <headerFooter alignWithMargins="0"/>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1454817346722"/>
    <pageSetUpPr fitToPage="1"/>
  </sheetPr>
  <dimension ref="A1:N370"/>
  <sheetViews>
    <sheetView view="pageBreakPreview" zoomScale="91" zoomScaleNormal="85" workbookViewId="0">
      <pane ySplit="11" topLeftCell="A172" activePane="bottomLeft" state="frozen"/>
      <selection pane="bottomLeft" activeCell="F187" sqref="F187"/>
    </sheetView>
  </sheetViews>
  <sheetFormatPr defaultColWidth="9.1796875" defaultRowHeight="12.5"/>
  <cols>
    <col min="1" max="1" width="6.54296875" style="355" customWidth="1"/>
    <col min="2" max="2" width="37.453125" style="355" customWidth="1"/>
    <col min="3" max="3" width="0.81640625" style="355" customWidth="1"/>
    <col min="4" max="4" width="16.54296875" style="355" customWidth="1"/>
    <col min="5" max="5" width="0.81640625" style="355" customWidth="1"/>
    <col min="6" max="6" width="16.54296875" style="355" customWidth="1"/>
    <col min="7" max="7" width="0.81640625" style="355" customWidth="1"/>
    <col min="8" max="8" width="16.54296875" style="355" customWidth="1"/>
    <col min="9" max="9" width="0.81640625" style="355" customWidth="1"/>
    <col min="10" max="10" width="16.54296875" style="355" hidden="1" customWidth="1"/>
    <col min="11" max="11" width="0.81640625" style="355" customWidth="1"/>
    <col min="12" max="12" width="16.54296875" style="355" customWidth="1"/>
    <col min="13" max="13" width="9.1796875" style="355"/>
    <col min="14" max="14" width="14.453125" style="355" customWidth="1"/>
    <col min="15" max="16384" width="9.1796875" style="355"/>
  </cols>
  <sheetData>
    <row r="1" spans="1:12" ht="14.5">
      <c r="A1" s="674"/>
      <c r="B1" s="674"/>
      <c r="C1" s="674"/>
      <c r="D1" s="674"/>
      <c r="E1" s="674"/>
      <c r="F1" s="674"/>
      <c r="G1" s="674"/>
      <c r="H1" s="674"/>
      <c r="I1" s="674"/>
      <c r="J1" s="674"/>
      <c r="K1" s="674"/>
      <c r="L1" s="674"/>
    </row>
    <row r="2" spans="1:12" ht="14.5">
      <c r="A2" s="675">
        <v>4</v>
      </c>
      <c r="B2" s="676" t="s">
        <v>1120</v>
      </c>
      <c r="C2" s="677"/>
      <c r="D2" s="678">
        <v>2021</v>
      </c>
      <c r="E2" s="674"/>
      <c r="F2" s="678">
        <v>2020</v>
      </c>
      <c r="G2" s="674"/>
      <c r="H2" s="674"/>
      <c r="I2" s="674"/>
      <c r="J2" s="674"/>
      <c r="K2" s="674"/>
      <c r="L2" s="674"/>
    </row>
    <row r="3" spans="1:12" ht="14.5">
      <c r="A3" s="674"/>
      <c r="B3" s="679"/>
      <c r="C3" s="679"/>
      <c r="D3" s="680" t="s">
        <v>957</v>
      </c>
      <c r="E3" s="674"/>
      <c r="F3" s="680" t="s">
        <v>957</v>
      </c>
      <c r="G3" s="674"/>
      <c r="H3" s="674"/>
      <c r="I3" s="674"/>
      <c r="J3" s="674"/>
      <c r="K3" s="674"/>
      <c r="L3" s="674"/>
    </row>
    <row r="4" spans="1:12" ht="14.5">
      <c r="A4" s="674"/>
      <c r="B4" s="674"/>
      <c r="C4" s="679"/>
      <c r="D4" s="674"/>
      <c r="E4" s="674"/>
      <c r="F4" s="674"/>
      <c r="G4" s="674"/>
      <c r="H4" s="674"/>
      <c r="I4" s="674"/>
      <c r="J4" s="674"/>
      <c r="K4" s="674"/>
      <c r="L4" s="674"/>
    </row>
    <row r="5" spans="1:12" ht="14.5">
      <c r="A5" s="681"/>
      <c r="B5" s="679" t="s">
        <v>1121</v>
      </c>
      <c r="C5" s="679"/>
      <c r="D5" s="682">
        <f>L195</f>
        <v>7918840.9000000004</v>
      </c>
      <c r="E5" s="674"/>
      <c r="F5" s="694">
        <v>850000</v>
      </c>
      <c r="G5" s="674"/>
      <c r="H5" s="674"/>
      <c r="I5" s="674"/>
      <c r="J5" s="674"/>
      <c r="K5" s="674"/>
      <c r="L5" s="674"/>
    </row>
    <row r="6" spans="1:12" ht="14.5">
      <c r="A6" s="679"/>
      <c r="B6" s="679"/>
      <c r="C6" s="679"/>
      <c r="D6" s="674"/>
      <c r="E6" s="674"/>
      <c r="F6" s="674"/>
      <c r="G6" s="679"/>
      <c r="H6" s="674"/>
      <c r="I6" s="698"/>
      <c r="J6" s="698"/>
      <c r="K6" s="674"/>
      <c r="L6" s="679"/>
    </row>
    <row r="7" spans="1:12" ht="14.5">
      <c r="A7" s="679"/>
      <c r="B7" s="679"/>
      <c r="C7" s="679"/>
      <c r="D7" s="679"/>
      <c r="E7" s="679"/>
      <c r="F7" s="679"/>
      <c r="G7" s="679"/>
      <c r="H7" s="679"/>
      <c r="I7" s="679"/>
      <c r="J7" s="679"/>
      <c r="K7" s="674"/>
      <c r="L7" s="674"/>
    </row>
    <row r="8" spans="1:12" ht="14.5">
      <c r="A8" s="683">
        <f>A2+0.1</f>
        <v>4.0999999999999996</v>
      </c>
      <c r="B8" s="677" t="s">
        <v>1122</v>
      </c>
      <c r="C8" s="677"/>
      <c r="D8" s="679"/>
      <c r="E8" s="679"/>
      <c r="F8" s="679"/>
      <c r="G8" s="679"/>
      <c r="H8" s="679"/>
      <c r="I8" s="679"/>
      <c r="J8" s="679"/>
      <c r="K8" s="674"/>
      <c r="L8" s="674"/>
    </row>
    <row r="9" spans="1:12" ht="14.5">
      <c r="A9" s="684"/>
      <c r="B9" s="679"/>
      <c r="C9" s="677"/>
      <c r="D9" s="679"/>
      <c r="E9" s="679"/>
      <c r="F9" s="679"/>
      <c r="G9" s="679"/>
      <c r="H9" s="679"/>
      <c r="I9" s="679"/>
      <c r="J9" s="679"/>
      <c r="K9" s="674"/>
      <c r="L9" s="674"/>
    </row>
    <row r="10" spans="1:12" ht="14.5">
      <c r="A10" s="685"/>
      <c r="B10" s="679"/>
      <c r="C10" s="677"/>
      <c r="D10" s="1444" t="s">
        <v>1123</v>
      </c>
      <c r="E10" s="1445"/>
      <c r="F10" s="1445"/>
      <c r="G10" s="1445"/>
      <c r="H10" s="1446"/>
      <c r="I10" s="684"/>
      <c r="J10" s="699" t="s">
        <v>1124</v>
      </c>
      <c r="K10" s="674"/>
      <c r="L10" s="1451" t="s">
        <v>1125</v>
      </c>
    </row>
    <row r="11" spans="1:12" ht="29">
      <c r="A11" s="685"/>
      <c r="B11" s="679"/>
      <c r="C11" s="679"/>
      <c r="D11" s="686" t="s">
        <v>1126</v>
      </c>
      <c r="E11" s="695"/>
      <c r="F11" s="696" t="s">
        <v>1127</v>
      </c>
      <c r="G11" s="695"/>
      <c r="H11" s="686" t="s">
        <v>1128</v>
      </c>
      <c r="I11" s="700"/>
      <c r="J11" s="701" t="s">
        <v>1129</v>
      </c>
      <c r="K11" s="674"/>
      <c r="L11" s="1452"/>
    </row>
    <row r="12" spans="1:12" ht="14.5">
      <c r="A12" s="685"/>
      <c r="B12" s="679"/>
      <c r="C12" s="679"/>
      <c r="D12" s="1447" t="s">
        <v>1130</v>
      </c>
      <c r="E12" s="1448"/>
      <c r="F12" s="1448"/>
      <c r="G12" s="1448"/>
      <c r="H12" s="1448"/>
      <c r="I12" s="1448"/>
      <c r="J12" s="1448"/>
      <c r="K12" s="1448"/>
      <c r="L12" s="1449"/>
    </row>
    <row r="13" spans="1:12" ht="14.5" hidden="1">
      <c r="A13" s="679"/>
      <c r="B13" s="677" t="s">
        <v>1131</v>
      </c>
      <c r="C13" s="679"/>
      <c r="D13" s="687"/>
      <c r="E13" s="687"/>
      <c r="F13" s="687"/>
      <c r="G13" s="687"/>
      <c r="H13" s="687"/>
      <c r="I13" s="687"/>
      <c r="J13" s="687"/>
      <c r="K13" s="674"/>
      <c r="L13" s="687"/>
    </row>
    <row r="14" spans="1:12" ht="14.5" hidden="1">
      <c r="A14" s="679"/>
      <c r="B14" s="679" t="s">
        <v>1132</v>
      </c>
      <c r="C14" s="679"/>
      <c r="D14" s="688">
        <v>31563</v>
      </c>
      <c r="E14" s="688"/>
      <c r="F14" s="688">
        <v>9879</v>
      </c>
      <c r="G14" s="688">
        <v>0</v>
      </c>
      <c r="H14" s="688">
        <v>48719</v>
      </c>
      <c r="I14" s="688"/>
      <c r="J14" s="688"/>
      <c r="K14" s="674"/>
      <c r="L14" s="687">
        <v>44127890</v>
      </c>
    </row>
    <row r="15" spans="1:12" ht="14.5" hidden="1">
      <c r="A15" s="679"/>
      <c r="B15" s="679" t="s">
        <v>1133</v>
      </c>
      <c r="C15" s="679"/>
      <c r="D15" s="689">
        <v>0</v>
      </c>
      <c r="E15" s="688"/>
      <c r="F15" s="688">
        <v>0</v>
      </c>
      <c r="G15" s="688"/>
      <c r="H15" s="688">
        <v>243958</v>
      </c>
      <c r="I15" s="688"/>
      <c r="J15" s="688"/>
      <c r="K15" s="674"/>
      <c r="L15" s="687">
        <v>72132365</v>
      </c>
    </row>
    <row r="16" spans="1:12" ht="14.5" hidden="1">
      <c r="A16" s="679"/>
      <c r="B16" s="679" t="s">
        <v>1134</v>
      </c>
      <c r="C16" s="679"/>
      <c r="D16" s="689">
        <v>0</v>
      </c>
      <c r="E16" s="688"/>
      <c r="F16" s="688">
        <v>0</v>
      </c>
      <c r="G16" s="688"/>
      <c r="H16" s="688">
        <v>0</v>
      </c>
      <c r="I16" s="688"/>
      <c r="J16" s="688"/>
      <c r="K16" s="674"/>
      <c r="L16" s="687">
        <v>-1456875</v>
      </c>
    </row>
    <row r="17" spans="1:12" ht="14.5" hidden="1">
      <c r="A17" s="679"/>
      <c r="B17" s="679" t="s">
        <v>1135</v>
      </c>
      <c r="C17" s="679"/>
      <c r="D17" s="689">
        <v>0</v>
      </c>
      <c r="E17" s="688"/>
      <c r="F17" s="688">
        <v>0</v>
      </c>
      <c r="G17" s="688"/>
      <c r="H17" s="688">
        <v>0</v>
      </c>
      <c r="I17" s="688"/>
      <c r="J17" s="688"/>
      <c r="K17" s="674"/>
      <c r="L17" s="687">
        <v>0</v>
      </c>
    </row>
    <row r="18" spans="1:12" ht="14.5" hidden="1">
      <c r="A18" s="679"/>
      <c r="B18" s="679" t="s">
        <v>1136</v>
      </c>
      <c r="C18" s="679"/>
      <c r="D18" s="689">
        <v>0</v>
      </c>
      <c r="E18" s="687"/>
      <c r="F18" s="688">
        <v>0</v>
      </c>
      <c r="G18" s="688"/>
      <c r="H18" s="688">
        <v>0</v>
      </c>
      <c r="I18" s="688"/>
      <c r="J18" s="688"/>
      <c r="K18" s="674"/>
      <c r="L18" s="687">
        <v>0</v>
      </c>
    </row>
    <row r="19" spans="1:12" ht="14.5" hidden="1">
      <c r="A19" s="679"/>
      <c r="B19" s="679"/>
      <c r="C19" s="679"/>
      <c r="D19" s="689"/>
      <c r="E19" s="688"/>
      <c r="F19" s="688"/>
      <c r="G19" s="688"/>
      <c r="H19" s="688"/>
      <c r="I19" s="688"/>
      <c r="J19" s="688"/>
      <c r="K19" s="674"/>
      <c r="L19" s="687">
        <v>0</v>
      </c>
    </row>
    <row r="20" spans="1:12" ht="14.5" hidden="1">
      <c r="A20" s="679"/>
      <c r="B20" s="679" t="s">
        <v>759</v>
      </c>
      <c r="C20" s="679"/>
      <c r="D20" s="689">
        <v>-4735</v>
      </c>
      <c r="E20" s="687"/>
      <c r="F20" s="687">
        <v>-1482</v>
      </c>
      <c r="G20" s="687"/>
      <c r="H20" s="687">
        <v>-18635</v>
      </c>
      <c r="I20" s="687"/>
      <c r="J20" s="687"/>
      <c r="K20" s="674"/>
      <c r="L20" s="687">
        <v>-14559477</v>
      </c>
    </row>
    <row r="21" spans="1:12" ht="14.5" hidden="1">
      <c r="A21" s="679"/>
      <c r="B21" s="679"/>
      <c r="C21" s="679"/>
      <c r="D21" s="690">
        <v>26828</v>
      </c>
      <c r="E21" s="687"/>
      <c r="F21" s="690">
        <v>8397</v>
      </c>
      <c r="G21" s="687">
        <v>0</v>
      </c>
      <c r="H21" s="690">
        <v>274042</v>
      </c>
      <c r="I21" s="687"/>
      <c r="J21" s="687"/>
      <c r="K21" s="674"/>
      <c r="L21" s="690">
        <v>100243903</v>
      </c>
    </row>
    <row r="22" spans="1:12" ht="14.5" hidden="1">
      <c r="A22" s="679"/>
      <c r="B22" s="679" t="s">
        <v>1137</v>
      </c>
      <c r="C22" s="679"/>
      <c r="D22" s="687"/>
      <c r="E22" s="687"/>
      <c r="F22" s="687"/>
      <c r="G22" s="687"/>
      <c r="H22" s="687"/>
      <c r="I22" s="687"/>
      <c r="J22" s="687"/>
      <c r="K22" s="674"/>
      <c r="L22" s="687"/>
    </row>
    <row r="23" spans="1:12" ht="14.5" hidden="1">
      <c r="A23" s="679"/>
      <c r="B23" s="679"/>
      <c r="C23" s="677"/>
      <c r="D23" s="687"/>
      <c r="E23" s="687"/>
      <c r="F23" s="687"/>
      <c r="G23" s="687"/>
      <c r="H23" s="687"/>
      <c r="I23" s="687"/>
      <c r="J23" s="687"/>
      <c r="K23" s="674"/>
      <c r="L23" s="687"/>
    </row>
    <row r="24" spans="1:12" ht="14.5" hidden="1">
      <c r="A24" s="679"/>
      <c r="B24" s="677" t="s">
        <v>1138</v>
      </c>
      <c r="C24" s="679"/>
      <c r="D24" s="687"/>
      <c r="E24" s="687"/>
      <c r="F24" s="687"/>
      <c r="G24" s="687"/>
      <c r="H24" s="687"/>
      <c r="I24" s="687"/>
      <c r="J24" s="687"/>
      <c r="K24" s="674"/>
      <c r="L24" s="687"/>
    </row>
    <row r="25" spans="1:12" ht="14.5" hidden="1">
      <c r="A25" s="679"/>
      <c r="B25" s="679" t="s">
        <v>1139</v>
      </c>
      <c r="C25" s="679"/>
      <c r="D25" s="687">
        <v>34850</v>
      </c>
      <c r="E25" s="687"/>
      <c r="F25" s="687">
        <v>12557</v>
      </c>
      <c r="G25" s="687">
        <v>0</v>
      </c>
      <c r="H25" s="687">
        <v>308958</v>
      </c>
      <c r="I25" s="687"/>
      <c r="J25" s="687"/>
      <c r="K25" s="674"/>
      <c r="L25" s="687">
        <v>125912076</v>
      </c>
    </row>
    <row r="26" spans="1:12" ht="14.5" hidden="1">
      <c r="A26" s="679"/>
      <c r="B26" s="679" t="s">
        <v>1140</v>
      </c>
      <c r="C26" s="679"/>
      <c r="D26" s="691">
        <v>-8022</v>
      </c>
      <c r="E26" s="674"/>
      <c r="F26" s="691">
        <v>-4160</v>
      </c>
      <c r="G26" s="691">
        <v>0</v>
      </c>
      <c r="H26" s="691">
        <v>-34916</v>
      </c>
      <c r="I26" s="691"/>
      <c r="J26" s="691"/>
      <c r="K26" s="674"/>
      <c r="L26" s="687">
        <v>-25668173</v>
      </c>
    </row>
    <row r="27" spans="1:12" ht="14.5" hidden="1">
      <c r="A27" s="679"/>
      <c r="B27" s="679" t="s">
        <v>1141</v>
      </c>
      <c r="C27" s="679"/>
      <c r="D27" s="690">
        <v>26828</v>
      </c>
      <c r="E27" s="687"/>
      <c r="F27" s="690">
        <v>8397</v>
      </c>
      <c r="G27" s="687"/>
      <c r="H27" s="690">
        <v>274042</v>
      </c>
      <c r="I27" s="687"/>
      <c r="J27" s="687"/>
      <c r="K27" s="674"/>
      <c r="L27" s="690">
        <v>100243903</v>
      </c>
    </row>
    <row r="28" spans="1:12" ht="14.5" hidden="1">
      <c r="A28" s="679"/>
      <c r="B28" s="679"/>
      <c r="C28" s="677"/>
      <c r="D28" s="687"/>
      <c r="E28" s="687"/>
      <c r="F28" s="687"/>
      <c r="G28" s="687"/>
      <c r="H28" s="687"/>
      <c r="I28" s="687"/>
      <c r="J28" s="687"/>
      <c r="K28" s="674"/>
      <c r="L28" s="687"/>
    </row>
    <row r="29" spans="1:12" ht="14.5" hidden="1">
      <c r="A29" s="679"/>
      <c r="B29" s="677" t="s">
        <v>1142</v>
      </c>
      <c r="C29" s="679"/>
      <c r="D29" s="687"/>
      <c r="E29" s="687"/>
      <c r="F29" s="687"/>
      <c r="G29" s="687"/>
      <c r="H29" s="687"/>
      <c r="I29" s="687"/>
      <c r="J29" s="687"/>
      <c r="K29" s="674"/>
      <c r="L29" s="687"/>
    </row>
    <row r="30" spans="1:12" ht="14.5" hidden="1">
      <c r="A30" s="679"/>
      <c r="B30" s="679" t="s">
        <v>1132</v>
      </c>
      <c r="C30" s="679"/>
      <c r="D30" s="688">
        <v>26828</v>
      </c>
      <c r="E30" s="688"/>
      <c r="F30" s="688">
        <v>8397</v>
      </c>
      <c r="G30" s="688">
        <v>0</v>
      </c>
      <c r="H30" s="688">
        <v>274042</v>
      </c>
      <c r="I30" s="688"/>
      <c r="J30" s="688"/>
      <c r="K30" s="674"/>
      <c r="L30" s="687">
        <f>SUM(D30:H30)</f>
        <v>309267</v>
      </c>
    </row>
    <row r="31" spans="1:12" ht="14.5" hidden="1">
      <c r="A31" s="679"/>
      <c r="B31" s="679" t="s">
        <v>1133</v>
      </c>
      <c r="C31" s="679"/>
      <c r="D31" s="688">
        <v>0</v>
      </c>
      <c r="E31" s="688"/>
      <c r="F31" s="688">
        <v>0</v>
      </c>
      <c r="G31" s="688"/>
      <c r="H31" s="688">
        <v>742593</v>
      </c>
      <c r="I31" s="688"/>
      <c r="J31" s="688"/>
      <c r="K31" s="674"/>
      <c r="L31" s="687">
        <f>SUM(D31:H31)</f>
        <v>742593</v>
      </c>
    </row>
    <row r="32" spans="1:12" ht="14.5" hidden="1">
      <c r="A32" s="679"/>
      <c r="B32" s="679"/>
      <c r="C32" s="679"/>
      <c r="D32" s="688"/>
      <c r="E32" s="688"/>
      <c r="F32" s="688"/>
      <c r="G32" s="688"/>
      <c r="H32" s="688"/>
      <c r="I32" s="688"/>
      <c r="J32" s="688"/>
      <c r="K32" s="674"/>
      <c r="L32" s="687"/>
    </row>
    <row r="33" spans="1:12" ht="14.5" hidden="1">
      <c r="A33" s="679"/>
      <c r="B33" s="679" t="s">
        <v>759</v>
      </c>
      <c r="C33" s="679"/>
      <c r="D33" s="687">
        <v>-4024.2</v>
      </c>
      <c r="E33" s="687"/>
      <c r="F33" s="687">
        <v>-1259.55</v>
      </c>
      <c r="G33" s="687"/>
      <c r="H33" s="687">
        <v>-65217</v>
      </c>
      <c r="I33" s="687"/>
      <c r="J33" s="687"/>
      <c r="K33" s="674"/>
      <c r="L33" s="687">
        <v>-17337121.600000001</v>
      </c>
    </row>
    <row r="34" spans="1:12" ht="14.5" hidden="1">
      <c r="A34" s="677"/>
      <c r="B34" s="679"/>
      <c r="C34" s="679"/>
      <c r="D34" s="674"/>
      <c r="E34" s="674"/>
      <c r="F34" s="674"/>
      <c r="G34" s="674"/>
      <c r="H34" s="674"/>
      <c r="I34" s="674"/>
      <c r="J34" s="674"/>
      <c r="K34" s="674"/>
      <c r="L34" s="674"/>
    </row>
    <row r="35" spans="1:12" ht="14.5" hidden="1">
      <c r="A35" s="679"/>
      <c r="B35" s="679" t="s">
        <v>1137</v>
      </c>
      <c r="C35" s="679"/>
      <c r="D35" s="692">
        <f>D30+D31+D33</f>
        <v>22803.8</v>
      </c>
      <c r="E35" s="693"/>
      <c r="F35" s="692">
        <f>F30+F31+F33</f>
        <v>7137.45</v>
      </c>
      <c r="G35" s="693"/>
      <c r="H35" s="692">
        <f>H30+H31+H33</f>
        <v>951418</v>
      </c>
      <c r="I35" s="693"/>
      <c r="J35" s="693"/>
      <c r="K35" s="674"/>
      <c r="L35" s="692">
        <f>L30+L31+L33</f>
        <v>-16285261.6</v>
      </c>
    </row>
    <row r="36" spans="1:12" ht="14.5" hidden="1">
      <c r="A36" s="679"/>
      <c r="B36" s="679"/>
      <c r="C36" s="677"/>
      <c r="D36" s="687"/>
      <c r="E36" s="687"/>
      <c r="F36" s="687"/>
      <c r="G36" s="687"/>
      <c r="H36" s="687"/>
      <c r="I36" s="687"/>
      <c r="J36" s="687"/>
      <c r="K36" s="674"/>
      <c r="L36" s="687"/>
    </row>
    <row r="37" spans="1:12" ht="14.5" hidden="1">
      <c r="A37" s="679"/>
      <c r="B37" s="677" t="s">
        <v>1143</v>
      </c>
      <c r="C37" s="679"/>
      <c r="D37" s="687"/>
      <c r="E37" s="687"/>
      <c r="F37" s="687"/>
      <c r="G37" s="687"/>
      <c r="H37" s="687"/>
      <c r="I37" s="687"/>
      <c r="J37" s="687"/>
      <c r="K37" s="674"/>
      <c r="L37" s="687"/>
    </row>
    <row r="38" spans="1:12" ht="14.5" hidden="1">
      <c r="A38" s="679"/>
      <c r="B38" s="679"/>
      <c r="C38" s="679"/>
      <c r="D38" s="687"/>
      <c r="E38" s="687"/>
      <c r="F38" s="687"/>
      <c r="G38" s="687"/>
      <c r="H38" s="687"/>
      <c r="I38" s="687"/>
      <c r="J38" s="687"/>
      <c r="K38" s="674"/>
      <c r="L38" s="687"/>
    </row>
    <row r="39" spans="1:12" ht="14.5" hidden="1">
      <c r="A39" s="679"/>
      <c r="B39" s="679" t="s">
        <v>1139</v>
      </c>
      <c r="C39" s="679"/>
      <c r="D39" s="687">
        <v>34850</v>
      </c>
      <c r="E39" s="697"/>
      <c r="F39" s="687">
        <v>12557</v>
      </c>
      <c r="G39" s="687">
        <v>0</v>
      </c>
      <c r="H39" s="687">
        <v>1051551</v>
      </c>
      <c r="I39" s="687"/>
      <c r="J39" s="687"/>
      <c r="K39" s="674"/>
      <c r="L39" s="687">
        <f>SUM(D39:H39)</f>
        <v>1098958</v>
      </c>
    </row>
    <row r="40" spans="1:12" ht="14.5" hidden="1">
      <c r="A40" s="677"/>
      <c r="B40" s="679" t="s">
        <v>1140</v>
      </c>
      <c r="C40" s="679"/>
      <c r="D40" s="691">
        <v>-12046.2</v>
      </c>
      <c r="E40" s="674"/>
      <c r="F40" s="691">
        <v>-5419.55</v>
      </c>
      <c r="G40" s="691">
        <v>0</v>
      </c>
      <c r="H40" s="691">
        <v>-100133</v>
      </c>
      <c r="I40" s="691"/>
      <c r="J40" s="691"/>
      <c r="K40" s="674"/>
      <c r="L40" s="687">
        <f>SUM(D40:H40)</f>
        <v>-117598.75</v>
      </c>
    </row>
    <row r="41" spans="1:12" ht="14.5" hidden="1">
      <c r="A41" s="679"/>
      <c r="B41" s="679" t="s">
        <v>1141</v>
      </c>
      <c r="C41" s="679"/>
      <c r="D41" s="692">
        <f>SUM(D39:D40)</f>
        <v>22803.8</v>
      </c>
      <c r="E41" s="693"/>
      <c r="F41" s="692">
        <f>SUM(F39:F40)</f>
        <v>7137.45</v>
      </c>
      <c r="G41" s="693"/>
      <c r="H41" s="692">
        <f>SUM(H39:H40)</f>
        <v>951418</v>
      </c>
      <c r="I41" s="693"/>
      <c r="J41" s="693"/>
      <c r="K41" s="674"/>
      <c r="L41" s="692">
        <f>SUM(L39:L40)</f>
        <v>981359.25</v>
      </c>
    </row>
    <row r="42" spans="1:12" ht="14.5" hidden="1">
      <c r="A42" s="679"/>
      <c r="B42" s="679"/>
      <c r="C42" s="679"/>
      <c r="D42" s="693"/>
      <c r="E42" s="693"/>
      <c r="F42" s="693"/>
      <c r="G42" s="693"/>
      <c r="H42" s="693"/>
      <c r="I42" s="693"/>
      <c r="J42" s="693"/>
      <c r="K42" s="674"/>
      <c r="L42" s="693"/>
    </row>
    <row r="43" spans="1:12" ht="14.5" hidden="1">
      <c r="A43" s="679"/>
      <c r="B43" s="677" t="s">
        <v>1144</v>
      </c>
      <c r="C43" s="679"/>
      <c r="D43" s="687"/>
      <c r="E43" s="687"/>
      <c r="F43" s="687"/>
      <c r="G43" s="687"/>
      <c r="H43" s="687"/>
      <c r="I43" s="687"/>
      <c r="J43" s="687"/>
      <c r="K43" s="674"/>
      <c r="L43" s="687"/>
    </row>
    <row r="44" spans="1:12" ht="14.5" hidden="1">
      <c r="A44" s="679"/>
      <c r="B44" s="679" t="s">
        <v>1132</v>
      </c>
      <c r="C44" s="679"/>
      <c r="D44" s="688">
        <f>+D41</f>
        <v>22803.8</v>
      </c>
      <c r="E44" s="688"/>
      <c r="F44" s="688">
        <f>+F41</f>
        <v>7137.45</v>
      </c>
      <c r="G44" s="688">
        <v>0</v>
      </c>
      <c r="H44" s="688">
        <f>+H41</f>
        <v>951418</v>
      </c>
      <c r="I44" s="688"/>
      <c r="J44" s="688"/>
      <c r="K44" s="674"/>
      <c r="L44" s="687">
        <f>SUM(D44:H44)</f>
        <v>981359.25</v>
      </c>
    </row>
    <row r="45" spans="1:12" ht="14.5" hidden="1">
      <c r="A45" s="679"/>
      <c r="B45" s="679" t="s">
        <v>1133</v>
      </c>
      <c r="C45" s="679"/>
      <c r="D45" s="688">
        <v>28854</v>
      </c>
      <c r="E45" s="688"/>
      <c r="F45" s="688">
        <v>0</v>
      </c>
      <c r="G45" s="688"/>
      <c r="H45" s="688">
        <v>683430</v>
      </c>
      <c r="I45" s="688"/>
      <c r="J45" s="688"/>
      <c r="K45" s="674"/>
      <c r="L45" s="687">
        <f>SUM(D45:H45)</f>
        <v>712284</v>
      </c>
    </row>
    <row r="46" spans="1:12" ht="14.5" hidden="1">
      <c r="A46" s="679"/>
      <c r="B46" s="679"/>
      <c r="C46" s="679"/>
      <c r="D46" s="688"/>
      <c r="E46" s="688"/>
      <c r="F46" s="688"/>
      <c r="G46" s="688"/>
      <c r="H46" s="688"/>
      <c r="I46" s="688"/>
      <c r="J46" s="688"/>
      <c r="K46" s="674"/>
      <c r="L46" s="687"/>
    </row>
    <row r="47" spans="1:12" ht="14.5" hidden="1">
      <c r="A47" s="679"/>
      <c r="B47" s="679" t="s">
        <v>759</v>
      </c>
      <c r="C47" s="679"/>
      <c r="D47" s="687">
        <v>-7749</v>
      </c>
      <c r="E47" s="687"/>
      <c r="F47" s="687">
        <v>-1070</v>
      </c>
      <c r="G47" s="687"/>
      <c r="H47" s="687">
        <v>-175678</v>
      </c>
      <c r="I47" s="687"/>
      <c r="J47" s="687"/>
      <c r="K47" s="674"/>
      <c r="L47" s="687">
        <f>SUM(D47:H47)</f>
        <v>-184497</v>
      </c>
    </row>
    <row r="48" spans="1:12" ht="14.5" hidden="1">
      <c r="A48" s="677"/>
      <c r="B48" s="679"/>
      <c r="C48" s="679"/>
      <c r="D48" s="674"/>
      <c r="E48" s="674"/>
      <c r="F48" s="674"/>
      <c r="G48" s="674"/>
      <c r="H48" s="674"/>
      <c r="I48" s="674"/>
      <c r="J48" s="674"/>
      <c r="K48" s="674"/>
      <c r="L48" s="674"/>
    </row>
    <row r="49" spans="1:12" ht="14.5" hidden="1">
      <c r="A49" s="679"/>
      <c r="B49" s="679" t="s">
        <v>1137</v>
      </c>
      <c r="C49" s="679"/>
      <c r="D49" s="690">
        <f>SUM(D44:D47)</f>
        <v>43908.800000000003</v>
      </c>
      <c r="E49" s="687"/>
      <c r="F49" s="690">
        <f>SUM(F44:F47)</f>
        <v>6067.45</v>
      </c>
      <c r="G49" s="687"/>
      <c r="H49" s="690">
        <f>SUM(H44:H47)</f>
        <v>1459170</v>
      </c>
      <c r="I49" s="687"/>
      <c r="J49" s="687"/>
      <c r="K49" s="674"/>
      <c r="L49" s="690">
        <f>SUM(L44:L47)</f>
        <v>1509146.25</v>
      </c>
    </row>
    <row r="50" spans="1:12" ht="14.5" hidden="1">
      <c r="A50" s="679"/>
      <c r="B50" s="679"/>
      <c r="C50" s="677"/>
      <c r="D50" s="687"/>
      <c r="E50" s="687"/>
      <c r="F50" s="687"/>
      <c r="G50" s="687"/>
      <c r="H50" s="687"/>
      <c r="I50" s="687"/>
      <c r="J50" s="687"/>
      <c r="K50" s="674"/>
      <c r="L50" s="687"/>
    </row>
    <row r="51" spans="1:12" ht="14.5" hidden="1">
      <c r="A51" s="679"/>
      <c r="B51" s="677" t="s">
        <v>1145</v>
      </c>
      <c r="C51" s="679"/>
      <c r="D51" s="687"/>
      <c r="E51" s="687"/>
      <c r="F51" s="687"/>
      <c r="G51" s="687"/>
      <c r="H51" s="687"/>
      <c r="I51" s="687"/>
      <c r="J51" s="687"/>
      <c r="K51" s="674"/>
      <c r="L51" s="687"/>
    </row>
    <row r="52" spans="1:12" ht="14.5" hidden="1">
      <c r="A52" s="679"/>
      <c r="B52" s="679"/>
      <c r="C52" s="679"/>
      <c r="D52" s="687"/>
      <c r="E52" s="687"/>
      <c r="F52" s="687"/>
      <c r="G52" s="687"/>
      <c r="H52" s="687"/>
      <c r="I52" s="687"/>
      <c r="J52" s="687"/>
      <c r="K52" s="674"/>
      <c r="L52" s="687"/>
    </row>
    <row r="53" spans="1:12" ht="14.5" hidden="1">
      <c r="A53" s="679"/>
      <c r="B53" s="679" t="s">
        <v>1139</v>
      </c>
      <c r="C53" s="679"/>
      <c r="D53" s="687">
        <f>D39+D45</f>
        <v>63704</v>
      </c>
      <c r="E53" s="697"/>
      <c r="F53" s="687">
        <f>F39+F45</f>
        <v>12557</v>
      </c>
      <c r="G53" s="687">
        <v>0</v>
      </c>
      <c r="H53" s="687">
        <f>H39+H45</f>
        <v>1734981</v>
      </c>
      <c r="I53" s="687"/>
      <c r="J53" s="687"/>
      <c r="K53" s="674"/>
      <c r="L53" s="687">
        <f>SUM(D53:H53)</f>
        <v>1811242</v>
      </c>
    </row>
    <row r="54" spans="1:12" ht="14.5" hidden="1">
      <c r="A54" s="677"/>
      <c r="B54" s="679" t="s">
        <v>1140</v>
      </c>
      <c r="C54" s="679"/>
      <c r="D54" s="691">
        <f>+D40+D47</f>
        <v>-19795.2</v>
      </c>
      <c r="E54" s="674"/>
      <c r="F54" s="691">
        <f>+F40+F47</f>
        <v>-6489.55</v>
      </c>
      <c r="G54" s="691">
        <v>0</v>
      </c>
      <c r="H54" s="691">
        <f>+H40+H47</f>
        <v>-275811</v>
      </c>
      <c r="I54" s="691"/>
      <c r="J54" s="691"/>
      <c r="K54" s="674"/>
      <c r="L54" s="687">
        <f>SUM(D54:H54)</f>
        <v>-302095.75</v>
      </c>
    </row>
    <row r="55" spans="1:12" ht="14.5" hidden="1">
      <c r="A55" s="679"/>
      <c r="B55" s="679" t="s">
        <v>1141</v>
      </c>
      <c r="C55" s="679"/>
      <c r="D55" s="690">
        <f>SUM(D53:D54)</f>
        <v>43908.800000000003</v>
      </c>
      <c r="E55" s="687"/>
      <c r="F55" s="690">
        <f>SUM(F53:F54)</f>
        <v>6067.45</v>
      </c>
      <c r="G55" s="687"/>
      <c r="H55" s="690">
        <f>SUM(H53:H54)</f>
        <v>1459170</v>
      </c>
      <c r="I55" s="687"/>
      <c r="J55" s="687"/>
      <c r="K55" s="674"/>
      <c r="L55" s="690">
        <f>SUM(L53:L54)</f>
        <v>1509146.25</v>
      </c>
    </row>
    <row r="56" spans="1:12" ht="14.5" hidden="1">
      <c r="A56" s="685"/>
      <c r="B56" s="679"/>
      <c r="C56" s="679"/>
      <c r="D56" s="687"/>
      <c r="E56" s="687"/>
      <c r="F56" s="687"/>
      <c r="G56" s="687"/>
      <c r="H56" s="687"/>
      <c r="I56" s="687"/>
      <c r="J56" s="687"/>
      <c r="K56" s="674"/>
      <c r="L56" s="674"/>
    </row>
    <row r="57" spans="1:12" ht="14.5" hidden="1">
      <c r="A57" s="685"/>
      <c r="B57" s="677" t="s">
        <v>1146</v>
      </c>
      <c r="C57" s="679"/>
      <c r="D57" s="674"/>
      <c r="E57" s="674"/>
      <c r="F57" s="674"/>
      <c r="G57" s="674"/>
      <c r="H57" s="674"/>
      <c r="I57" s="674"/>
      <c r="J57" s="674"/>
      <c r="K57" s="674"/>
      <c r="L57" s="674"/>
    </row>
    <row r="58" spans="1:12" ht="14.5" hidden="1">
      <c r="A58" s="685"/>
      <c r="B58" s="679" t="s">
        <v>1132</v>
      </c>
      <c r="C58" s="679"/>
      <c r="D58" s="687">
        <f>+D55</f>
        <v>43908.800000000003</v>
      </c>
      <c r="E58" s="687"/>
      <c r="F58" s="687">
        <f>+F55</f>
        <v>6067.45</v>
      </c>
      <c r="G58" s="687"/>
      <c r="H58" s="687">
        <f>+H55</f>
        <v>1459170</v>
      </c>
      <c r="I58" s="687"/>
      <c r="J58" s="687">
        <v>0</v>
      </c>
      <c r="K58" s="674"/>
      <c r="L58" s="691">
        <f>SUM(D58:J58)</f>
        <v>1509146.25</v>
      </c>
    </row>
    <row r="59" spans="1:12" ht="14.5" hidden="1">
      <c r="A59" s="685"/>
      <c r="B59" s="679" t="s">
        <v>1133</v>
      </c>
      <c r="C59" s="679"/>
      <c r="D59" s="687">
        <v>0</v>
      </c>
      <c r="E59" s="687"/>
      <c r="F59" s="687">
        <v>0</v>
      </c>
      <c r="G59" s="687"/>
      <c r="H59" s="687">
        <v>926407</v>
      </c>
      <c r="I59" s="687"/>
      <c r="J59" s="687">
        <v>0</v>
      </c>
      <c r="K59" s="674"/>
      <c r="L59" s="691">
        <f>SUM(D59:J59)</f>
        <v>926407</v>
      </c>
    </row>
    <row r="60" spans="1:12" ht="14.5" hidden="1">
      <c r="A60" s="685"/>
      <c r="B60" s="679"/>
      <c r="C60" s="679"/>
      <c r="D60" s="687"/>
      <c r="E60" s="687"/>
      <c r="F60" s="687"/>
      <c r="G60" s="687"/>
      <c r="H60" s="687"/>
      <c r="I60" s="687"/>
      <c r="J60" s="687"/>
      <c r="K60" s="674"/>
      <c r="L60" s="674"/>
    </row>
    <row r="61" spans="1:12" ht="14.5" hidden="1">
      <c r="A61" s="685"/>
      <c r="B61" s="679" t="s">
        <v>759</v>
      </c>
      <c r="C61" s="679"/>
      <c r="D61" s="687">
        <v>-6586</v>
      </c>
      <c r="E61" s="687"/>
      <c r="F61" s="687">
        <v>-910</v>
      </c>
      <c r="G61" s="687"/>
      <c r="H61" s="687">
        <v>-230456</v>
      </c>
      <c r="I61" s="687"/>
      <c r="J61" s="687">
        <v>0</v>
      </c>
      <c r="K61" s="691"/>
      <c r="L61" s="691">
        <f>SUM(D61:J61)</f>
        <v>-237952</v>
      </c>
    </row>
    <row r="62" spans="1:12" ht="14.5" hidden="1">
      <c r="A62" s="685"/>
      <c r="B62" s="679"/>
      <c r="C62" s="679"/>
      <c r="D62" s="687"/>
      <c r="E62" s="687"/>
      <c r="F62" s="687"/>
      <c r="G62" s="687"/>
      <c r="H62" s="687"/>
      <c r="I62" s="687"/>
      <c r="J62" s="687"/>
      <c r="K62" s="691"/>
      <c r="L62" s="691"/>
    </row>
    <row r="63" spans="1:12" ht="14.5" hidden="1">
      <c r="A63" s="685"/>
      <c r="B63" s="679" t="s">
        <v>1137</v>
      </c>
      <c r="C63" s="679"/>
      <c r="D63" s="690">
        <f>D58+D59+D61</f>
        <v>37322.800000000003</v>
      </c>
      <c r="E63" s="687"/>
      <c r="F63" s="690">
        <f>F58+F59+F61</f>
        <v>5157.45</v>
      </c>
      <c r="G63" s="687"/>
      <c r="H63" s="690">
        <f>H58+H59+H61</f>
        <v>2155121</v>
      </c>
      <c r="I63" s="687"/>
      <c r="J63" s="690">
        <f>J58+J59+J61</f>
        <v>0</v>
      </c>
      <c r="K63" s="691"/>
      <c r="L63" s="690">
        <f>L58+L59+L61</f>
        <v>2197601.25</v>
      </c>
    </row>
    <row r="64" spans="1:12" ht="14.5" hidden="1">
      <c r="A64" s="685"/>
      <c r="B64" s="679"/>
      <c r="C64" s="679"/>
      <c r="D64" s="687"/>
      <c r="E64" s="687"/>
      <c r="F64" s="687"/>
      <c r="G64" s="687"/>
      <c r="H64" s="687"/>
      <c r="I64" s="687"/>
      <c r="J64" s="687"/>
      <c r="K64" s="691"/>
      <c r="L64" s="691"/>
    </row>
    <row r="65" spans="1:12" ht="14.5" hidden="1">
      <c r="A65" s="685"/>
      <c r="B65" s="677" t="s">
        <v>1147</v>
      </c>
      <c r="C65" s="679"/>
      <c r="D65" s="687"/>
      <c r="E65" s="687"/>
      <c r="F65" s="687"/>
      <c r="G65" s="687"/>
      <c r="H65" s="687"/>
      <c r="I65" s="687"/>
      <c r="J65" s="687"/>
      <c r="K65" s="691"/>
      <c r="L65" s="691"/>
    </row>
    <row r="66" spans="1:12" ht="14.5" hidden="1">
      <c r="A66" s="685"/>
      <c r="B66" s="679"/>
      <c r="C66" s="679"/>
      <c r="D66" s="687"/>
      <c r="E66" s="687"/>
      <c r="F66" s="687"/>
      <c r="G66" s="687"/>
      <c r="H66" s="687"/>
      <c r="I66" s="687"/>
      <c r="J66" s="687"/>
      <c r="K66" s="691"/>
      <c r="L66" s="691"/>
    </row>
    <row r="67" spans="1:12" ht="14.5" hidden="1">
      <c r="A67" s="685"/>
      <c r="B67" s="679" t="s">
        <v>1139</v>
      </c>
      <c r="C67" s="679"/>
      <c r="D67" s="687">
        <f>+D53+D59</f>
        <v>63704</v>
      </c>
      <c r="E67" s="687"/>
      <c r="F67" s="687">
        <f>+F53+F59</f>
        <v>12557</v>
      </c>
      <c r="G67" s="687"/>
      <c r="H67" s="687">
        <f>+H53+H59</f>
        <v>2661388</v>
      </c>
      <c r="I67" s="687"/>
      <c r="J67" s="687">
        <v>0</v>
      </c>
      <c r="K67" s="688"/>
      <c r="L67" s="691">
        <f>SUM(D67:J67)</f>
        <v>2737649</v>
      </c>
    </row>
    <row r="68" spans="1:12" ht="14.5" hidden="1">
      <c r="A68" s="685"/>
      <c r="B68" s="679" t="s">
        <v>1140</v>
      </c>
      <c r="C68" s="679"/>
      <c r="D68" s="687">
        <f>+D54+D61+0.2</f>
        <v>-26381</v>
      </c>
      <c r="E68" s="687"/>
      <c r="F68" s="687">
        <f>+F54+F61-0.45</f>
        <v>-7400</v>
      </c>
      <c r="G68" s="687"/>
      <c r="H68" s="687">
        <f>+H54+H61</f>
        <v>-506267</v>
      </c>
      <c r="I68" s="687"/>
      <c r="J68" s="687">
        <v>0</v>
      </c>
      <c r="K68" s="688"/>
      <c r="L68" s="691">
        <f>SUM(D68:J68)</f>
        <v>-540048</v>
      </c>
    </row>
    <row r="69" spans="1:12" ht="14.5" hidden="1">
      <c r="A69" s="685"/>
      <c r="B69" s="679" t="s">
        <v>1141</v>
      </c>
      <c r="C69" s="679"/>
      <c r="D69" s="690">
        <f>SUM(D67:D68)</f>
        <v>37323</v>
      </c>
      <c r="E69" s="687"/>
      <c r="F69" s="690">
        <f>SUM(F67:F68)</f>
        <v>5157</v>
      </c>
      <c r="G69" s="687"/>
      <c r="H69" s="690">
        <f>SUM(H67:H68)</f>
        <v>2155121</v>
      </c>
      <c r="I69" s="690">
        <f>SUM(I67:I68)</f>
        <v>0</v>
      </c>
      <c r="J69" s="690">
        <f>SUM(J67:J68)</f>
        <v>0</v>
      </c>
      <c r="K69" s="688"/>
      <c r="L69" s="690">
        <f>SUM(L67:L68)</f>
        <v>2197601</v>
      </c>
    </row>
    <row r="70" spans="1:12" ht="14.5" hidden="1">
      <c r="A70" s="685"/>
      <c r="B70" s="679"/>
      <c r="C70" s="679"/>
      <c r="D70" s="687"/>
      <c r="E70" s="687"/>
      <c r="F70" s="687"/>
      <c r="G70" s="687"/>
      <c r="H70" s="687"/>
      <c r="I70" s="687"/>
      <c r="J70" s="687"/>
      <c r="K70" s="688"/>
      <c r="L70" s="688"/>
    </row>
    <row r="71" spans="1:12" ht="14.5" hidden="1">
      <c r="A71" s="685"/>
      <c r="B71" s="677" t="s">
        <v>1148</v>
      </c>
      <c r="C71" s="679"/>
      <c r="D71" s="687"/>
      <c r="E71" s="687"/>
      <c r="F71" s="687"/>
      <c r="G71" s="687"/>
      <c r="H71" s="687"/>
      <c r="I71" s="687"/>
      <c r="J71" s="687"/>
      <c r="K71" s="691"/>
      <c r="L71" s="691"/>
    </row>
    <row r="72" spans="1:12" ht="14.5" hidden="1">
      <c r="A72" s="685"/>
      <c r="B72" s="679" t="s">
        <v>1132</v>
      </c>
      <c r="C72" s="679"/>
      <c r="D72" s="687">
        <f>+D69</f>
        <v>37323</v>
      </c>
      <c r="E72" s="687"/>
      <c r="F72" s="687">
        <f>+F69</f>
        <v>5157</v>
      </c>
      <c r="G72" s="687"/>
      <c r="H72" s="687">
        <f>+H69</f>
        <v>2155121</v>
      </c>
      <c r="I72" s="687"/>
      <c r="J72" s="687">
        <v>0</v>
      </c>
      <c r="K72" s="688"/>
      <c r="L72" s="691">
        <f>SUM(D72:J72)</f>
        <v>2197601</v>
      </c>
    </row>
    <row r="73" spans="1:12" ht="14.5" hidden="1">
      <c r="A73" s="685"/>
      <c r="B73" s="679" t="s">
        <v>1133</v>
      </c>
      <c r="C73" s="679"/>
      <c r="D73" s="687">
        <v>23900</v>
      </c>
      <c r="E73" s="687"/>
      <c r="F73" s="687">
        <v>0</v>
      </c>
      <c r="G73" s="687"/>
      <c r="H73" s="687">
        <v>286423</v>
      </c>
      <c r="I73" s="687"/>
      <c r="J73" s="687">
        <v>0</v>
      </c>
      <c r="K73" s="688"/>
      <c r="L73" s="691">
        <f>SUM(D73:J73)</f>
        <v>310323</v>
      </c>
    </row>
    <row r="74" spans="1:12" ht="14.5" hidden="1">
      <c r="A74" s="685"/>
      <c r="B74" s="702" t="s">
        <v>1149</v>
      </c>
      <c r="C74" s="679"/>
      <c r="D74" s="687"/>
      <c r="E74" s="687"/>
      <c r="F74" s="687"/>
      <c r="G74" s="687"/>
      <c r="H74" s="687"/>
      <c r="I74" s="687"/>
      <c r="J74" s="687"/>
      <c r="K74" s="688"/>
      <c r="L74" s="710"/>
    </row>
    <row r="75" spans="1:12" ht="14.5" hidden="1">
      <c r="A75" s="685"/>
      <c r="B75" s="703" t="s">
        <v>1139</v>
      </c>
      <c r="C75" s="679"/>
      <c r="D75" s="704">
        <v>0</v>
      </c>
      <c r="E75" s="706"/>
      <c r="F75" s="704">
        <v>0</v>
      </c>
      <c r="G75" s="706"/>
      <c r="H75" s="704">
        <v>0</v>
      </c>
      <c r="I75" s="706"/>
      <c r="J75" s="704">
        <v>0</v>
      </c>
      <c r="K75" s="711"/>
      <c r="L75" s="712">
        <f>SUM(D75:J75)</f>
        <v>0</v>
      </c>
    </row>
    <row r="76" spans="1:12" ht="14.5" hidden="1">
      <c r="A76" s="685"/>
      <c r="B76" s="703" t="s">
        <v>1140</v>
      </c>
      <c r="C76" s="679"/>
      <c r="D76" s="705">
        <v>0</v>
      </c>
      <c r="E76" s="706"/>
      <c r="F76" s="705">
        <v>0</v>
      </c>
      <c r="G76" s="706"/>
      <c r="H76" s="705">
        <v>0</v>
      </c>
      <c r="I76" s="706"/>
      <c r="J76" s="705">
        <v>0</v>
      </c>
      <c r="K76" s="711"/>
      <c r="L76" s="713">
        <f>SUM(D76:J76)</f>
        <v>0</v>
      </c>
    </row>
    <row r="77" spans="1:12" ht="14.5" hidden="1">
      <c r="A77" s="685"/>
      <c r="B77" s="702" t="s">
        <v>1150</v>
      </c>
      <c r="C77" s="679"/>
      <c r="D77" s="706">
        <f>SUM(D75:D76)</f>
        <v>0</v>
      </c>
      <c r="E77" s="706"/>
      <c r="F77" s="706">
        <f>SUM(F75:F76)</f>
        <v>0</v>
      </c>
      <c r="G77" s="706"/>
      <c r="H77" s="706">
        <f>SUM(H75:H76)</f>
        <v>0</v>
      </c>
      <c r="I77" s="706"/>
      <c r="J77" s="706">
        <f>SUM(J75:J76)</f>
        <v>0</v>
      </c>
      <c r="K77" s="711"/>
      <c r="L77" s="706">
        <f>-SUM(L75:L76)</f>
        <v>0</v>
      </c>
    </row>
    <row r="78" spans="1:12" ht="14.5" hidden="1">
      <c r="A78" s="685"/>
      <c r="B78" s="679"/>
      <c r="C78" s="679"/>
      <c r="D78" s="687"/>
      <c r="E78" s="687"/>
      <c r="F78" s="687"/>
      <c r="G78" s="687"/>
      <c r="H78" s="687"/>
      <c r="I78" s="687"/>
      <c r="J78" s="687"/>
      <c r="K78" s="688"/>
      <c r="L78" s="710"/>
    </row>
    <row r="79" spans="1:12" ht="14.5" hidden="1">
      <c r="A79" s="685"/>
      <c r="B79" s="679" t="s">
        <v>759</v>
      </c>
      <c r="C79" s="679"/>
      <c r="D79" s="687">
        <v>-6793</v>
      </c>
      <c r="E79" s="687"/>
      <c r="F79" s="687">
        <v>-773</v>
      </c>
      <c r="G79" s="687"/>
      <c r="H79" s="687">
        <v>-326849</v>
      </c>
      <c r="I79" s="687"/>
      <c r="J79" s="687">
        <v>0</v>
      </c>
      <c r="K79" s="688"/>
      <c r="L79" s="691">
        <f>SUM(D79:J79)</f>
        <v>-334415</v>
      </c>
    </row>
    <row r="80" spans="1:12" ht="14.5" hidden="1">
      <c r="A80" s="685"/>
      <c r="B80" s="679"/>
      <c r="C80" s="679"/>
      <c r="D80" s="687"/>
      <c r="E80" s="687"/>
      <c r="F80" s="687"/>
      <c r="G80" s="687"/>
      <c r="H80" s="687"/>
      <c r="I80" s="687"/>
      <c r="J80" s="687"/>
      <c r="K80" s="688"/>
      <c r="L80" s="688"/>
    </row>
    <row r="81" spans="1:12" ht="14.5" hidden="1">
      <c r="A81" s="685"/>
      <c r="B81" s="679" t="s">
        <v>1137</v>
      </c>
      <c r="C81" s="679"/>
      <c r="D81" s="690">
        <f>D72+D73+D79</f>
        <v>54430</v>
      </c>
      <c r="E81" s="687"/>
      <c r="F81" s="690">
        <f>F72+F73+F79</f>
        <v>4384</v>
      </c>
      <c r="G81" s="687"/>
      <c r="H81" s="690">
        <f>H72+H73+H79</f>
        <v>2114695</v>
      </c>
      <c r="I81" s="687"/>
      <c r="J81" s="690">
        <f>J72+J73+J79</f>
        <v>0</v>
      </c>
      <c r="K81" s="688"/>
      <c r="L81" s="690">
        <f>L72+L73+L79+L77</f>
        <v>2173509</v>
      </c>
    </row>
    <row r="82" spans="1:12" ht="14.5" hidden="1">
      <c r="A82" s="685"/>
      <c r="B82" s="679"/>
      <c r="C82" s="679"/>
      <c r="D82" s="687"/>
      <c r="E82" s="687"/>
      <c r="F82" s="687"/>
      <c r="G82" s="687"/>
      <c r="H82" s="687"/>
      <c r="I82" s="687"/>
      <c r="J82" s="687"/>
      <c r="K82" s="688"/>
      <c r="L82" s="688"/>
    </row>
    <row r="83" spans="1:12" ht="14.5" hidden="1">
      <c r="A83" s="685"/>
      <c r="B83" s="677" t="s">
        <v>1151</v>
      </c>
      <c r="C83" s="679"/>
      <c r="D83" s="687"/>
      <c r="E83" s="687"/>
      <c r="F83" s="687"/>
      <c r="G83" s="687"/>
      <c r="H83" s="687"/>
      <c r="I83" s="687"/>
      <c r="J83" s="687"/>
      <c r="K83" s="688"/>
      <c r="L83" s="688"/>
    </row>
    <row r="84" spans="1:12" ht="14.5" hidden="1">
      <c r="A84" s="685"/>
      <c r="B84" s="679"/>
      <c r="C84" s="679"/>
      <c r="D84" s="687"/>
      <c r="E84" s="687"/>
      <c r="F84" s="687"/>
      <c r="G84" s="687"/>
      <c r="H84" s="687"/>
      <c r="I84" s="687"/>
      <c r="J84" s="687"/>
      <c r="K84" s="688"/>
      <c r="L84" s="688"/>
    </row>
    <row r="85" spans="1:12" ht="14.5" hidden="1">
      <c r="A85" s="685"/>
      <c r="B85" s="679" t="s">
        <v>1139</v>
      </c>
      <c r="C85" s="679"/>
      <c r="D85" s="687">
        <f>+D67+D73</f>
        <v>87604</v>
      </c>
      <c r="E85" s="687"/>
      <c r="F85" s="687">
        <f>+F67+F73</f>
        <v>12557</v>
      </c>
      <c r="G85" s="687"/>
      <c r="H85" s="687">
        <f>+H67+H73</f>
        <v>2947811</v>
      </c>
      <c r="I85" s="687"/>
      <c r="J85" s="687">
        <v>0</v>
      </c>
      <c r="K85" s="688"/>
      <c r="L85" s="691">
        <f>SUM(D85:J85)</f>
        <v>3047972</v>
      </c>
    </row>
    <row r="86" spans="1:12" ht="14.5" hidden="1">
      <c r="A86" s="685"/>
      <c r="B86" s="679" t="s">
        <v>1140</v>
      </c>
      <c r="C86" s="679"/>
      <c r="D86" s="687">
        <f>+D68+D79</f>
        <v>-33174</v>
      </c>
      <c r="E86" s="687"/>
      <c r="F86" s="687">
        <f>+F68+F79</f>
        <v>-8173</v>
      </c>
      <c r="G86" s="687"/>
      <c r="H86" s="687">
        <f>+H68+H79</f>
        <v>-833116</v>
      </c>
      <c r="I86" s="687"/>
      <c r="J86" s="687">
        <v>0</v>
      </c>
      <c r="K86" s="688"/>
      <c r="L86" s="691">
        <f>SUM(D86:J86)</f>
        <v>-874463</v>
      </c>
    </row>
    <row r="87" spans="1:12" ht="14.5" hidden="1">
      <c r="A87" s="685"/>
      <c r="B87" s="679"/>
      <c r="C87" s="679"/>
      <c r="D87" s="687"/>
      <c r="E87" s="687"/>
      <c r="F87" s="687"/>
      <c r="G87" s="687"/>
      <c r="H87" s="687"/>
      <c r="I87" s="687"/>
      <c r="J87" s="687"/>
      <c r="K87" s="688"/>
      <c r="L87" s="688"/>
    </row>
    <row r="88" spans="1:12" ht="14.5" hidden="1">
      <c r="A88" s="685"/>
      <c r="B88" s="679" t="s">
        <v>1141</v>
      </c>
      <c r="C88" s="679"/>
      <c r="D88" s="690">
        <f>SUM(D85:D86)</f>
        <v>54430</v>
      </c>
      <c r="E88" s="687"/>
      <c r="F88" s="690">
        <f>SUM(F85:F86)</f>
        <v>4384</v>
      </c>
      <c r="G88" s="687"/>
      <c r="H88" s="690">
        <f>SUM(H85:H86)</f>
        <v>2114695</v>
      </c>
      <c r="I88" s="687"/>
      <c r="J88" s="690">
        <f>SUM(J85:J86)</f>
        <v>0</v>
      </c>
      <c r="K88" s="691"/>
      <c r="L88" s="690">
        <f>SUM(L85:L86)</f>
        <v>2173509</v>
      </c>
    </row>
    <row r="89" spans="1:12" ht="14.5" hidden="1">
      <c r="A89" s="685"/>
      <c r="B89" s="679"/>
      <c r="C89" s="679"/>
      <c r="D89" s="687"/>
      <c r="E89" s="687"/>
      <c r="F89" s="687"/>
      <c r="G89" s="687"/>
      <c r="H89" s="687"/>
      <c r="I89" s="687"/>
      <c r="J89" s="687"/>
      <c r="K89" s="674"/>
      <c r="L89" s="674"/>
    </row>
    <row r="90" spans="1:12" ht="14.5" hidden="1">
      <c r="A90" s="685"/>
      <c r="B90" s="677" t="s">
        <v>1152</v>
      </c>
      <c r="C90" s="679"/>
      <c r="D90" s="687"/>
      <c r="E90" s="687"/>
      <c r="F90" s="687"/>
      <c r="G90" s="687"/>
      <c r="H90" s="687"/>
      <c r="I90" s="687"/>
      <c r="J90" s="687"/>
      <c r="K90" s="674"/>
      <c r="L90" s="674"/>
    </row>
    <row r="91" spans="1:12" ht="14.5" hidden="1">
      <c r="A91" s="685"/>
      <c r="B91" s="679" t="s">
        <v>1132</v>
      </c>
      <c r="C91" s="679"/>
      <c r="D91" s="687">
        <f>D88</f>
        <v>54430</v>
      </c>
      <c r="E91" s="687"/>
      <c r="F91" s="687">
        <f>F88</f>
        <v>4384</v>
      </c>
      <c r="G91" s="687"/>
      <c r="H91" s="687">
        <f>H88</f>
        <v>2114695</v>
      </c>
      <c r="I91" s="687"/>
      <c r="J91" s="687">
        <f>J88</f>
        <v>0</v>
      </c>
      <c r="K91" s="674"/>
      <c r="L91" s="691">
        <f t="shared" ref="L91:L99" si="0">SUM(D91:J91)</f>
        <v>2173509</v>
      </c>
    </row>
    <row r="92" spans="1:12" ht="14.5" hidden="1">
      <c r="A92" s="685"/>
      <c r="B92" s="679" t="s">
        <v>1133</v>
      </c>
      <c r="C92" s="679"/>
      <c r="D92" s="687">
        <f>+'[96]FA-Working  15-16'!D15</f>
        <v>0</v>
      </c>
      <c r="E92" s="687"/>
      <c r="F92" s="687">
        <f>+'[96]FA-Working  15-16'!D17</f>
        <v>0</v>
      </c>
      <c r="G92" s="687"/>
      <c r="H92" s="687">
        <f>+'[96]FA-Working  15-16'!D19</f>
        <v>67016</v>
      </c>
      <c r="I92" s="687"/>
      <c r="J92" s="687">
        <f>+'[96]FA-Working  15-16'!D29</f>
        <v>9994072</v>
      </c>
      <c r="K92" s="674"/>
      <c r="L92" s="691">
        <f t="shared" si="0"/>
        <v>10061088</v>
      </c>
    </row>
    <row r="93" spans="1:12" ht="14.5" hidden="1">
      <c r="A93" s="685"/>
      <c r="B93" s="679"/>
      <c r="C93" s="679"/>
      <c r="D93" s="687"/>
      <c r="E93" s="687"/>
      <c r="F93" s="687"/>
      <c r="G93" s="687"/>
      <c r="H93" s="687"/>
      <c r="I93" s="687"/>
      <c r="J93" s="687"/>
      <c r="K93" s="674"/>
      <c r="L93" s="691"/>
    </row>
    <row r="94" spans="1:12" ht="14.5" hidden="1">
      <c r="A94" s="685"/>
      <c r="B94" s="707" t="s">
        <v>1149</v>
      </c>
      <c r="C94" s="679"/>
      <c r="D94" s="687"/>
      <c r="E94" s="687"/>
      <c r="F94" s="687"/>
      <c r="G94" s="687"/>
      <c r="H94" s="687"/>
      <c r="I94" s="687"/>
      <c r="J94" s="687"/>
      <c r="K94" s="674"/>
      <c r="L94" s="691"/>
    </row>
    <row r="95" spans="1:12" ht="14.5" hidden="1">
      <c r="A95" s="685"/>
      <c r="B95" s="703" t="s">
        <v>1139</v>
      </c>
      <c r="C95" s="679"/>
      <c r="D95" s="708">
        <v>0</v>
      </c>
      <c r="E95" s="687"/>
      <c r="F95" s="708">
        <v>0</v>
      </c>
      <c r="G95" s="687"/>
      <c r="H95" s="708">
        <v>0</v>
      </c>
      <c r="I95" s="687"/>
      <c r="J95" s="708">
        <v>0</v>
      </c>
      <c r="K95" s="674"/>
      <c r="L95" s="712">
        <f t="shared" si="0"/>
        <v>0</v>
      </c>
    </row>
    <row r="96" spans="1:12" ht="14.5" hidden="1">
      <c r="A96" s="685"/>
      <c r="B96" s="703" t="s">
        <v>1140</v>
      </c>
      <c r="C96" s="679"/>
      <c r="D96" s="709">
        <v>0</v>
      </c>
      <c r="E96" s="687"/>
      <c r="F96" s="709">
        <v>0</v>
      </c>
      <c r="G96" s="687"/>
      <c r="H96" s="709">
        <v>0</v>
      </c>
      <c r="I96" s="687"/>
      <c r="J96" s="709">
        <v>0</v>
      </c>
      <c r="K96" s="674"/>
      <c r="L96" s="713">
        <f t="shared" si="0"/>
        <v>0</v>
      </c>
    </row>
    <row r="97" spans="1:12" ht="14.5" hidden="1">
      <c r="A97" s="685"/>
      <c r="B97" s="702" t="s">
        <v>1150</v>
      </c>
      <c r="C97" s="679"/>
      <c r="D97" s="687">
        <f>D95-D96</f>
        <v>0</v>
      </c>
      <c r="E97" s="687"/>
      <c r="F97" s="687">
        <f>F95-F96</f>
        <v>0</v>
      </c>
      <c r="G97" s="687"/>
      <c r="H97" s="687">
        <f>H95-H96</f>
        <v>0</v>
      </c>
      <c r="I97" s="687"/>
      <c r="J97" s="687">
        <f>J95-J96</f>
        <v>0</v>
      </c>
      <c r="K97" s="674"/>
      <c r="L97" s="687">
        <f>L95-L96</f>
        <v>0</v>
      </c>
    </row>
    <row r="98" spans="1:12" ht="14.5" hidden="1">
      <c r="A98" s="685"/>
      <c r="B98" s="679"/>
      <c r="C98" s="679"/>
      <c r="D98" s="687"/>
      <c r="E98" s="687"/>
      <c r="F98" s="687"/>
      <c r="G98" s="687"/>
      <c r="H98" s="687"/>
      <c r="I98" s="687"/>
      <c r="J98" s="687"/>
      <c r="K98" s="674"/>
      <c r="L98" s="691"/>
    </row>
    <row r="99" spans="1:12" ht="14.5" hidden="1">
      <c r="A99" s="685"/>
      <c r="B99" s="679" t="s">
        <v>759</v>
      </c>
      <c r="C99" s="679"/>
      <c r="D99" s="687">
        <f>-'[96]FA-Working  15-16'!H15</f>
        <v>-8164.4324999999999</v>
      </c>
      <c r="E99" s="687"/>
      <c r="F99" s="687">
        <f>-'[96]FA-Working  15-16'!H17</f>
        <v>-657.39</v>
      </c>
      <c r="G99" s="687"/>
      <c r="H99" s="687">
        <f>-'[96]FA-Working  15-16'!H19</f>
        <v>-319717.56187500001</v>
      </c>
      <c r="I99" s="687"/>
      <c r="J99" s="687">
        <f>-'[96]FA-Working  15-16'!H29</f>
        <v>-1249259</v>
      </c>
      <c r="K99" s="674"/>
      <c r="L99" s="691">
        <f t="shared" si="0"/>
        <v>-1577798.3843749999</v>
      </c>
    </row>
    <row r="100" spans="1:12" ht="14.5" hidden="1">
      <c r="A100" s="685"/>
      <c r="B100" s="679"/>
      <c r="C100" s="679"/>
      <c r="D100" s="687"/>
      <c r="E100" s="687"/>
      <c r="F100" s="687"/>
      <c r="G100" s="687"/>
      <c r="H100" s="687"/>
      <c r="I100" s="687"/>
      <c r="J100" s="687"/>
      <c r="K100" s="674"/>
      <c r="L100" s="674"/>
    </row>
    <row r="101" spans="1:12" ht="14.5" hidden="1">
      <c r="A101" s="685"/>
      <c r="B101" s="679" t="s">
        <v>1137</v>
      </c>
      <c r="C101" s="679"/>
      <c r="D101" s="692">
        <f>D91+D92+D99-D97</f>
        <v>46265.567499999997</v>
      </c>
      <c r="E101" s="693"/>
      <c r="F101" s="692">
        <f>F91+F92+F99-F97</f>
        <v>3726.61</v>
      </c>
      <c r="G101" s="693"/>
      <c r="H101" s="692">
        <f>H91+H92+H99-H97</f>
        <v>1861993.4381250001</v>
      </c>
      <c r="I101" s="693"/>
      <c r="J101" s="692">
        <f>J91+J92+J99-J97</f>
        <v>8744813</v>
      </c>
      <c r="K101" s="714"/>
      <c r="L101" s="692">
        <f>L91+L92+L99-L97</f>
        <v>10656798.615625</v>
      </c>
    </row>
    <row r="102" spans="1:12" ht="14.5" hidden="1">
      <c r="A102" s="685"/>
      <c r="B102" s="679"/>
      <c r="C102" s="679"/>
      <c r="D102" s="687"/>
      <c r="E102" s="687"/>
      <c r="F102" s="687"/>
      <c r="G102" s="687"/>
      <c r="H102" s="687"/>
      <c r="I102" s="687"/>
      <c r="J102" s="687"/>
      <c r="K102" s="674"/>
      <c r="L102" s="674"/>
    </row>
    <row r="103" spans="1:12" ht="14.5" hidden="1">
      <c r="A103" s="685"/>
      <c r="B103" s="677" t="s">
        <v>1153</v>
      </c>
      <c r="C103" s="679"/>
      <c r="D103" s="687"/>
      <c r="E103" s="687"/>
      <c r="F103" s="687"/>
      <c r="G103" s="687"/>
      <c r="H103" s="687"/>
      <c r="I103" s="687"/>
      <c r="J103" s="687"/>
      <c r="K103" s="674"/>
      <c r="L103" s="687"/>
    </row>
    <row r="104" spans="1:12" ht="14.5" hidden="1">
      <c r="A104" s="685"/>
      <c r="B104" s="679"/>
      <c r="C104" s="679"/>
      <c r="D104" s="687"/>
      <c r="E104" s="687"/>
      <c r="F104" s="687"/>
      <c r="G104" s="687"/>
      <c r="H104" s="687"/>
      <c r="I104" s="687"/>
      <c r="J104" s="687"/>
      <c r="K104" s="674"/>
      <c r="L104" s="674"/>
    </row>
    <row r="105" spans="1:12" ht="14.5" hidden="1">
      <c r="A105" s="685"/>
      <c r="B105" s="679" t="s">
        <v>1139</v>
      </c>
      <c r="C105" s="679"/>
      <c r="D105" s="687">
        <f>D85+D92</f>
        <v>87604</v>
      </c>
      <c r="E105" s="687"/>
      <c r="F105" s="687">
        <f>F85+F92</f>
        <v>12557</v>
      </c>
      <c r="G105" s="687"/>
      <c r="H105" s="687">
        <f>H85+H92</f>
        <v>3014827</v>
      </c>
      <c r="I105" s="687"/>
      <c r="J105" s="687">
        <f>J85+J92</f>
        <v>9994072</v>
      </c>
      <c r="K105" s="674"/>
      <c r="L105" s="691">
        <f>SUM(D105:J105)</f>
        <v>13109060</v>
      </c>
    </row>
    <row r="106" spans="1:12" ht="14.5" hidden="1">
      <c r="A106" s="685"/>
      <c r="B106" s="679" t="s">
        <v>1140</v>
      </c>
      <c r="C106" s="679"/>
      <c r="D106" s="687">
        <f>D86+D99</f>
        <v>-41338.432500000003</v>
      </c>
      <c r="E106" s="687"/>
      <c r="F106" s="687">
        <f>F86+F99</f>
        <v>-8830.39</v>
      </c>
      <c r="G106" s="687"/>
      <c r="H106" s="687">
        <f>H86+H99</f>
        <v>-1152833.5618749999</v>
      </c>
      <c r="I106" s="687"/>
      <c r="J106" s="687">
        <f>J86+J99</f>
        <v>-1249259</v>
      </c>
      <c r="K106" s="674"/>
      <c r="L106" s="691">
        <f>SUM(D106:J106)</f>
        <v>-2452261.3843749999</v>
      </c>
    </row>
    <row r="107" spans="1:12" ht="14.5" hidden="1">
      <c r="A107" s="685"/>
      <c r="B107" s="679"/>
      <c r="C107" s="679"/>
      <c r="D107" s="687"/>
      <c r="E107" s="687"/>
      <c r="F107" s="687"/>
      <c r="G107" s="687"/>
      <c r="H107" s="687"/>
      <c r="I107" s="687"/>
      <c r="J107" s="687"/>
      <c r="K107" s="674"/>
      <c r="L107" s="674"/>
    </row>
    <row r="108" spans="1:12" ht="14.5" hidden="1">
      <c r="A108" s="685"/>
      <c r="B108" s="679" t="s">
        <v>1141</v>
      </c>
      <c r="C108" s="679"/>
      <c r="D108" s="692">
        <f>D105+D106</f>
        <v>46265.567499999997</v>
      </c>
      <c r="E108" s="693"/>
      <c r="F108" s="692">
        <f>F105+F106</f>
        <v>3726.61</v>
      </c>
      <c r="G108" s="693"/>
      <c r="H108" s="692">
        <f>H105+H106</f>
        <v>1861993.4381250001</v>
      </c>
      <c r="I108" s="693"/>
      <c r="J108" s="692">
        <f>J105+J106</f>
        <v>8744813</v>
      </c>
      <c r="K108" s="714"/>
      <c r="L108" s="692">
        <f>L105+L106</f>
        <v>10656798.615625</v>
      </c>
    </row>
    <row r="109" spans="1:12" ht="14.5">
      <c r="A109" s="685"/>
      <c r="B109" s="679"/>
      <c r="C109" s="679"/>
      <c r="D109" s="687"/>
      <c r="E109" s="687"/>
      <c r="F109" s="687"/>
      <c r="G109" s="687"/>
      <c r="H109" s="687"/>
      <c r="I109" s="687"/>
      <c r="J109" s="687"/>
      <c r="K109" s="674"/>
      <c r="L109" s="674"/>
    </row>
    <row r="110" spans="1:12" ht="14.5" hidden="1">
      <c r="A110" s="685"/>
      <c r="B110" s="677" t="s">
        <v>1154</v>
      </c>
      <c r="C110" s="679"/>
      <c r="D110" s="687"/>
      <c r="E110" s="687"/>
      <c r="F110" s="687"/>
      <c r="G110" s="687"/>
      <c r="H110" s="687"/>
      <c r="I110" s="687"/>
      <c r="J110" s="687"/>
      <c r="K110" s="688"/>
      <c r="L110" s="688"/>
    </row>
    <row r="111" spans="1:12" ht="14.5" hidden="1">
      <c r="A111" s="685"/>
      <c r="B111" s="679" t="s">
        <v>1132</v>
      </c>
      <c r="C111" s="679"/>
      <c r="D111" s="687">
        <f>D108</f>
        <v>46265.567499999997</v>
      </c>
      <c r="E111" s="687"/>
      <c r="F111" s="687">
        <f>F108</f>
        <v>3726.61</v>
      </c>
      <c r="G111" s="687"/>
      <c r="H111" s="687">
        <f>H108</f>
        <v>1861993.4381250001</v>
      </c>
      <c r="I111" s="687"/>
      <c r="J111" s="687">
        <f>J108</f>
        <v>8744813</v>
      </c>
      <c r="K111" s="688"/>
      <c r="L111" s="688">
        <f>SUM(D111:J111)-0.46</f>
        <v>10656798.155625001</v>
      </c>
    </row>
    <row r="112" spans="1:12" ht="14.5" hidden="1">
      <c r="A112" s="685"/>
      <c r="B112" s="679" t="s">
        <v>1133</v>
      </c>
      <c r="C112" s="679"/>
      <c r="D112" s="687">
        <f>'[96]FAS - Working 16-17'!D15</f>
        <v>0</v>
      </c>
      <c r="E112" s="687"/>
      <c r="F112" s="687">
        <f>'[96]FAS - Working 16-17'!D17</f>
        <v>0</v>
      </c>
      <c r="G112" s="687"/>
      <c r="H112" s="687">
        <f>'[96]FAS - Working 16-17'!D19</f>
        <v>438203</v>
      </c>
      <c r="I112" s="687"/>
      <c r="J112" s="687">
        <f>'[96]FAS - Working 16-17'!D29</f>
        <v>0</v>
      </c>
      <c r="K112" s="688"/>
      <c r="L112" s="688">
        <f>SUM(D112:J112)</f>
        <v>438203</v>
      </c>
    </row>
    <row r="113" spans="1:12" ht="14.5" hidden="1">
      <c r="A113" s="685"/>
      <c r="B113" s="679"/>
      <c r="C113" s="679"/>
      <c r="D113" s="687"/>
      <c r="E113" s="687"/>
      <c r="F113" s="687"/>
      <c r="G113" s="687"/>
      <c r="H113" s="687"/>
      <c r="I113" s="687"/>
      <c r="J113" s="687"/>
      <c r="K113" s="688"/>
      <c r="L113" s="688"/>
    </row>
    <row r="114" spans="1:12" ht="14.5" hidden="1">
      <c r="A114" s="685"/>
      <c r="B114" s="707" t="s">
        <v>1149</v>
      </c>
      <c r="C114" s="679"/>
      <c r="D114" s="687"/>
      <c r="E114" s="687"/>
      <c r="F114" s="687"/>
      <c r="G114" s="687"/>
      <c r="H114" s="687"/>
      <c r="I114" s="687"/>
      <c r="J114" s="687"/>
      <c r="K114" s="688"/>
      <c r="L114" s="688"/>
    </row>
    <row r="115" spans="1:12" ht="14.5" hidden="1">
      <c r="A115" s="685"/>
      <c r="B115" s="703" t="s">
        <v>1139</v>
      </c>
      <c r="C115" s="679"/>
      <c r="D115" s="708">
        <v>0</v>
      </c>
      <c r="E115" s="687"/>
      <c r="F115" s="708">
        <v>0</v>
      </c>
      <c r="G115" s="687"/>
      <c r="H115" s="708">
        <v>0</v>
      </c>
      <c r="I115" s="687"/>
      <c r="J115" s="708">
        <v>0</v>
      </c>
      <c r="K115" s="688"/>
      <c r="L115" s="715">
        <f>SUM(D115:J115)-0.4</f>
        <v>-0.4</v>
      </c>
    </row>
    <row r="116" spans="1:12" ht="14.5" hidden="1">
      <c r="A116" s="685"/>
      <c r="B116" s="703" t="s">
        <v>1140</v>
      </c>
      <c r="C116" s="679"/>
      <c r="D116" s="709">
        <v>0</v>
      </c>
      <c r="E116" s="687"/>
      <c r="F116" s="709">
        <v>0</v>
      </c>
      <c r="G116" s="687"/>
      <c r="H116" s="709">
        <v>0</v>
      </c>
      <c r="I116" s="687"/>
      <c r="J116" s="709">
        <v>0</v>
      </c>
      <c r="K116" s="688"/>
      <c r="L116" s="716">
        <f>SUM(D116:J116)-0.18</f>
        <v>-0.18</v>
      </c>
    </row>
    <row r="117" spans="1:12" ht="14.5" hidden="1">
      <c r="A117" s="685"/>
      <c r="B117" s="702" t="s">
        <v>1150</v>
      </c>
      <c r="C117" s="679"/>
      <c r="D117" s="687">
        <f>D115-D116</f>
        <v>0</v>
      </c>
      <c r="E117" s="687"/>
      <c r="F117" s="687">
        <f>F115-F116</f>
        <v>0</v>
      </c>
      <c r="G117" s="687"/>
      <c r="H117" s="687">
        <f>H115-H116</f>
        <v>0</v>
      </c>
      <c r="I117" s="687"/>
      <c r="J117" s="687">
        <f>J115-J116</f>
        <v>0</v>
      </c>
      <c r="K117" s="688"/>
      <c r="L117" s="687">
        <f>L115+L116</f>
        <v>-0.57999999999999996</v>
      </c>
    </row>
    <row r="118" spans="1:12" ht="14.5" hidden="1">
      <c r="A118" s="685"/>
      <c r="B118" s="679"/>
      <c r="C118" s="679"/>
      <c r="D118" s="687"/>
      <c r="E118" s="687"/>
      <c r="F118" s="687"/>
      <c r="G118" s="687"/>
      <c r="H118" s="687"/>
      <c r="I118" s="687"/>
      <c r="J118" s="687"/>
      <c r="K118" s="688"/>
      <c r="L118" s="688"/>
    </row>
    <row r="119" spans="1:12" ht="14.5" hidden="1">
      <c r="A119" s="685"/>
      <c r="B119" s="679" t="s">
        <v>759</v>
      </c>
      <c r="C119" s="679"/>
      <c r="D119" s="687">
        <f>-'[96]FAS - Working 16-17'!H15-0.23</f>
        <v>-6939.997625</v>
      </c>
      <c r="E119" s="687"/>
      <c r="F119" s="687">
        <f>-'[96]FAS - Working 16-17'!H17-0.22</f>
        <v>-559.00149999999996</v>
      </c>
      <c r="G119" s="687"/>
      <c r="H119" s="687">
        <f>-'[96]FAS - Working 16-17'!H19-0.43</f>
        <v>-312668.99509375001</v>
      </c>
      <c r="I119" s="687"/>
      <c r="J119" s="687">
        <f>-'[96]FAS - Working 16-17'!H29-0.05</f>
        <v>-1311722</v>
      </c>
      <c r="K119" s="688"/>
      <c r="L119" s="688">
        <f>SUM(D119:J119)</f>
        <v>-1631889.9942187499</v>
      </c>
    </row>
    <row r="120" spans="1:12" ht="14.5" hidden="1">
      <c r="A120" s="685"/>
      <c r="B120" s="679"/>
      <c r="C120" s="679"/>
      <c r="D120" s="687"/>
      <c r="E120" s="687"/>
      <c r="F120" s="687"/>
      <c r="G120" s="687"/>
      <c r="H120" s="687"/>
      <c r="I120" s="687"/>
      <c r="J120" s="687"/>
      <c r="K120" s="688"/>
      <c r="L120" s="688"/>
    </row>
    <row r="121" spans="1:12" ht="14.5" hidden="1">
      <c r="A121" s="685"/>
      <c r="B121" s="677" t="s">
        <v>1137</v>
      </c>
      <c r="C121" s="677"/>
      <c r="D121" s="692">
        <f>D111+D112-D117+D119</f>
        <v>39325.569875000001</v>
      </c>
      <c r="E121" s="693"/>
      <c r="F121" s="692">
        <f>F111+F112-F117+F119</f>
        <v>3167.6084999999998</v>
      </c>
      <c r="G121" s="693"/>
      <c r="H121" s="692">
        <f>H111+H112-H117+H119</f>
        <v>1987527.44303125</v>
      </c>
      <c r="I121" s="693"/>
      <c r="J121" s="692">
        <f>J111+J112-J117+J119</f>
        <v>7433091</v>
      </c>
      <c r="K121" s="710"/>
      <c r="L121" s="692">
        <f>L111+L112-L117+L119</f>
        <v>9463111.7414062507</v>
      </c>
    </row>
    <row r="122" spans="1:12" ht="14.5" hidden="1">
      <c r="A122" s="685"/>
      <c r="B122" s="679"/>
      <c r="C122" s="679"/>
      <c r="D122" s="687"/>
      <c r="E122" s="687"/>
      <c r="F122" s="687"/>
      <c r="G122" s="687"/>
      <c r="H122" s="687"/>
      <c r="I122" s="687"/>
      <c r="J122" s="687"/>
      <c r="K122" s="688"/>
      <c r="L122" s="688"/>
    </row>
    <row r="123" spans="1:12" ht="14.5" hidden="1">
      <c r="A123" s="685"/>
      <c r="B123" s="677" t="s">
        <v>1155</v>
      </c>
      <c r="C123" s="679"/>
      <c r="D123" s="687"/>
      <c r="E123" s="687"/>
      <c r="F123" s="687"/>
      <c r="G123" s="687"/>
      <c r="H123" s="687"/>
      <c r="I123" s="687"/>
      <c r="J123" s="687"/>
      <c r="K123" s="688"/>
      <c r="L123" s="688"/>
    </row>
    <row r="124" spans="1:12" ht="14.5" hidden="1">
      <c r="A124" s="685"/>
      <c r="B124" s="679"/>
      <c r="C124" s="679"/>
      <c r="D124" s="687"/>
      <c r="E124" s="687"/>
      <c r="F124" s="687"/>
      <c r="G124" s="687"/>
      <c r="H124" s="687"/>
      <c r="I124" s="687"/>
      <c r="J124" s="687"/>
      <c r="K124" s="688"/>
      <c r="L124" s="688"/>
    </row>
    <row r="125" spans="1:12" ht="14.5" hidden="1">
      <c r="A125" s="685"/>
      <c r="B125" s="679" t="s">
        <v>1139</v>
      </c>
      <c r="C125" s="679"/>
      <c r="D125" s="687">
        <f>D105+D112-D115</f>
        <v>87604</v>
      </c>
      <c r="E125" s="687"/>
      <c r="F125" s="687">
        <f>F105+F112-F115</f>
        <v>12557</v>
      </c>
      <c r="G125" s="687"/>
      <c r="H125" s="687">
        <f>H105+H112-H115</f>
        <v>3453030</v>
      </c>
      <c r="I125" s="687"/>
      <c r="J125" s="687">
        <f>J105+J112-J115</f>
        <v>9994072</v>
      </c>
      <c r="K125" s="688"/>
      <c r="L125" s="688">
        <f>SUM(D125:J125)+0.4</f>
        <v>13547263.4</v>
      </c>
    </row>
    <row r="126" spans="1:12" ht="14.5" hidden="1">
      <c r="A126" s="685"/>
      <c r="B126" s="679" t="s">
        <v>1140</v>
      </c>
      <c r="C126" s="679"/>
      <c r="D126" s="687">
        <f>D106-D116+D119+0.43</f>
        <v>-48278.000124999999</v>
      </c>
      <c r="E126" s="687"/>
      <c r="F126" s="687">
        <f>F106-F116+F119+0.39</f>
        <v>-9389.0015000000003</v>
      </c>
      <c r="G126" s="687"/>
      <c r="H126" s="687">
        <f>H106-H116+H119-0.44</f>
        <v>-1465502.9969687499</v>
      </c>
      <c r="I126" s="687"/>
      <c r="J126" s="687">
        <f>J106-J116+J119</f>
        <v>-2560981</v>
      </c>
      <c r="K126" s="688"/>
      <c r="L126" s="688">
        <f>SUM(D126:J126)</f>
        <v>-4084150.9985937499</v>
      </c>
    </row>
    <row r="127" spans="1:12" ht="14.5" hidden="1">
      <c r="A127" s="685"/>
      <c r="B127" s="679"/>
      <c r="C127" s="679"/>
      <c r="D127" s="687"/>
      <c r="E127" s="687"/>
      <c r="F127" s="687"/>
      <c r="G127" s="687"/>
      <c r="H127" s="687"/>
      <c r="I127" s="687"/>
      <c r="J127" s="687"/>
      <c r="K127" s="688"/>
      <c r="L127" s="688"/>
    </row>
    <row r="128" spans="1:12" ht="14.5" hidden="1">
      <c r="A128" s="685"/>
      <c r="B128" s="679" t="s">
        <v>1141</v>
      </c>
      <c r="C128" s="679"/>
      <c r="D128" s="692">
        <f>D125+D126</f>
        <v>39325.999875000001</v>
      </c>
      <c r="E128" s="687"/>
      <c r="F128" s="692">
        <f>F125+F126</f>
        <v>3167.9985000000001</v>
      </c>
      <c r="G128" s="687"/>
      <c r="H128" s="692">
        <f>H125+H126</f>
        <v>1987527.0030312501</v>
      </c>
      <c r="I128" s="687"/>
      <c r="J128" s="692">
        <f>J125+J126</f>
        <v>7433091</v>
      </c>
      <c r="K128" s="688"/>
      <c r="L128" s="692">
        <f>L125+L126</f>
        <v>9463112.4014062509</v>
      </c>
    </row>
    <row r="129" spans="1:12" ht="14.5">
      <c r="A129" s="685"/>
      <c r="B129" s="679"/>
      <c r="C129" s="679"/>
      <c r="D129" s="693"/>
      <c r="E129" s="687"/>
      <c r="F129" s="693"/>
      <c r="G129" s="687"/>
      <c r="H129" s="693"/>
      <c r="I129" s="687"/>
      <c r="J129" s="693"/>
      <c r="K129" s="688"/>
      <c r="L129" s="693"/>
    </row>
    <row r="130" spans="1:12" ht="14.5" hidden="1">
      <c r="A130" s="685"/>
      <c r="B130" s="677" t="s">
        <v>1156</v>
      </c>
      <c r="C130" s="679"/>
      <c r="D130" s="674"/>
      <c r="E130" s="674"/>
      <c r="F130" s="674"/>
      <c r="G130" s="687"/>
      <c r="H130" s="693"/>
      <c r="I130" s="687"/>
      <c r="J130" s="693"/>
      <c r="K130" s="688"/>
      <c r="L130" s="693"/>
    </row>
    <row r="131" spans="1:12" ht="14.5" hidden="1">
      <c r="A131" s="685"/>
      <c r="B131" s="679" t="s">
        <v>1132</v>
      </c>
      <c r="C131" s="679"/>
      <c r="D131" s="687">
        <v>0</v>
      </c>
      <c r="E131" s="687"/>
      <c r="F131" s="687">
        <v>0</v>
      </c>
      <c r="G131" s="687"/>
      <c r="H131" s="687">
        <v>0</v>
      </c>
      <c r="I131" s="687"/>
      <c r="J131" s="687">
        <v>0</v>
      </c>
      <c r="K131" s="688"/>
      <c r="L131" s="688">
        <f>SUM(D131:J131)</f>
        <v>0</v>
      </c>
    </row>
    <row r="132" spans="1:12" ht="14.5" hidden="1">
      <c r="A132" s="685"/>
      <c r="B132" s="679" t="s">
        <v>1133</v>
      </c>
      <c r="C132" s="679"/>
      <c r="D132" s="687">
        <f>'FIXED ASSETS'!K11</f>
        <v>700000</v>
      </c>
      <c r="E132" s="687"/>
      <c r="F132" s="687">
        <f>'FIXED ASSETS'!K12</f>
        <v>112428</v>
      </c>
      <c r="G132" s="687"/>
      <c r="H132" s="687">
        <f>'FIXED ASSETS'!K13</f>
        <v>359358</v>
      </c>
      <c r="I132" s="687"/>
      <c r="J132" s="693">
        <v>0</v>
      </c>
      <c r="K132" s="688"/>
      <c r="L132" s="688">
        <f>SUM(D132:J132)</f>
        <v>1171786</v>
      </c>
    </row>
    <row r="133" spans="1:12" ht="14.5" hidden="1">
      <c r="A133" s="685"/>
      <c r="B133" s="679"/>
      <c r="C133" s="679"/>
      <c r="D133" s="693"/>
      <c r="E133" s="687"/>
      <c r="F133" s="693"/>
      <c r="G133" s="687"/>
      <c r="H133" s="693"/>
      <c r="I133" s="687"/>
      <c r="J133" s="693"/>
      <c r="K133" s="688"/>
      <c r="L133" s="693"/>
    </row>
    <row r="134" spans="1:12" ht="14.5" hidden="1">
      <c r="A134" s="685"/>
      <c r="B134" s="707" t="s">
        <v>1157</v>
      </c>
      <c r="C134" s="679"/>
      <c r="D134" s="693"/>
      <c r="E134" s="687"/>
      <c r="F134" s="693"/>
      <c r="G134" s="687"/>
      <c r="H134" s="693"/>
      <c r="I134" s="687"/>
      <c r="J134" s="693"/>
      <c r="K134" s="688"/>
      <c r="L134" s="693"/>
    </row>
    <row r="135" spans="1:12" ht="14.5" hidden="1">
      <c r="A135" s="685"/>
      <c r="B135" s="703" t="s">
        <v>1139</v>
      </c>
      <c r="C135" s="679"/>
      <c r="D135" s="717">
        <v>0</v>
      </c>
      <c r="E135" s="687"/>
      <c r="F135" s="717">
        <v>0</v>
      </c>
      <c r="G135" s="687"/>
      <c r="H135" s="717">
        <v>0</v>
      </c>
      <c r="I135" s="687"/>
      <c r="J135" s="717">
        <v>0</v>
      </c>
      <c r="K135" s="688"/>
      <c r="L135" s="715">
        <f>SUM(D135:J135)</f>
        <v>0</v>
      </c>
    </row>
    <row r="136" spans="1:12" ht="14.5" hidden="1">
      <c r="A136" s="685"/>
      <c r="B136" s="703" t="s">
        <v>1140</v>
      </c>
      <c r="C136" s="679"/>
      <c r="D136" s="718">
        <v>0</v>
      </c>
      <c r="E136" s="687"/>
      <c r="F136" s="718">
        <v>0</v>
      </c>
      <c r="G136" s="687"/>
      <c r="H136" s="718">
        <v>0</v>
      </c>
      <c r="I136" s="687"/>
      <c r="J136" s="718">
        <v>0</v>
      </c>
      <c r="K136" s="688"/>
      <c r="L136" s="716">
        <f>SUM(D136:J136)</f>
        <v>0</v>
      </c>
    </row>
    <row r="137" spans="1:12" ht="14.5" hidden="1">
      <c r="A137" s="685"/>
      <c r="B137" s="702" t="s">
        <v>1158</v>
      </c>
      <c r="C137" s="679"/>
      <c r="D137" s="693">
        <f>D136+D135</f>
        <v>0</v>
      </c>
      <c r="E137" s="687"/>
      <c r="F137" s="693">
        <f>F136+F135</f>
        <v>0</v>
      </c>
      <c r="G137" s="687"/>
      <c r="H137" s="693">
        <f>H136+H135</f>
        <v>0</v>
      </c>
      <c r="I137" s="687"/>
      <c r="J137" s="693">
        <f>J136+J135</f>
        <v>0</v>
      </c>
      <c r="K137" s="688"/>
      <c r="L137" s="687">
        <f>L136+L135</f>
        <v>0</v>
      </c>
    </row>
    <row r="138" spans="1:12" ht="14.5" hidden="1">
      <c r="A138" s="685"/>
      <c r="B138" s="679"/>
      <c r="C138" s="679"/>
      <c r="D138" s="693"/>
      <c r="E138" s="687"/>
      <c r="F138" s="693"/>
      <c r="G138" s="687"/>
      <c r="H138" s="693"/>
      <c r="I138" s="687"/>
      <c r="J138" s="693"/>
      <c r="K138" s="688"/>
      <c r="L138" s="693"/>
    </row>
    <row r="139" spans="1:12" ht="14.5" hidden="1">
      <c r="A139" s="685"/>
      <c r="B139" s="679" t="s">
        <v>759</v>
      </c>
      <c r="C139" s="679"/>
      <c r="D139" s="687">
        <v>-35000</v>
      </c>
      <c r="E139" s="687"/>
      <c r="F139" s="687">
        <v>-4479</v>
      </c>
      <c r="G139" s="687"/>
      <c r="H139" s="687">
        <v>-61441</v>
      </c>
      <c r="I139" s="687"/>
      <c r="J139" s="687">
        <v>0</v>
      </c>
      <c r="K139" s="688"/>
      <c r="L139" s="688">
        <f>SUM(D139:J139)</f>
        <v>-100920</v>
      </c>
    </row>
    <row r="140" spans="1:12" ht="14.5" hidden="1">
      <c r="A140" s="685"/>
      <c r="B140" s="679"/>
      <c r="C140" s="679"/>
      <c r="D140" s="693"/>
      <c r="E140" s="687"/>
      <c r="F140" s="693"/>
      <c r="G140" s="687"/>
      <c r="H140" s="693"/>
      <c r="I140" s="687"/>
      <c r="J140" s="693"/>
      <c r="K140" s="688"/>
      <c r="L140" s="693"/>
    </row>
    <row r="141" spans="1:12" ht="14.5" hidden="1">
      <c r="A141" s="685"/>
      <c r="B141" s="677" t="s">
        <v>1137</v>
      </c>
      <c r="C141" s="679"/>
      <c r="D141" s="692">
        <f>D131+D132-D137+D139</f>
        <v>665000</v>
      </c>
      <c r="E141" s="687"/>
      <c r="F141" s="692">
        <f>F131+F132-F137+F139</f>
        <v>107949</v>
      </c>
      <c r="G141" s="687"/>
      <c r="H141" s="692">
        <f>H131+H132-H137+H139</f>
        <v>297917</v>
      </c>
      <c r="I141" s="687"/>
      <c r="J141" s="692">
        <f>J131+J132-J137+J139</f>
        <v>0</v>
      </c>
      <c r="K141" s="688"/>
      <c r="L141" s="692">
        <f>L131+L132-L137+L139</f>
        <v>1070866</v>
      </c>
    </row>
    <row r="142" spans="1:12" ht="14.5" hidden="1">
      <c r="A142" s="685"/>
      <c r="B142" s="679"/>
      <c r="C142" s="679"/>
      <c r="D142" s="693"/>
      <c r="E142" s="687"/>
      <c r="F142" s="693"/>
      <c r="G142" s="687"/>
      <c r="H142" s="693"/>
      <c r="I142" s="687"/>
      <c r="J142" s="693"/>
      <c r="K142" s="688"/>
      <c r="L142" s="693"/>
    </row>
    <row r="143" spans="1:12" ht="14.5" hidden="1">
      <c r="A143" s="685"/>
      <c r="B143" s="677" t="s">
        <v>1159</v>
      </c>
      <c r="C143" s="679"/>
      <c r="D143" s="693"/>
      <c r="E143" s="687"/>
      <c r="F143" s="693"/>
      <c r="G143" s="687"/>
      <c r="H143" s="693"/>
      <c r="I143" s="687"/>
      <c r="J143" s="693"/>
      <c r="K143" s="688"/>
      <c r="L143" s="693"/>
    </row>
    <row r="144" spans="1:12" ht="14.5" hidden="1">
      <c r="A144" s="685"/>
      <c r="B144" s="679"/>
      <c r="C144" s="679"/>
      <c r="D144" s="693"/>
      <c r="E144" s="687"/>
      <c r="F144" s="693"/>
      <c r="G144" s="687"/>
      <c r="H144" s="693"/>
      <c r="I144" s="687"/>
      <c r="J144" s="693"/>
      <c r="K144" s="688"/>
      <c r="L144" s="693"/>
    </row>
    <row r="145" spans="1:12" ht="14.5" hidden="1">
      <c r="A145" s="685"/>
      <c r="B145" s="679" t="s">
        <v>1139</v>
      </c>
      <c r="C145" s="679"/>
      <c r="D145" s="687">
        <f>D131+D132</f>
        <v>700000</v>
      </c>
      <c r="E145" s="687"/>
      <c r="F145" s="687">
        <f>F131+F132</f>
        <v>112428</v>
      </c>
      <c r="G145" s="687"/>
      <c r="H145" s="687">
        <f>H131+H132</f>
        <v>359358</v>
      </c>
      <c r="I145" s="687"/>
      <c r="J145" s="687">
        <v>0</v>
      </c>
      <c r="K145" s="688"/>
      <c r="L145" s="687">
        <f>SUM(D145:H145)</f>
        <v>1171786</v>
      </c>
    </row>
    <row r="146" spans="1:12" ht="14.5" hidden="1">
      <c r="A146" s="685"/>
      <c r="B146" s="679" t="s">
        <v>1140</v>
      </c>
      <c r="C146" s="679"/>
      <c r="D146" s="687">
        <f>D139</f>
        <v>-35000</v>
      </c>
      <c r="E146" s="687"/>
      <c r="F146" s="687">
        <f>F139</f>
        <v>-4479</v>
      </c>
      <c r="G146" s="687"/>
      <c r="H146" s="687">
        <f>H139</f>
        <v>-61441</v>
      </c>
      <c r="I146" s="687"/>
      <c r="J146" s="687">
        <v>0</v>
      </c>
      <c r="K146" s="688"/>
      <c r="L146" s="687">
        <f>SUM(D146:H146)</f>
        <v>-100920</v>
      </c>
    </row>
    <row r="147" spans="1:12" ht="14.5" hidden="1">
      <c r="A147" s="685"/>
      <c r="B147" s="679" t="s">
        <v>1141</v>
      </c>
      <c r="C147" s="679"/>
      <c r="D147" s="692">
        <f>D145+D146</f>
        <v>665000</v>
      </c>
      <c r="E147" s="687"/>
      <c r="F147" s="692">
        <f>F145+F146</f>
        <v>107949</v>
      </c>
      <c r="G147" s="687"/>
      <c r="H147" s="692">
        <f>H145+H146</f>
        <v>297917</v>
      </c>
      <c r="I147" s="687"/>
      <c r="J147" s="692">
        <f>J145+J146</f>
        <v>0</v>
      </c>
      <c r="K147" s="688"/>
      <c r="L147" s="692">
        <f>L145+L146</f>
        <v>1070866</v>
      </c>
    </row>
    <row r="148" spans="1:12" ht="14.5">
      <c r="A148" s="685"/>
      <c r="B148" s="679"/>
      <c r="C148" s="679"/>
      <c r="D148" s="693"/>
      <c r="E148" s="687"/>
      <c r="F148" s="693"/>
      <c r="G148" s="687"/>
      <c r="H148" s="693"/>
      <c r="I148" s="687"/>
      <c r="J148" s="693"/>
      <c r="K148" s="688"/>
      <c r="L148" s="693"/>
    </row>
    <row r="149" spans="1:12" ht="14.5">
      <c r="A149" s="685"/>
      <c r="B149" s="677" t="s">
        <v>1160</v>
      </c>
      <c r="C149" s="679"/>
      <c r="D149" s="693"/>
      <c r="E149" s="687"/>
      <c r="F149" s="693"/>
      <c r="G149" s="687"/>
      <c r="H149" s="693"/>
      <c r="I149" s="687"/>
      <c r="J149" s="693"/>
      <c r="K149" s="688"/>
      <c r="L149" s="693"/>
    </row>
    <row r="150" spans="1:12" ht="14.5">
      <c r="A150" s="685"/>
      <c r="B150" s="679" t="s">
        <v>1132</v>
      </c>
      <c r="C150" s="679"/>
      <c r="D150" s="687">
        <v>0</v>
      </c>
      <c r="E150" s="687"/>
      <c r="F150" s="687">
        <v>0</v>
      </c>
      <c r="G150" s="687"/>
      <c r="H150" s="687">
        <v>0</v>
      </c>
      <c r="I150" s="687"/>
      <c r="J150" s="687">
        <f>J147</f>
        <v>0</v>
      </c>
      <c r="K150" s="688"/>
      <c r="L150" s="688">
        <f>SUM(D150:J150)</f>
        <v>0</v>
      </c>
    </row>
    <row r="151" spans="1:12" ht="14.5">
      <c r="A151" s="685"/>
      <c r="B151" s="679" t="s">
        <v>1133</v>
      </c>
      <c r="C151" s="679"/>
      <c r="D151" s="687">
        <v>0</v>
      </c>
      <c r="E151" s="687"/>
      <c r="F151" s="687">
        <v>0</v>
      </c>
      <c r="G151" s="687"/>
      <c r="H151" s="687">
        <v>0</v>
      </c>
      <c r="I151" s="687"/>
      <c r="J151" s="693">
        <v>0</v>
      </c>
      <c r="K151" s="688"/>
      <c r="L151" s="688">
        <f>SUM(D151:J151)</f>
        <v>0</v>
      </c>
    </row>
    <row r="152" spans="1:12" ht="14.5" hidden="1">
      <c r="A152" s="685"/>
      <c r="B152" s="679"/>
      <c r="C152" s="679"/>
      <c r="D152" s="693"/>
      <c r="E152" s="687"/>
      <c r="F152" s="693"/>
      <c r="G152" s="687"/>
      <c r="H152" s="693"/>
      <c r="I152" s="687"/>
      <c r="J152" s="693"/>
      <c r="K152" s="688"/>
      <c r="L152" s="693"/>
    </row>
    <row r="153" spans="1:12" ht="14.5" hidden="1">
      <c r="A153" s="685"/>
      <c r="B153" s="707" t="s">
        <v>1149</v>
      </c>
      <c r="C153" s="679"/>
      <c r="D153" s="693"/>
      <c r="E153" s="687"/>
      <c r="F153" s="693"/>
      <c r="G153" s="687"/>
      <c r="H153" s="693"/>
      <c r="I153" s="687"/>
      <c r="J153" s="693"/>
      <c r="K153" s="688"/>
      <c r="L153" s="693"/>
    </row>
    <row r="154" spans="1:12" ht="14.5" hidden="1">
      <c r="A154" s="685"/>
      <c r="B154" s="703" t="s">
        <v>1139</v>
      </c>
      <c r="C154" s="679"/>
      <c r="D154" s="717">
        <v>0</v>
      </c>
      <c r="E154" s="687"/>
      <c r="F154" s="717">
        <v>0</v>
      </c>
      <c r="G154" s="687"/>
      <c r="H154" s="717">
        <v>0</v>
      </c>
      <c r="I154" s="687"/>
      <c r="J154" s="717">
        <v>0</v>
      </c>
      <c r="K154" s="688"/>
      <c r="L154" s="715">
        <f>SUM(D154:J154)</f>
        <v>0</v>
      </c>
    </row>
    <row r="155" spans="1:12" ht="14.5" hidden="1">
      <c r="A155" s="685"/>
      <c r="B155" s="703" t="s">
        <v>1140</v>
      </c>
      <c r="C155" s="679"/>
      <c r="D155" s="718">
        <v>0</v>
      </c>
      <c r="E155" s="687"/>
      <c r="F155" s="718">
        <v>0</v>
      </c>
      <c r="G155" s="687"/>
      <c r="H155" s="718">
        <v>0</v>
      </c>
      <c r="I155" s="687"/>
      <c r="J155" s="718">
        <v>0</v>
      </c>
      <c r="K155" s="688"/>
      <c r="L155" s="716">
        <f>SUM(D155:J155)</f>
        <v>0</v>
      </c>
    </row>
    <row r="156" spans="1:12" ht="14.5" hidden="1">
      <c r="A156" s="685"/>
      <c r="B156" s="702" t="s">
        <v>1150</v>
      </c>
      <c r="C156" s="679"/>
      <c r="D156" s="693">
        <f>D155+D154</f>
        <v>0</v>
      </c>
      <c r="E156" s="687"/>
      <c r="F156" s="693">
        <f>F155+F154</f>
        <v>0</v>
      </c>
      <c r="G156" s="687"/>
      <c r="H156" s="693">
        <f>H155+H154</f>
        <v>0</v>
      </c>
      <c r="I156" s="687"/>
      <c r="J156" s="693">
        <f>J155+J154</f>
        <v>0</v>
      </c>
      <c r="K156" s="688"/>
      <c r="L156" s="693">
        <f>L155+L154</f>
        <v>0</v>
      </c>
    </row>
    <row r="157" spans="1:12" ht="14.5" hidden="1">
      <c r="A157" s="685"/>
      <c r="B157" s="702"/>
      <c r="C157" s="679"/>
      <c r="D157" s="693"/>
      <c r="E157" s="687"/>
      <c r="F157" s="693"/>
      <c r="G157" s="687"/>
      <c r="H157" s="693"/>
      <c r="I157" s="687"/>
      <c r="J157" s="693"/>
      <c r="K157" s="688"/>
      <c r="L157" s="693"/>
    </row>
    <row r="158" spans="1:12" ht="14.5" hidden="1">
      <c r="A158" s="685"/>
      <c r="B158" s="707" t="s">
        <v>1161</v>
      </c>
      <c r="C158" s="679"/>
      <c r="D158" s="693"/>
      <c r="E158" s="687"/>
      <c r="F158" s="693"/>
      <c r="G158" s="687"/>
      <c r="H158" s="693"/>
      <c r="I158" s="687"/>
      <c r="J158" s="693"/>
      <c r="K158" s="688"/>
      <c r="L158" s="693"/>
    </row>
    <row r="159" spans="1:12" ht="14.5" hidden="1">
      <c r="A159" s="685"/>
      <c r="B159" s="703" t="s">
        <v>1139</v>
      </c>
      <c r="C159" s="679"/>
      <c r="D159" s="717">
        <v>0</v>
      </c>
      <c r="E159" s="687"/>
      <c r="F159" s="717">
        <v>0</v>
      </c>
      <c r="G159" s="687"/>
      <c r="H159" s="717">
        <v>0</v>
      </c>
      <c r="I159" s="687"/>
      <c r="J159" s="708">
        <v>0</v>
      </c>
      <c r="K159" s="688"/>
      <c r="L159" s="715">
        <f>SUM(D159:J159)</f>
        <v>0</v>
      </c>
    </row>
    <row r="160" spans="1:12" ht="14.5" hidden="1">
      <c r="A160" s="685"/>
      <c r="B160" s="703" t="s">
        <v>1140</v>
      </c>
      <c r="C160" s="679"/>
      <c r="D160" s="718">
        <v>0</v>
      </c>
      <c r="E160" s="687"/>
      <c r="F160" s="718">
        <v>0</v>
      </c>
      <c r="G160" s="687"/>
      <c r="H160" s="718">
        <v>0</v>
      </c>
      <c r="I160" s="687"/>
      <c r="J160" s="709">
        <v>0</v>
      </c>
      <c r="K160" s="688"/>
      <c r="L160" s="716">
        <f>SUM(D160:J160)</f>
        <v>0</v>
      </c>
    </row>
    <row r="161" spans="1:12" ht="14.5" hidden="1">
      <c r="A161" s="685"/>
      <c r="B161" s="702" t="s">
        <v>1162</v>
      </c>
      <c r="C161" s="679"/>
      <c r="D161" s="693">
        <f>D160+D159</f>
        <v>0</v>
      </c>
      <c r="E161" s="687"/>
      <c r="F161" s="693">
        <f>F160+F159</f>
        <v>0</v>
      </c>
      <c r="G161" s="687"/>
      <c r="H161" s="693">
        <f>H160+H159</f>
        <v>0</v>
      </c>
      <c r="I161" s="687"/>
      <c r="J161" s="687">
        <f>J160+J159</f>
        <v>0</v>
      </c>
      <c r="K161" s="688"/>
      <c r="L161" s="693">
        <f>L160+L159</f>
        <v>0</v>
      </c>
    </row>
    <row r="162" spans="1:12" ht="14.5" hidden="1">
      <c r="A162" s="685"/>
      <c r="B162" s="679"/>
      <c r="C162" s="679"/>
      <c r="D162" s="693"/>
      <c r="E162" s="687"/>
      <c r="F162" s="693"/>
      <c r="G162" s="687"/>
      <c r="H162" s="693"/>
      <c r="I162" s="687"/>
      <c r="J162" s="693"/>
      <c r="K162" s="688"/>
      <c r="L162" s="693"/>
    </row>
    <row r="163" spans="1:12" ht="14.5">
      <c r="A163" s="685"/>
      <c r="B163" s="679" t="s">
        <v>759</v>
      </c>
      <c r="C163" s="679"/>
      <c r="D163" s="687">
        <f>-(D150*D198)-(D151*D198*11/12)</f>
        <v>0</v>
      </c>
      <c r="E163" s="687"/>
      <c r="F163" s="687">
        <f>-(F150*F198)-(F151*F198*12/12)</f>
        <v>0</v>
      </c>
      <c r="G163" s="687"/>
      <c r="H163" s="687">
        <f>-(H150*H198)-(H151*H198*11/12)</f>
        <v>0</v>
      </c>
      <c r="I163" s="687"/>
      <c r="J163" s="687">
        <f>-((J150+J151+J161)*J192%)</f>
        <v>0</v>
      </c>
      <c r="K163" s="688"/>
      <c r="L163" s="688">
        <f>SUM(D163:J163)</f>
        <v>0</v>
      </c>
    </row>
    <row r="164" spans="1:12" ht="14.5">
      <c r="A164" s="685"/>
      <c r="B164" s="679"/>
      <c r="C164" s="679"/>
      <c r="D164" s="693"/>
      <c r="E164" s="687"/>
      <c r="F164" s="693"/>
      <c r="G164" s="687"/>
      <c r="H164" s="693"/>
      <c r="I164" s="687"/>
      <c r="J164" s="693"/>
      <c r="K164" s="688"/>
      <c r="L164" s="693"/>
    </row>
    <row r="165" spans="1:12" ht="14.5">
      <c r="A165" s="685"/>
      <c r="B165" s="677" t="s">
        <v>1137</v>
      </c>
      <c r="C165" s="679"/>
      <c r="D165" s="692">
        <f>D150+D151-D156+D163</f>
        <v>0</v>
      </c>
      <c r="E165" s="687"/>
      <c r="F165" s="692">
        <f>F150+F151-F156+F163</f>
        <v>0</v>
      </c>
      <c r="G165" s="687"/>
      <c r="H165" s="692">
        <f>H150+H151-H156+H163</f>
        <v>0</v>
      </c>
      <c r="I165" s="687"/>
      <c r="J165" s="692">
        <f>J150+J151-J156+J163+J161</f>
        <v>0</v>
      </c>
      <c r="K165" s="688"/>
      <c r="L165" s="692">
        <f>SUM(L150:L163)</f>
        <v>0</v>
      </c>
    </row>
    <row r="166" spans="1:12" ht="14.5">
      <c r="A166" s="685"/>
      <c r="B166" s="679"/>
      <c r="C166" s="679"/>
      <c r="D166" s="693"/>
      <c r="E166" s="687"/>
      <c r="F166" s="693"/>
      <c r="G166" s="687"/>
      <c r="H166" s="693"/>
      <c r="I166" s="687"/>
      <c r="J166" s="693"/>
      <c r="K166" s="688"/>
      <c r="L166" s="693"/>
    </row>
    <row r="167" spans="1:12" ht="14.5">
      <c r="A167" s="685"/>
      <c r="B167" s="677" t="s">
        <v>1163</v>
      </c>
      <c r="C167" s="679"/>
      <c r="D167" s="693"/>
      <c r="E167" s="687"/>
      <c r="F167" s="693"/>
      <c r="G167" s="687"/>
      <c r="H167" s="693"/>
      <c r="I167" s="687"/>
      <c r="J167" s="693"/>
      <c r="K167" s="688"/>
      <c r="L167" s="693"/>
    </row>
    <row r="168" spans="1:12" ht="14.5">
      <c r="A168" s="685"/>
      <c r="B168" s="679"/>
      <c r="C168" s="679"/>
      <c r="D168" s="693"/>
      <c r="E168" s="687"/>
      <c r="F168" s="693"/>
      <c r="G168" s="687"/>
      <c r="H168" s="693"/>
      <c r="I168" s="687"/>
      <c r="J168" s="693"/>
      <c r="K168" s="688"/>
      <c r="L168" s="693"/>
    </row>
    <row r="169" spans="1:12" ht="14.5">
      <c r="A169" s="685"/>
      <c r="B169" s="679" t="s">
        <v>1139</v>
      </c>
      <c r="C169" s="679"/>
      <c r="D169" s="687">
        <v>0</v>
      </c>
      <c r="E169" s="687"/>
      <c r="F169" s="687">
        <v>0</v>
      </c>
      <c r="G169" s="687"/>
      <c r="H169" s="687">
        <v>0</v>
      </c>
      <c r="I169" s="687"/>
      <c r="J169" s="687">
        <f>J145+J151-J154+J159</f>
        <v>0</v>
      </c>
      <c r="K169" s="688"/>
      <c r="L169" s="688">
        <f>SUM(D169:J169)</f>
        <v>0</v>
      </c>
    </row>
    <row r="170" spans="1:12" ht="14.5">
      <c r="A170" s="685"/>
      <c r="B170" s="679" t="s">
        <v>1140</v>
      </c>
      <c r="C170" s="679"/>
      <c r="D170" s="687">
        <v>0</v>
      </c>
      <c r="E170" s="687"/>
      <c r="F170" s="687">
        <v>0</v>
      </c>
      <c r="G170" s="687"/>
      <c r="H170" s="687">
        <v>0</v>
      </c>
      <c r="I170" s="687"/>
      <c r="J170" s="687">
        <f>J146+J163+J160</f>
        <v>0</v>
      </c>
      <c r="K170" s="688"/>
      <c r="L170" s="688">
        <f>SUM(D170:J170)</f>
        <v>0</v>
      </c>
    </row>
    <row r="171" spans="1:12" ht="14.5">
      <c r="A171" s="685"/>
      <c r="B171" s="679" t="s">
        <v>1141</v>
      </c>
      <c r="C171" s="679"/>
      <c r="D171" s="692">
        <f>D169+D170</f>
        <v>0</v>
      </c>
      <c r="E171" s="687"/>
      <c r="F171" s="692">
        <f>F169+F170</f>
        <v>0</v>
      </c>
      <c r="G171" s="687"/>
      <c r="H171" s="692">
        <f>H169+H170</f>
        <v>0</v>
      </c>
      <c r="I171" s="687"/>
      <c r="J171" s="692">
        <f>J169+J170</f>
        <v>0</v>
      </c>
      <c r="K171" s="688"/>
      <c r="L171" s="692">
        <f>L169+L170</f>
        <v>0</v>
      </c>
    </row>
    <row r="172" spans="1:12" ht="14.5">
      <c r="A172" s="685"/>
      <c r="B172" s="679"/>
      <c r="C172" s="679"/>
      <c r="D172" s="693"/>
      <c r="E172" s="687"/>
      <c r="F172" s="693"/>
      <c r="G172" s="687"/>
      <c r="H172" s="693"/>
      <c r="I172" s="687"/>
      <c r="J172" s="693"/>
      <c r="K172" s="688"/>
      <c r="L172" s="693"/>
    </row>
    <row r="173" spans="1:12" ht="14.5">
      <c r="A173" s="685"/>
      <c r="B173" s="677" t="s">
        <v>1164</v>
      </c>
      <c r="C173" s="679"/>
      <c r="D173" s="693"/>
      <c r="E173" s="687"/>
      <c r="F173" s="693"/>
      <c r="G173" s="687"/>
      <c r="H173" s="693"/>
      <c r="I173" s="687"/>
      <c r="J173" s="693"/>
      <c r="K173" s="688"/>
      <c r="L173" s="693"/>
    </row>
    <row r="174" spans="1:12" ht="14.5">
      <c r="A174" s="685"/>
      <c r="B174" s="679" t="s">
        <v>1132</v>
      </c>
      <c r="C174" s="679"/>
      <c r="D174" s="687">
        <f>D171</f>
        <v>0</v>
      </c>
      <c r="E174" s="687"/>
      <c r="F174" s="687">
        <f>F171</f>
        <v>0</v>
      </c>
      <c r="G174" s="687"/>
      <c r="H174" s="687">
        <f>H171</f>
        <v>0</v>
      </c>
      <c r="I174" s="687"/>
      <c r="J174" s="687">
        <f>J171</f>
        <v>0</v>
      </c>
      <c r="K174" s="688"/>
      <c r="L174" s="688">
        <f>SUM(D174:J174)</f>
        <v>0</v>
      </c>
    </row>
    <row r="175" spans="1:12" ht="14.5">
      <c r="A175" s="685"/>
      <c r="B175" s="679" t="s">
        <v>1133</v>
      </c>
      <c r="C175" s="679"/>
      <c r="D175" s="687">
        <v>0</v>
      </c>
      <c r="E175" s="687"/>
      <c r="F175" s="687">
        <f>'[97]30.09.2021'!$F$179</f>
        <v>1427900</v>
      </c>
      <c r="G175" s="687"/>
      <c r="H175" s="687">
        <f>'[97]30.09.2021'!$F$169</f>
        <v>7720066</v>
      </c>
      <c r="I175" s="687"/>
      <c r="J175" s="693">
        <v>0</v>
      </c>
      <c r="K175" s="688"/>
      <c r="L175" s="688">
        <f>D175+F175+H175</f>
        <v>9147966</v>
      </c>
    </row>
    <row r="176" spans="1:12" ht="14.5" hidden="1">
      <c r="A176" s="685"/>
      <c r="B176" s="679"/>
      <c r="C176" s="679"/>
      <c r="D176" s="693"/>
      <c r="E176" s="687"/>
      <c r="F176" s="693"/>
      <c r="G176" s="687"/>
      <c r="H176" s="693"/>
      <c r="I176" s="687"/>
      <c r="J176" s="693"/>
      <c r="K176" s="688"/>
      <c r="L176" s="693"/>
    </row>
    <row r="177" spans="1:14" ht="14.5" hidden="1">
      <c r="A177" s="685"/>
      <c r="B177" s="707" t="s">
        <v>1149</v>
      </c>
      <c r="C177" s="679"/>
      <c r="D177" s="693"/>
      <c r="E177" s="687"/>
      <c r="F177" s="693"/>
      <c r="G177" s="687"/>
      <c r="H177" s="693"/>
      <c r="I177" s="687"/>
      <c r="J177" s="693"/>
      <c r="K177" s="688"/>
      <c r="L177" s="693"/>
    </row>
    <row r="178" spans="1:14" ht="14.5" hidden="1">
      <c r="A178" s="685"/>
      <c r="B178" s="703" t="s">
        <v>1139</v>
      </c>
      <c r="C178" s="679"/>
      <c r="D178" s="717">
        <v>0</v>
      </c>
      <c r="E178" s="687"/>
      <c r="F178" s="717">
        <v>0</v>
      </c>
      <c r="G178" s="687"/>
      <c r="H178" s="717">
        <v>0</v>
      </c>
      <c r="I178" s="687"/>
      <c r="J178" s="717">
        <v>0</v>
      </c>
      <c r="K178" s="688"/>
      <c r="L178" s="715">
        <f>SUM(D178:J178)</f>
        <v>0</v>
      </c>
    </row>
    <row r="179" spans="1:14" ht="14.5" hidden="1">
      <c r="A179" s="685"/>
      <c r="B179" s="703" t="s">
        <v>1140</v>
      </c>
      <c r="C179" s="679"/>
      <c r="D179" s="718">
        <v>0</v>
      </c>
      <c r="E179" s="687"/>
      <c r="F179" s="718">
        <v>0</v>
      </c>
      <c r="G179" s="687"/>
      <c r="H179" s="718">
        <v>0</v>
      </c>
      <c r="I179" s="687"/>
      <c r="J179" s="718">
        <v>0</v>
      </c>
      <c r="K179" s="688"/>
      <c r="L179" s="716">
        <f>SUM(D179:J179)</f>
        <v>0</v>
      </c>
    </row>
    <row r="180" spans="1:14" ht="14.5" hidden="1">
      <c r="A180" s="685"/>
      <c r="B180" s="702" t="s">
        <v>1150</v>
      </c>
      <c r="C180" s="679"/>
      <c r="D180" s="693">
        <f>D179+D178</f>
        <v>0</v>
      </c>
      <c r="E180" s="687"/>
      <c r="F180" s="693">
        <f>F179+F178</f>
        <v>0</v>
      </c>
      <c r="G180" s="687"/>
      <c r="H180" s="693">
        <f>H179+H178</f>
        <v>0</v>
      </c>
      <c r="I180" s="687"/>
      <c r="J180" s="693">
        <f>J179+J178</f>
        <v>0</v>
      </c>
      <c r="K180" s="688"/>
      <c r="L180" s="693">
        <f>L179+L178</f>
        <v>0</v>
      </c>
    </row>
    <row r="181" spans="1:14" ht="14.5" hidden="1">
      <c r="A181" s="685"/>
      <c r="B181" s="702"/>
      <c r="C181" s="679"/>
      <c r="D181" s="693"/>
      <c r="E181" s="687"/>
      <c r="F181" s="693"/>
      <c r="G181" s="687"/>
      <c r="H181" s="693"/>
      <c r="I181" s="687"/>
      <c r="J181" s="693"/>
      <c r="K181" s="688"/>
      <c r="L181" s="693"/>
    </row>
    <row r="182" spans="1:14" ht="14.5" hidden="1">
      <c r="A182" s="685"/>
      <c r="B182" s="707" t="s">
        <v>1161</v>
      </c>
      <c r="C182" s="679"/>
      <c r="D182" s="693"/>
      <c r="E182" s="687"/>
      <c r="F182" s="693"/>
      <c r="G182" s="687"/>
      <c r="H182" s="693"/>
      <c r="I182" s="687"/>
      <c r="J182" s="693"/>
      <c r="K182" s="688"/>
      <c r="L182" s="693"/>
    </row>
    <row r="183" spans="1:14" ht="14.5" hidden="1">
      <c r="A183" s="685"/>
      <c r="B183" s="703" t="s">
        <v>1139</v>
      </c>
      <c r="C183" s="679"/>
      <c r="D183" s="717">
        <v>0</v>
      </c>
      <c r="E183" s="687"/>
      <c r="F183" s="717">
        <v>0</v>
      </c>
      <c r="G183" s="687"/>
      <c r="H183" s="717">
        <v>0</v>
      </c>
      <c r="I183" s="687"/>
      <c r="J183" s="708">
        <v>0</v>
      </c>
      <c r="K183" s="688"/>
      <c r="L183" s="715">
        <f>SUM(D183:J183)</f>
        <v>0</v>
      </c>
    </row>
    <row r="184" spans="1:14" ht="14.5" hidden="1">
      <c r="A184" s="685"/>
      <c r="B184" s="703" t="s">
        <v>1140</v>
      </c>
      <c r="C184" s="679"/>
      <c r="D184" s="718">
        <v>0</v>
      </c>
      <c r="E184" s="687"/>
      <c r="F184" s="718">
        <v>0</v>
      </c>
      <c r="G184" s="687"/>
      <c r="H184" s="718">
        <v>0</v>
      </c>
      <c r="I184" s="687"/>
      <c r="J184" s="709">
        <v>0</v>
      </c>
      <c r="K184" s="688"/>
      <c r="L184" s="716">
        <f>SUM(D184:J184)</f>
        <v>0</v>
      </c>
    </row>
    <row r="185" spans="1:14" ht="14.5" hidden="1">
      <c r="A185" s="685"/>
      <c r="B185" s="702" t="s">
        <v>1162</v>
      </c>
      <c r="C185" s="679"/>
      <c r="D185" s="693">
        <f>D184+D183</f>
        <v>0</v>
      </c>
      <c r="E185" s="687"/>
      <c r="F185" s="693">
        <f>F184+F183</f>
        <v>0</v>
      </c>
      <c r="G185" s="687"/>
      <c r="H185" s="693">
        <f>H184+H183</f>
        <v>0</v>
      </c>
      <c r="I185" s="687"/>
      <c r="J185" s="687">
        <f>J184+J183</f>
        <v>0</v>
      </c>
      <c r="K185" s="688"/>
      <c r="L185" s="693">
        <f>L184+L183</f>
        <v>0</v>
      </c>
    </row>
    <row r="186" spans="1:14" ht="14.5" hidden="1">
      <c r="A186" s="685"/>
      <c r="B186" s="679"/>
      <c r="C186" s="679"/>
      <c r="D186" s="693"/>
      <c r="E186" s="687"/>
      <c r="F186" s="693"/>
      <c r="G186" s="687"/>
      <c r="H186" s="693"/>
      <c r="I186" s="687"/>
      <c r="J186" s="693"/>
      <c r="K186" s="688"/>
      <c r="L186" s="693"/>
    </row>
    <row r="187" spans="1:14" ht="14.5">
      <c r="A187" s="685"/>
      <c r="B187" s="679" t="s">
        <v>759</v>
      </c>
      <c r="C187" s="679"/>
      <c r="D187" s="687">
        <v>0</v>
      </c>
      <c r="E187" s="687"/>
      <c r="F187" s="687">
        <f>-('[97]30.09.2020'!$F$129+'[97]31.03.2021'!$G$166+'[97]30.09.2021'!$G$181)</f>
        <v>-204040.55</v>
      </c>
      <c r="G187" s="687"/>
      <c r="H187" s="687">
        <f>-('[97]30.09.2020'!$F$119+'[97]31.12.2020'!$G$133+'[97]31.03.2021'!$G$153+'[97]30.09.2021'!$G$171)</f>
        <v>-1025084.55</v>
      </c>
      <c r="I187" s="687"/>
      <c r="J187" s="687" t="e">
        <f>-((J174+J175+J185)*#REF!%)</f>
        <v>#REF!</v>
      </c>
      <c r="K187" s="688"/>
      <c r="L187" s="688">
        <f>D187+F187+H187</f>
        <v>-1229125.1000000001</v>
      </c>
      <c r="N187" s="719">
        <f>H175*0.15</f>
        <v>1158009.8999999999</v>
      </c>
    </row>
    <row r="188" spans="1:14" ht="14.5">
      <c r="A188" s="685"/>
      <c r="B188" s="679"/>
      <c r="C188" s="679"/>
      <c r="D188" s="693"/>
      <c r="E188" s="687"/>
      <c r="F188" s="693"/>
      <c r="G188" s="687"/>
      <c r="H188" s="693"/>
      <c r="I188" s="687"/>
      <c r="J188" s="693"/>
      <c r="K188" s="688"/>
      <c r="L188" s="693"/>
      <c r="N188" s="719">
        <f>F175*0.15</f>
        <v>214185</v>
      </c>
    </row>
    <row r="189" spans="1:14" ht="14.5">
      <c r="A189" s="685"/>
      <c r="B189" s="677" t="s">
        <v>1137</v>
      </c>
      <c r="C189" s="679"/>
      <c r="D189" s="692">
        <f>D174+D175-D180+D187</f>
        <v>0</v>
      </c>
      <c r="E189" s="687"/>
      <c r="F189" s="692">
        <f>F174+F175-F180+F187</f>
        <v>1223859.45</v>
      </c>
      <c r="G189" s="687"/>
      <c r="H189" s="692">
        <f>H174+H175-H180+H187</f>
        <v>6694981.4500000002</v>
      </c>
      <c r="I189" s="687"/>
      <c r="J189" s="692" t="e">
        <f>J174+J175-J180+J187+J185</f>
        <v>#REF!</v>
      </c>
      <c r="K189" s="688"/>
      <c r="L189" s="692">
        <f>SUM(L174:L187)</f>
        <v>7918840.9000000004</v>
      </c>
    </row>
    <row r="190" spans="1:14" ht="14.5">
      <c r="A190" s="685"/>
      <c r="B190" s="679"/>
      <c r="C190" s="679"/>
      <c r="D190" s="693"/>
      <c r="E190" s="687"/>
      <c r="F190" s="693"/>
      <c r="G190" s="687"/>
      <c r="H190" s="693"/>
      <c r="I190" s="687"/>
      <c r="J190" s="693"/>
      <c r="K190" s="688"/>
      <c r="L190" s="693"/>
    </row>
    <row r="191" spans="1:14" ht="14.5">
      <c r="A191" s="685"/>
      <c r="B191" s="677" t="s">
        <v>1165</v>
      </c>
      <c r="C191" s="679"/>
      <c r="D191" s="693"/>
      <c r="E191" s="687"/>
      <c r="F191" s="693"/>
      <c r="G191" s="687"/>
      <c r="H191" s="693"/>
      <c r="I191" s="687"/>
      <c r="J191" s="693"/>
      <c r="K191" s="688"/>
      <c r="L191" s="693"/>
    </row>
    <row r="192" spans="1:14" ht="14.5">
      <c r="A192" s="685"/>
      <c r="B192" s="679"/>
      <c r="C192" s="679"/>
      <c r="D192" s="693"/>
      <c r="E192" s="687"/>
      <c r="F192" s="693"/>
      <c r="G192" s="687"/>
      <c r="H192" s="693"/>
      <c r="I192" s="687"/>
      <c r="J192" s="693"/>
      <c r="K192" s="688"/>
      <c r="L192" s="693"/>
    </row>
    <row r="193" spans="1:12" ht="14.5">
      <c r="A193" s="720"/>
      <c r="B193" s="679" t="s">
        <v>1139</v>
      </c>
      <c r="C193" s="679"/>
      <c r="D193" s="687">
        <f>D169+D175-D178</f>
        <v>0</v>
      </c>
      <c r="E193" s="687"/>
      <c r="F193" s="687">
        <f>F169+F175-F178</f>
        <v>1427900</v>
      </c>
      <c r="G193" s="687"/>
      <c r="H193" s="687">
        <f>H169+H175-H178</f>
        <v>7720066</v>
      </c>
      <c r="I193" s="687"/>
      <c r="J193" s="687">
        <f>J169+J175-J178+J183</f>
        <v>0</v>
      </c>
      <c r="K193" s="688"/>
      <c r="L193" s="688">
        <f>SUM(D193:J193)</f>
        <v>9147966</v>
      </c>
    </row>
    <row r="194" spans="1:12" ht="14.5">
      <c r="A194" s="720"/>
      <c r="B194" s="679" t="s">
        <v>1140</v>
      </c>
      <c r="C194" s="679"/>
      <c r="D194" s="687">
        <f>D170+D187</f>
        <v>0</v>
      </c>
      <c r="E194" s="687"/>
      <c r="F194" s="687">
        <f>F170+F187</f>
        <v>-204040.55</v>
      </c>
      <c r="G194" s="687"/>
      <c r="H194" s="687">
        <f>H170+H187</f>
        <v>-1025084.55</v>
      </c>
      <c r="I194" s="687"/>
      <c r="J194" s="687" t="e">
        <f>J170+J187+J184</f>
        <v>#REF!</v>
      </c>
      <c r="K194" s="688"/>
      <c r="L194" s="688">
        <f>D194+F194+H194</f>
        <v>-1229125.1000000001</v>
      </c>
    </row>
    <row r="195" spans="1:12" ht="14.5">
      <c r="A195" s="720"/>
      <c r="B195" s="679" t="s">
        <v>1141</v>
      </c>
      <c r="C195" s="679"/>
      <c r="D195" s="692">
        <f>D193+D194</f>
        <v>0</v>
      </c>
      <c r="E195" s="687"/>
      <c r="F195" s="692">
        <f>F193+F194</f>
        <v>1223859.45</v>
      </c>
      <c r="G195" s="687"/>
      <c r="H195" s="692">
        <f>H193+H194</f>
        <v>6694981.4500000002</v>
      </c>
      <c r="I195" s="687"/>
      <c r="J195" s="692" t="e">
        <f>J193+J194</f>
        <v>#REF!</v>
      </c>
      <c r="K195" s="688"/>
      <c r="L195" s="692">
        <f>SUM(L193:L194)</f>
        <v>7918840.9000000004</v>
      </c>
    </row>
    <row r="196" spans="1:12" ht="14.5" hidden="1">
      <c r="A196" s="720"/>
      <c r="B196" s="679"/>
      <c r="C196" s="679"/>
      <c r="D196" s="693"/>
      <c r="E196" s="687"/>
      <c r="F196" s="693"/>
      <c r="G196" s="687"/>
      <c r="H196" s="693"/>
      <c r="I196" s="687"/>
      <c r="J196" s="693"/>
      <c r="K196" s="688"/>
      <c r="L196" s="693"/>
    </row>
    <row r="197" spans="1:12" ht="14.5">
      <c r="A197" s="720"/>
      <c r="B197" s="679"/>
      <c r="C197" s="679"/>
      <c r="D197" s="693"/>
      <c r="E197" s="687"/>
      <c r="F197" s="693"/>
      <c r="G197" s="687"/>
      <c r="H197" s="693"/>
      <c r="I197" s="687"/>
      <c r="J197" s="693"/>
      <c r="K197" s="688"/>
      <c r="L197" s="693"/>
    </row>
    <row r="198" spans="1:12" ht="14.5">
      <c r="A198" s="674"/>
      <c r="B198" s="1450" t="s">
        <v>1166</v>
      </c>
      <c r="C198" s="1450"/>
      <c r="D198" s="721">
        <v>0.1</v>
      </c>
      <c r="E198" s="726"/>
      <c r="F198" s="721">
        <v>0.15</v>
      </c>
      <c r="G198" s="726"/>
      <c r="H198" s="721">
        <v>0.15</v>
      </c>
      <c r="I198" s="674"/>
      <c r="J198" s="674"/>
      <c r="K198" s="674"/>
      <c r="L198" s="674"/>
    </row>
    <row r="199" spans="1:12" ht="14.5">
      <c r="A199" s="722"/>
      <c r="B199" s="674"/>
      <c r="C199" s="674"/>
      <c r="D199" s="674"/>
      <c r="E199" s="674"/>
      <c r="F199" s="674"/>
      <c r="G199" s="674"/>
      <c r="H199" s="674"/>
      <c r="I199" s="674"/>
      <c r="J199" s="674"/>
      <c r="K199" s="674"/>
      <c r="L199" s="674"/>
    </row>
    <row r="200" spans="1:12" ht="14.5">
      <c r="A200" s="722"/>
      <c r="B200" s="674"/>
      <c r="C200" s="674"/>
      <c r="D200" s="678">
        <v>2021</v>
      </c>
      <c r="E200" s="678"/>
      <c r="F200" s="678">
        <v>2020</v>
      </c>
      <c r="G200" s="674"/>
      <c r="H200" s="674"/>
      <c r="I200" s="674"/>
      <c r="J200" s="674"/>
      <c r="K200" s="674"/>
      <c r="L200" s="674"/>
    </row>
    <row r="201" spans="1:12" ht="14.5">
      <c r="A201" s="722"/>
      <c r="B201" s="674"/>
      <c r="C201" s="674"/>
      <c r="D201" s="674"/>
      <c r="E201" s="674"/>
      <c r="F201" s="674"/>
      <c r="G201" s="674"/>
      <c r="H201" s="674"/>
      <c r="I201" s="674"/>
      <c r="J201" s="674"/>
      <c r="K201" s="674"/>
      <c r="L201" s="674"/>
    </row>
    <row r="202" spans="1:12" ht="14.5">
      <c r="A202" s="722"/>
      <c r="B202" s="674" t="s">
        <v>1167</v>
      </c>
      <c r="C202" s="674"/>
      <c r="D202" s="723">
        <f>-L187*0.8</f>
        <v>983300.08</v>
      </c>
      <c r="E202" s="723"/>
      <c r="F202" s="723">
        <v>0</v>
      </c>
      <c r="G202" s="723"/>
      <c r="H202" s="674"/>
      <c r="I202" s="674"/>
      <c r="J202" s="674"/>
      <c r="K202" s="674"/>
      <c r="L202" s="674"/>
    </row>
    <row r="203" spans="1:12" ht="14.5">
      <c r="A203" s="722"/>
      <c r="B203" s="724" t="str">
        <f>'P &amp; L'!A13</f>
        <v>Administrative expenses</v>
      </c>
      <c r="C203" s="674"/>
      <c r="D203" s="723">
        <f>-L187*0.2</f>
        <v>245825.02</v>
      </c>
      <c r="E203" s="723"/>
      <c r="F203" s="723">
        <v>0</v>
      </c>
      <c r="G203" s="723"/>
      <c r="H203" s="674"/>
      <c r="I203" s="674"/>
      <c r="J203" s="674"/>
      <c r="K203" s="674"/>
      <c r="L203" s="674"/>
    </row>
    <row r="204" spans="1:12" ht="14.5">
      <c r="A204" s="722"/>
      <c r="B204" s="674"/>
      <c r="C204" s="674"/>
      <c r="D204" s="725">
        <f>SUM(D202:D203)</f>
        <v>1229125.1000000001</v>
      </c>
      <c r="E204" s="723"/>
      <c r="F204" s="725">
        <f>SUM(F202:F203)</f>
        <v>0</v>
      </c>
      <c r="G204" s="723"/>
      <c r="H204" s="674"/>
      <c r="I204" s="674"/>
      <c r="J204" s="674"/>
      <c r="K204" s="674"/>
      <c r="L204" s="674"/>
    </row>
    <row r="205" spans="1:12" ht="14.5">
      <c r="A205" s="674"/>
      <c r="B205" s="674"/>
      <c r="C205" s="674"/>
      <c r="D205" s="674"/>
      <c r="E205" s="674"/>
      <c r="F205" s="674"/>
      <c r="G205" s="674"/>
      <c r="H205" s="674"/>
      <c r="I205" s="674"/>
      <c r="J205" s="674"/>
      <c r="K205" s="674"/>
      <c r="L205" s="674"/>
    </row>
    <row r="209" ht="30" customHeight="1"/>
    <row r="211" ht="30" customHeight="1"/>
    <row r="243" ht="10" customHeight="1"/>
    <row r="245" ht="12" customHeight="1"/>
    <row r="343" spans="6:6">
      <c r="F343" s="355">
        <v>166</v>
      </c>
    </row>
    <row r="370" ht="15" customHeight="1"/>
  </sheetData>
  <mergeCells count="4">
    <mergeCell ref="D10:H10"/>
    <mergeCell ref="D12:L12"/>
    <mergeCell ref="B198:C198"/>
    <mergeCell ref="L10:L11"/>
  </mergeCells>
  <printOptions horizontalCentered="1"/>
  <pageMargins left="0.35" right="0.35" top="0.35" bottom="0.35" header="0.5" footer="0.5"/>
  <pageSetup paperSize="9" scale="84"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pageSetUpPr fitToPage="1"/>
  </sheetPr>
  <dimension ref="A1:J32"/>
  <sheetViews>
    <sheetView showGridLines="0" view="pageBreakPreview" zoomScale="80" zoomScaleNormal="85" workbookViewId="0">
      <selection activeCell="G21" sqref="G21"/>
    </sheetView>
  </sheetViews>
  <sheetFormatPr defaultColWidth="9" defaultRowHeight="14.5"/>
  <cols>
    <col min="1" max="1" width="4.453125" customWidth="1"/>
    <col min="2" max="2" width="37" customWidth="1"/>
    <col min="3" max="3" width="16.08984375" bestFit="1" customWidth="1"/>
    <col min="4" max="4" width="12.1796875" customWidth="1"/>
    <col min="5" max="5" width="16.453125" customWidth="1"/>
    <col min="6" max="6" width="7.81640625" customWidth="1"/>
    <col min="7" max="7" width="17.1796875" customWidth="1"/>
    <col min="8" max="8" width="14.26953125" customWidth="1"/>
    <col min="9" max="9" width="17.1796875" customWidth="1"/>
    <col min="10" max="10" width="18.453125" customWidth="1"/>
  </cols>
  <sheetData>
    <row r="1" spans="1:10" ht="17">
      <c r="A1" s="478">
        <v>5</v>
      </c>
      <c r="B1" s="479" t="s">
        <v>65</v>
      </c>
      <c r="C1" s="477"/>
      <c r="D1" s="477"/>
      <c r="E1" s="477"/>
      <c r="F1" s="477"/>
      <c r="G1" s="477"/>
      <c r="H1" s="477"/>
      <c r="I1" s="477"/>
      <c r="J1" s="477"/>
    </row>
    <row r="2" spans="1:10" ht="15">
      <c r="A2" s="477"/>
      <c r="B2" s="477"/>
      <c r="C2" s="477"/>
      <c r="D2" s="477"/>
      <c r="E2" s="477"/>
      <c r="F2" s="477"/>
      <c r="G2" s="477"/>
      <c r="H2" s="477"/>
      <c r="I2" s="477"/>
      <c r="J2" s="477"/>
    </row>
    <row r="3" spans="1:10" ht="17">
      <c r="A3" s="477"/>
      <c r="B3" s="1459" t="s">
        <v>1168</v>
      </c>
      <c r="C3" s="1456" t="s">
        <v>693</v>
      </c>
      <c r="D3" s="1457"/>
      <c r="E3" s="1458"/>
      <c r="F3" s="1462" t="s">
        <v>1169</v>
      </c>
      <c r="G3" s="1456" t="s">
        <v>1170</v>
      </c>
      <c r="H3" s="1457"/>
      <c r="I3" s="1458"/>
      <c r="J3" s="1453" t="s">
        <v>1171</v>
      </c>
    </row>
    <row r="4" spans="1:10" ht="15.75" customHeight="1">
      <c r="A4" s="477"/>
      <c r="B4" s="1460"/>
      <c r="C4" s="1462" t="s">
        <v>1172</v>
      </c>
      <c r="D4" s="1462" t="s">
        <v>1173</v>
      </c>
      <c r="E4" s="1462" t="s">
        <v>1174</v>
      </c>
      <c r="F4" s="1464"/>
      <c r="G4" s="1462" t="s">
        <v>1172</v>
      </c>
      <c r="H4" s="1462" t="s">
        <v>1175</v>
      </c>
      <c r="I4" s="1462" t="s">
        <v>1174</v>
      </c>
      <c r="J4" s="1454"/>
    </row>
    <row r="5" spans="1:10" ht="87" customHeight="1">
      <c r="A5" s="477"/>
      <c r="B5" s="1461"/>
      <c r="C5" s="1463"/>
      <c r="D5" s="1463"/>
      <c r="E5" s="1463"/>
      <c r="F5" s="1463"/>
      <c r="G5" s="1463"/>
      <c r="H5" s="1463"/>
      <c r="I5" s="1463"/>
      <c r="J5" s="1455"/>
    </row>
    <row r="6" spans="1:10" ht="17">
      <c r="A6" s="477"/>
      <c r="B6" s="480" t="s">
        <v>1176</v>
      </c>
      <c r="C6" s="480">
        <v>1503162</v>
      </c>
      <c r="D6" s="480">
        <v>0</v>
      </c>
      <c r="E6" s="492">
        <f>+C6+D6</f>
        <v>1503162</v>
      </c>
      <c r="F6" s="493">
        <v>0.1</v>
      </c>
      <c r="G6" s="494">
        <v>704320</v>
      </c>
      <c r="H6" s="480">
        <f>(E6-G6)*0.1</f>
        <v>79884.2</v>
      </c>
      <c r="I6" s="492">
        <f>+G6+H6</f>
        <v>784204.2</v>
      </c>
      <c r="J6" s="501">
        <f>+E6-I6</f>
        <v>718957.8</v>
      </c>
    </row>
    <row r="7" spans="1:10" ht="17">
      <c r="A7" s="477"/>
      <c r="B7" s="480" t="s">
        <v>1177</v>
      </c>
      <c r="C7" s="480">
        <v>9469948</v>
      </c>
      <c r="D7" s="480"/>
      <c r="E7" s="492">
        <f>+C7+D7</f>
        <v>9469948</v>
      </c>
      <c r="F7" s="493">
        <v>0.1</v>
      </c>
      <c r="G7" s="494">
        <v>3943332</v>
      </c>
      <c r="H7" s="480">
        <f>(E7-G7)*0.1</f>
        <v>552661.6</v>
      </c>
      <c r="I7" s="492">
        <f>+G7+H7</f>
        <v>4495993.5999999996</v>
      </c>
      <c r="J7" s="501">
        <f>+E7-I7</f>
        <v>4973954.4000000004</v>
      </c>
    </row>
    <row r="8" spans="1:10" ht="17">
      <c r="A8" s="477"/>
      <c r="B8" s="480" t="s">
        <v>1127</v>
      </c>
      <c r="C8" s="480">
        <v>354122</v>
      </c>
      <c r="D8" s="481">
        <v>0</v>
      </c>
      <c r="E8" s="492">
        <f>+C8+D8</f>
        <v>354122</v>
      </c>
      <c r="F8" s="493">
        <v>0.1</v>
      </c>
      <c r="G8" s="481">
        <v>141232</v>
      </c>
      <c r="H8" s="480">
        <f>(E8-G8)*0.1</f>
        <v>21289</v>
      </c>
      <c r="I8" s="492">
        <f>+G8+H8</f>
        <v>162521</v>
      </c>
      <c r="J8" s="501">
        <f>+E8-I8</f>
        <v>191601</v>
      </c>
    </row>
    <row r="9" spans="1:10" ht="17">
      <c r="A9" s="477"/>
      <c r="B9" s="480" t="s">
        <v>1178</v>
      </c>
      <c r="C9" s="480">
        <v>192550</v>
      </c>
      <c r="D9" s="481"/>
      <c r="E9" s="492">
        <f>+C9+D9</f>
        <v>192550</v>
      </c>
      <c r="F9" s="493">
        <v>0.1</v>
      </c>
      <c r="G9" s="481">
        <v>90229</v>
      </c>
      <c r="H9" s="480">
        <f>(E9-G9)*0.1</f>
        <v>10232.1</v>
      </c>
      <c r="I9" s="492">
        <f>+G9+H9</f>
        <v>100461.1</v>
      </c>
      <c r="J9" s="501">
        <f>+E9-I9</f>
        <v>92088.9</v>
      </c>
    </row>
    <row r="10" spans="1:10" ht="17">
      <c r="A10" s="477"/>
      <c r="B10" s="482" t="s">
        <v>1179</v>
      </c>
      <c r="C10" s="483">
        <v>65835</v>
      </c>
      <c r="D10" s="481">
        <v>0</v>
      </c>
      <c r="E10" s="492">
        <f>+C10+D10</f>
        <v>65835</v>
      </c>
      <c r="F10" s="493">
        <v>0.1</v>
      </c>
      <c r="G10" s="495">
        <v>30848</v>
      </c>
      <c r="H10" s="480">
        <f>(E10-G10)*0.1</f>
        <v>3498.7</v>
      </c>
      <c r="I10" s="492">
        <f>+G10+H10</f>
        <v>34346.699999999997</v>
      </c>
      <c r="J10" s="501">
        <f>+E10-I10</f>
        <v>31488.3</v>
      </c>
    </row>
    <row r="11" spans="1:10" ht="17">
      <c r="A11" s="477"/>
      <c r="B11" s="484">
        <v>2025</v>
      </c>
      <c r="C11" s="485">
        <f>SUM(C6:C10)</f>
        <v>11585617</v>
      </c>
      <c r="D11" s="486">
        <f>SUM(D6:D10)</f>
        <v>0</v>
      </c>
      <c r="E11" s="485">
        <f>SUM(E6:E10)</f>
        <v>11585617</v>
      </c>
      <c r="F11" s="490"/>
      <c r="G11" s="485">
        <f>SUM(G6:G10)</f>
        <v>4909961</v>
      </c>
      <c r="H11" s="496">
        <f>SUM(H6:H10)</f>
        <v>667565.6</v>
      </c>
      <c r="I11" s="485">
        <f>SUM(I6:I10)</f>
        <v>5577526.5999999996</v>
      </c>
      <c r="J11" s="485">
        <f>SUM(J6:J10)</f>
        <v>6008090.4000000004</v>
      </c>
    </row>
    <row r="12" spans="1:10" ht="17">
      <c r="A12" s="477"/>
      <c r="B12" s="487"/>
      <c r="C12" s="488"/>
      <c r="D12" s="489"/>
      <c r="E12" s="489"/>
      <c r="F12" s="489"/>
      <c r="G12" s="488"/>
      <c r="H12" s="489"/>
      <c r="I12" s="489"/>
      <c r="J12" s="502"/>
    </row>
    <row r="13" spans="1:10" ht="17">
      <c r="A13" s="477"/>
      <c r="B13" s="484">
        <v>2024</v>
      </c>
      <c r="C13" s="485">
        <f>+C11</f>
        <v>11585617</v>
      </c>
      <c r="D13" s="490"/>
      <c r="E13" s="490">
        <f>+C13</f>
        <v>11585617</v>
      </c>
      <c r="F13" s="490"/>
      <c r="G13" s="485">
        <v>4168221</v>
      </c>
      <c r="H13" s="490">
        <v>741740</v>
      </c>
      <c r="I13" s="490">
        <f>+G13+H13</f>
        <v>4909961</v>
      </c>
      <c r="J13" s="503">
        <f>+C13-I13</f>
        <v>6675656</v>
      </c>
    </row>
    <row r="14" spans="1:10" ht="15">
      <c r="A14" s="477"/>
      <c r="B14" s="477"/>
      <c r="C14" s="477"/>
      <c r="D14" s="477"/>
      <c r="E14" s="477"/>
      <c r="F14" s="477"/>
      <c r="G14" s="477"/>
      <c r="H14" s="477"/>
      <c r="I14" s="477"/>
      <c r="J14" s="477"/>
    </row>
    <row r="15" spans="1:10" ht="19.5">
      <c r="A15" s="669">
        <v>5.0999999999999996</v>
      </c>
      <c r="B15" s="670" t="s">
        <v>1180</v>
      </c>
      <c r="C15" s="491"/>
      <c r="D15" s="491"/>
      <c r="E15" s="491"/>
      <c r="F15" s="491"/>
      <c r="G15" s="491"/>
      <c r="H15" s="491"/>
      <c r="I15" s="491"/>
      <c r="J15" s="477"/>
    </row>
    <row r="16" spans="1:10" ht="17">
      <c r="A16" s="491"/>
      <c r="B16" s="491"/>
      <c r="C16" s="491"/>
      <c r="D16" s="491"/>
      <c r="E16" s="491"/>
      <c r="F16" s="491"/>
      <c r="G16" s="497">
        <v>2025</v>
      </c>
      <c r="H16" s="497">
        <v>2024</v>
      </c>
      <c r="I16" s="671"/>
      <c r="J16" s="477"/>
    </row>
    <row r="17" spans="1:10" ht="17">
      <c r="A17" s="491"/>
      <c r="B17" s="491"/>
      <c r="C17" s="491"/>
      <c r="D17" s="491"/>
      <c r="E17" s="491"/>
      <c r="F17" s="491"/>
      <c r="G17" s="498" t="s">
        <v>957</v>
      </c>
      <c r="H17" s="498" t="s">
        <v>957</v>
      </c>
      <c r="I17" s="671"/>
      <c r="J17" s="477"/>
    </row>
    <row r="18" spans="1:10" ht="17">
      <c r="A18" s="491"/>
      <c r="B18" s="491"/>
      <c r="D18" s="491" t="s">
        <v>1181</v>
      </c>
      <c r="E18" s="491"/>
      <c r="F18" s="491"/>
      <c r="G18" s="499">
        <f>H11*0.8</f>
        <v>534052.48</v>
      </c>
      <c r="H18" s="499">
        <f>H13*0.8</f>
        <v>593392</v>
      </c>
      <c r="I18" s="672"/>
      <c r="J18" s="477"/>
    </row>
    <row r="19" spans="1:10" ht="17">
      <c r="A19" s="491"/>
      <c r="B19" s="491"/>
      <c r="D19" s="491" t="s">
        <v>1182</v>
      </c>
      <c r="E19" s="491"/>
      <c r="F19" s="491"/>
      <c r="G19" s="499">
        <f>H11*0.2</f>
        <v>133513.12</v>
      </c>
      <c r="H19" s="499">
        <f>H13*0.2</f>
        <v>148348</v>
      </c>
      <c r="I19" s="672"/>
      <c r="J19" s="477"/>
    </row>
    <row r="20" spans="1:10" ht="17">
      <c r="A20" s="491"/>
      <c r="B20" s="491"/>
      <c r="C20" s="491"/>
      <c r="D20" s="491"/>
      <c r="E20" s="491"/>
      <c r="F20" s="491"/>
      <c r="G20" s="500">
        <f>SUM(G18:G19)</f>
        <v>667565.6</v>
      </c>
      <c r="H20" s="500">
        <f>SUM(H18:H19)</f>
        <v>741740</v>
      </c>
      <c r="I20" s="673"/>
      <c r="J20" s="477"/>
    </row>
    <row r="21" spans="1:10" ht="17">
      <c r="A21" s="491"/>
      <c r="B21" s="491"/>
      <c r="C21" s="491"/>
      <c r="D21" s="491"/>
      <c r="E21" s="491"/>
      <c r="F21" s="491"/>
      <c r="G21" s="491"/>
      <c r="H21" s="491"/>
      <c r="I21" s="491"/>
      <c r="J21" s="477"/>
    </row>
    <row r="22" spans="1:10" ht="17">
      <c r="A22" s="491"/>
      <c r="B22" s="491"/>
      <c r="C22" s="491"/>
      <c r="D22" s="491"/>
      <c r="E22" s="491"/>
      <c r="F22" s="491"/>
      <c r="G22" s="491"/>
      <c r="H22" s="491"/>
      <c r="I22" s="491"/>
      <c r="J22" s="477"/>
    </row>
    <row r="23" spans="1:10" ht="15">
      <c r="A23" s="477"/>
      <c r="B23" s="477"/>
      <c r="C23" s="477"/>
      <c r="D23" s="477"/>
      <c r="E23" s="477"/>
      <c r="F23" s="477"/>
      <c r="G23" s="477"/>
      <c r="H23" s="477"/>
      <c r="I23" s="477"/>
      <c r="J23" s="477"/>
    </row>
    <row r="24" spans="1:10" ht="15">
      <c r="A24" s="477"/>
      <c r="B24" s="477"/>
      <c r="C24" s="477"/>
      <c r="D24" s="477"/>
      <c r="E24" s="477"/>
      <c r="F24" s="477"/>
      <c r="G24" s="477"/>
      <c r="H24" s="477"/>
      <c r="I24" s="477"/>
      <c r="J24" s="477"/>
    </row>
    <row r="25" spans="1:10" ht="15">
      <c r="A25" s="477"/>
      <c r="B25" s="477"/>
      <c r="C25" s="477"/>
      <c r="D25" s="477"/>
      <c r="E25" s="477"/>
      <c r="F25" s="477"/>
      <c r="G25" s="477"/>
      <c r="H25" s="477"/>
      <c r="I25" s="477"/>
      <c r="J25" s="477"/>
    </row>
    <row r="26" spans="1:10" ht="15">
      <c r="A26" s="477"/>
      <c r="B26" s="477"/>
      <c r="C26" s="477"/>
      <c r="D26" s="477"/>
      <c r="E26" s="477"/>
      <c r="F26" s="477"/>
      <c r="G26" s="477"/>
      <c r="H26" s="477"/>
      <c r="I26" s="477"/>
      <c r="J26" s="477"/>
    </row>
    <row r="27" spans="1:10" ht="15">
      <c r="A27" s="477"/>
      <c r="B27" s="477"/>
      <c r="C27" s="477"/>
      <c r="D27" s="477"/>
      <c r="E27" s="477"/>
      <c r="F27" s="477"/>
      <c r="G27" s="477"/>
      <c r="H27" s="477"/>
      <c r="I27" s="477"/>
      <c r="J27" s="477"/>
    </row>
    <row r="28" spans="1:10" ht="15">
      <c r="A28" s="477"/>
      <c r="B28" s="477"/>
      <c r="C28" s="477"/>
      <c r="D28" s="477"/>
      <c r="E28" s="477"/>
      <c r="F28" s="477"/>
      <c r="G28" s="477"/>
      <c r="H28" s="477"/>
      <c r="I28" s="477"/>
      <c r="J28" s="477"/>
    </row>
    <row r="29" spans="1:10" ht="15">
      <c r="A29" s="477"/>
      <c r="B29" s="477"/>
      <c r="C29" s="477"/>
      <c r="D29" s="477"/>
      <c r="E29" s="477"/>
      <c r="F29" s="477"/>
      <c r="G29" s="477"/>
      <c r="H29" s="477"/>
      <c r="I29" s="477"/>
      <c r="J29" s="477"/>
    </row>
    <row r="30" spans="1:10" ht="15">
      <c r="A30" s="477"/>
      <c r="B30" s="477"/>
      <c r="C30" s="477"/>
      <c r="D30" s="477"/>
      <c r="E30" s="477"/>
      <c r="F30" s="477"/>
      <c r="G30" s="477"/>
      <c r="H30" s="477"/>
      <c r="I30" s="477"/>
      <c r="J30" s="477"/>
    </row>
    <row r="31" spans="1:10" ht="15">
      <c r="A31" s="477"/>
      <c r="B31" s="477"/>
      <c r="C31" s="477"/>
      <c r="D31" s="477"/>
      <c r="E31" s="477"/>
      <c r="F31" s="477"/>
      <c r="G31" s="477"/>
      <c r="H31" s="477"/>
      <c r="I31" s="477"/>
      <c r="J31" s="477"/>
    </row>
    <row r="32" spans="1:10" ht="15">
      <c r="A32" s="477"/>
      <c r="B32" s="477"/>
      <c r="C32" s="477"/>
      <c r="D32" s="477"/>
      <c r="E32" s="477"/>
      <c r="F32" s="477"/>
      <c r="G32" s="477"/>
      <c r="H32" s="477"/>
      <c r="I32" s="477"/>
      <c r="J32" s="477"/>
    </row>
  </sheetData>
  <mergeCells count="11">
    <mergeCell ref="J3:J5"/>
    <mergeCell ref="C3:E3"/>
    <mergeCell ref="G3:I3"/>
    <mergeCell ref="B3:B5"/>
    <mergeCell ref="C4:C5"/>
    <mergeCell ref="D4:D5"/>
    <mergeCell ref="E4:E5"/>
    <mergeCell ref="F3:F5"/>
    <mergeCell ref="G4:G5"/>
    <mergeCell ref="H4:H5"/>
    <mergeCell ref="I4:I5"/>
  </mergeCells>
  <pageMargins left="0.70866141732283505" right="0.70866141732283505" top="0.74803149606299202" bottom="0.74803149606299202" header="0.31496062992126" footer="0.31496062992126"/>
  <pageSetup paperSize="5" scale="99"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tabColor theme="7"/>
    <pageSetUpPr fitToPage="1"/>
  </sheetPr>
  <dimension ref="A1:U485"/>
  <sheetViews>
    <sheetView showGridLines="0" defaultGridColor="0" view="pageBreakPreview" colorId="8" zoomScale="98" zoomScaleNormal="100" workbookViewId="0">
      <selection activeCell="L243" sqref="L243"/>
    </sheetView>
  </sheetViews>
  <sheetFormatPr defaultColWidth="12.453125" defaultRowHeight="13"/>
  <cols>
    <col min="1" max="1" width="4.26953125" style="524" customWidth="1"/>
    <col min="2" max="2" width="6.1796875" style="525" customWidth="1"/>
    <col min="3" max="3" width="0.81640625" style="525" customWidth="1"/>
    <col min="4" max="4" width="18.453125" style="525" customWidth="1"/>
    <col min="5" max="5" width="0.81640625" style="525" customWidth="1"/>
    <col min="6" max="6" width="17.81640625" style="525" customWidth="1"/>
    <col min="7" max="7" width="0.81640625" style="525" customWidth="1"/>
    <col min="8" max="8" width="5.7265625" style="525" customWidth="1"/>
    <col min="9" max="9" width="1.453125" style="525" customWidth="1"/>
    <col min="10" max="10" width="14.1796875" style="525" customWidth="1"/>
    <col min="11" max="11" width="1.453125" style="525" customWidth="1"/>
    <col min="12" max="12" width="17.26953125" style="525" customWidth="1"/>
    <col min="13" max="13" width="1.453125" style="525" customWidth="1"/>
    <col min="14" max="14" width="17.26953125" style="525" customWidth="1"/>
    <col min="15" max="15" width="1.1796875" style="525" customWidth="1"/>
    <col min="16" max="16" width="15" style="525" customWidth="1"/>
    <col min="17" max="17" width="1.453125" style="525" customWidth="1"/>
    <col min="18" max="18" width="16.453125" style="526" customWidth="1"/>
    <col min="19" max="19" width="18.453125" style="525" customWidth="1"/>
    <col min="20" max="23" width="12.453125" style="525"/>
    <col min="24" max="24" width="13.81640625" style="525" customWidth="1"/>
    <col min="25" max="16384" width="12.453125" style="525"/>
  </cols>
  <sheetData>
    <row r="1" spans="1:18" s="520" customFormat="1" ht="21" customHeight="1">
      <c r="A1" s="1500" t="str">
        <f>SOFP!A1</f>
        <v>AIMAL KHAN TRADERS</v>
      </c>
      <c r="B1" s="1500"/>
      <c r="C1" s="1500"/>
      <c r="D1" s="1500"/>
      <c r="E1" s="1500"/>
      <c r="F1" s="1500"/>
      <c r="G1" s="1500"/>
      <c r="H1" s="1500"/>
      <c r="I1" s="1500"/>
      <c r="J1" s="1500"/>
      <c r="K1" s="1500"/>
      <c r="L1" s="1500"/>
      <c r="M1" s="1500"/>
      <c r="N1" s="1500"/>
      <c r="O1" s="1500"/>
      <c r="P1" s="1500"/>
      <c r="Q1" s="1500"/>
      <c r="R1" s="1500"/>
    </row>
    <row r="2" spans="1:18" s="520" customFormat="1" ht="21" customHeight="1">
      <c r="A2" s="527" t="str">
        <f>'Policies FC'!A3:N3</f>
        <v>NOTES TO THE FINANCIAL STATEMENTS</v>
      </c>
      <c r="B2" s="528"/>
      <c r="C2" s="528"/>
      <c r="D2" s="528"/>
      <c r="E2" s="528"/>
      <c r="F2" s="528"/>
      <c r="G2" s="528"/>
      <c r="H2" s="528"/>
      <c r="I2" s="528"/>
      <c r="J2" s="528"/>
      <c r="K2" s="528"/>
      <c r="L2" s="528"/>
      <c r="M2" s="528"/>
      <c r="N2" s="528"/>
      <c r="O2" s="528"/>
      <c r="P2" s="528"/>
      <c r="Q2" s="528"/>
      <c r="R2" s="528"/>
    </row>
    <row r="3" spans="1:18" s="520" customFormat="1" ht="21" customHeight="1">
      <c r="A3" s="1501" t="str">
        <f>'Policies FC'!A4</f>
        <v>FOR THE YEAR ENDED DECEMBER 31, 2025</v>
      </c>
      <c r="B3" s="1501"/>
      <c r="C3" s="1501"/>
      <c r="D3" s="1501"/>
      <c r="E3" s="1501"/>
      <c r="F3" s="1501"/>
      <c r="G3" s="1501"/>
      <c r="H3" s="1501"/>
      <c r="I3" s="1501"/>
      <c r="J3" s="1501"/>
      <c r="K3" s="1501"/>
      <c r="L3" s="1501"/>
      <c r="M3" s="1501"/>
      <c r="N3" s="1501"/>
      <c r="O3" s="1501"/>
      <c r="P3" s="1501"/>
      <c r="Q3" s="1501"/>
      <c r="R3" s="557"/>
    </row>
    <row r="4" spans="1:18" hidden="1">
      <c r="R4" s="529"/>
    </row>
    <row r="5" spans="1:18" ht="15.75" hidden="1" customHeight="1">
      <c r="A5" s="526">
        <v>1</v>
      </c>
      <c r="B5" s="529" t="s">
        <v>1183</v>
      </c>
      <c r="R5" s="529"/>
    </row>
    <row r="6" spans="1:18" ht="6" hidden="1" customHeight="1">
      <c r="A6" s="526"/>
      <c r="B6" s="529"/>
      <c r="R6" s="529"/>
    </row>
    <row r="7" spans="1:18" ht="17.25" hidden="1" customHeight="1">
      <c r="A7" s="526"/>
      <c r="B7" s="530"/>
      <c r="C7" s="529" t="s">
        <v>1045</v>
      </c>
      <c r="R7" s="529"/>
    </row>
    <row r="8" spans="1:18" ht="6.75" hidden="1" customHeight="1">
      <c r="A8" s="526"/>
      <c r="B8" s="530"/>
      <c r="C8" s="529"/>
      <c r="R8" s="529"/>
    </row>
    <row r="9" spans="1:18" ht="50.15" hidden="1" customHeight="1">
      <c r="C9" s="1467" t="s">
        <v>1184</v>
      </c>
      <c r="D9" s="1467"/>
      <c r="E9" s="1467"/>
      <c r="F9" s="1467"/>
      <c r="G9" s="1467"/>
      <c r="H9" s="1467"/>
      <c r="I9" s="1467"/>
      <c r="J9" s="1467"/>
      <c r="K9" s="1467"/>
      <c r="L9" s="1467"/>
      <c r="M9" s="1467"/>
      <c r="N9" s="1467"/>
      <c r="O9" s="1467"/>
      <c r="P9" s="1467"/>
      <c r="Q9" s="1467"/>
      <c r="R9" s="1467"/>
    </row>
    <row r="10" spans="1:18" ht="3.75" hidden="1" customHeight="1">
      <c r="B10" s="532"/>
      <c r="C10" s="532"/>
      <c r="D10" s="532"/>
      <c r="E10" s="532"/>
      <c r="F10" s="532"/>
      <c r="G10" s="532"/>
      <c r="H10" s="532"/>
      <c r="I10" s="532"/>
      <c r="J10" s="532"/>
      <c r="K10" s="532"/>
      <c r="L10" s="532"/>
      <c r="M10" s="532"/>
      <c r="N10" s="532"/>
      <c r="O10" s="532"/>
      <c r="P10" s="532"/>
      <c r="Q10" s="532"/>
      <c r="R10" s="532"/>
    </row>
    <row r="11" spans="1:18" ht="17.25" hidden="1" customHeight="1">
      <c r="B11" s="533">
        <f>B7+0.1</f>
        <v>0.1</v>
      </c>
      <c r="C11" s="534" t="s">
        <v>1185</v>
      </c>
      <c r="D11" s="532"/>
      <c r="E11" s="532"/>
      <c r="F11" s="532"/>
      <c r="G11" s="532"/>
      <c r="H11" s="532"/>
      <c r="I11" s="532"/>
      <c r="J11" s="532"/>
      <c r="K11" s="532"/>
      <c r="L11" s="532"/>
      <c r="M11" s="532"/>
      <c r="N11" s="532"/>
      <c r="O11" s="532"/>
      <c r="P11" s="532"/>
      <c r="Q11" s="532"/>
      <c r="R11" s="532"/>
    </row>
    <row r="12" spans="1:18" ht="5.25" hidden="1" customHeight="1">
      <c r="B12" s="533"/>
      <c r="C12" s="534"/>
      <c r="D12" s="532"/>
      <c r="E12" s="532"/>
      <c r="F12" s="532"/>
      <c r="G12" s="532"/>
      <c r="H12" s="532"/>
      <c r="I12" s="532"/>
      <c r="J12" s="532"/>
      <c r="K12" s="532"/>
      <c r="L12" s="532"/>
      <c r="M12" s="532"/>
      <c r="N12" s="532"/>
      <c r="O12" s="532"/>
      <c r="P12" s="532"/>
      <c r="Q12" s="532"/>
      <c r="R12" s="532"/>
    </row>
    <row r="13" spans="1:18" ht="99.75" hidden="1" customHeight="1">
      <c r="B13" s="535"/>
      <c r="C13" s="1466" t="s">
        <v>1186</v>
      </c>
      <c r="D13" s="1466"/>
      <c r="E13" s="1466"/>
      <c r="F13" s="1466"/>
      <c r="G13" s="1466"/>
      <c r="H13" s="1466"/>
      <c r="I13" s="1466"/>
      <c r="J13" s="1466"/>
      <c r="K13" s="1466"/>
      <c r="L13" s="1466"/>
      <c r="M13" s="1466"/>
      <c r="N13" s="1466"/>
      <c r="O13" s="1466"/>
      <c r="P13" s="1466"/>
      <c r="Q13" s="1466"/>
      <c r="R13" s="1466"/>
    </row>
    <row r="14" spans="1:18" ht="5.25" hidden="1" customHeight="1">
      <c r="B14" s="535"/>
      <c r="C14" s="536"/>
      <c r="D14" s="536"/>
      <c r="E14" s="536"/>
      <c r="F14" s="536"/>
      <c r="G14" s="536"/>
      <c r="H14" s="536"/>
      <c r="I14" s="536"/>
      <c r="J14" s="536"/>
      <c r="K14" s="536"/>
      <c r="L14" s="536"/>
      <c r="M14" s="536"/>
      <c r="N14" s="536"/>
      <c r="O14" s="536"/>
      <c r="P14" s="536"/>
      <c r="Q14" s="536"/>
      <c r="R14" s="536"/>
    </row>
    <row r="15" spans="1:18" ht="15.75" hidden="1" customHeight="1">
      <c r="A15" s="526">
        <v>2</v>
      </c>
      <c r="B15" s="537" t="s">
        <v>1047</v>
      </c>
      <c r="C15" s="538"/>
      <c r="D15" s="538"/>
      <c r="E15" s="538"/>
      <c r="F15" s="538"/>
      <c r="G15" s="538"/>
      <c r="R15" s="529"/>
    </row>
    <row r="16" spans="1:18" ht="6.75" hidden="1" customHeight="1">
      <c r="A16" s="526"/>
      <c r="B16" s="539"/>
      <c r="C16" s="538"/>
      <c r="D16" s="538"/>
      <c r="E16" s="538"/>
      <c r="F16" s="538"/>
      <c r="G16" s="538"/>
      <c r="R16" s="529"/>
    </row>
    <row r="17" spans="1:18" ht="33.75" hidden="1" customHeight="1">
      <c r="B17" s="540"/>
      <c r="C17" s="1498" t="s">
        <v>1049</v>
      </c>
      <c r="D17" s="1498"/>
      <c r="E17" s="1498"/>
      <c r="F17" s="1498"/>
      <c r="G17" s="1498"/>
      <c r="H17" s="1498"/>
      <c r="I17" s="1498"/>
      <c r="J17" s="1498"/>
      <c r="K17" s="1498"/>
      <c r="L17" s="1498"/>
      <c r="M17" s="1498"/>
      <c r="N17" s="1498"/>
      <c r="O17" s="1498"/>
      <c r="P17" s="1498"/>
      <c r="Q17" s="1498"/>
      <c r="R17" s="1498"/>
    </row>
    <row r="18" spans="1:18" ht="6" hidden="1" customHeight="1">
      <c r="B18" s="540"/>
      <c r="C18" s="542"/>
      <c r="D18" s="542"/>
      <c r="E18" s="541"/>
      <c r="F18" s="542"/>
      <c r="G18" s="542"/>
      <c r="H18" s="542"/>
      <c r="I18" s="542"/>
      <c r="J18" s="542"/>
      <c r="K18" s="542"/>
      <c r="L18" s="542"/>
      <c r="M18" s="542"/>
      <c r="N18" s="542"/>
      <c r="O18" s="542"/>
      <c r="P18" s="542"/>
      <c r="Q18" s="542"/>
      <c r="R18" s="542"/>
    </row>
    <row r="19" spans="1:18" ht="36" hidden="1" customHeight="1">
      <c r="B19" s="540"/>
      <c r="C19" s="542" t="s">
        <v>1050</v>
      </c>
      <c r="D19" s="1498" t="s">
        <v>1051</v>
      </c>
      <c r="E19" s="1498"/>
      <c r="F19" s="1498"/>
      <c r="G19" s="1498"/>
      <c r="H19" s="1498"/>
      <c r="I19" s="1498"/>
      <c r="J19" s="1498"/>
      <c r="K19" s="1498"/>
      <c r="L19" s="1498"/>
      <c r="M19" s="1498"/>
      <c r="N19" s="1498"/>
      <c r="O19" s="1498"/>
      <c r="P19" s="1498"/>
      <c r="Q19" s="1498"/>
      <c r="R19" s="1498"/>
    </row>
    <row r="20" spans="1:18" ht="7.5" hidden="1" customHeight="1">
      <c r="B20" s="540"/>
      <c r="C20" s="542"/>
      <c r="D20" s="542"/>
      <c r="E20" s="542"/>
      <c r="F20" s="542"/>
      <c r="G20" s="542"/>
      <c r="H20" s="542"/>
      <c r="I20" s="542"/>
      <c r="J20" s="542"/>
      <c r="K20" s="542"/>
      <c r="L20" s="542"/>
      <c r="M20" s="542"/>
      <c r="N20" s="542"/>
      <c r="O20" s="542"/>
      <c r="P20" s="542"/>
      <c r="Q20" s="542"/>
      <c r="R20" s="542"/>
    </row>
    <row r="21" spans="1:18" ht="17.25" hidden="1" customHeight="1">
      <c r="B21" s="540"/>
      <c r="C21" s="542" t="s">
        <v>1050</v>
      </c>
      <c r="D21" s="1498" t="s">
        <v>1052</v>
      </c>
      <c r="E21" s="1498"/>
      <c r="F21" s="1498"/>
      <c r="G21" s="1498"/>
      <c r="H21" s="1498"/>
      <c r="I21" s="1498"/>
      <c r="J21" s="1498"/>
      <c r="K21" s="1498"/>
      <c r="L21" s="1498"/>
      <c r="M21" s="1498"/>
      <c r="N21" s="1498"/>
      <c r="O21" s="1498"/>
      <c r="P21" s="1498"/>
      <c r="Q21" s="1498"/>
      <c r="R21" s="1498"/>
    </row>
    <row r="22" spans="1:18" ht="8.25" hidden="1" customHeight="1">
      <c r="B22" s="540"/>
      <c r="C22" s="542"/>
      <c r="D22" s="542"/>
      <c r="E22" s="542"/>
      <c r="F22" s="542"/>
      <c r="G22" s="542"/>
      <c r="H22" s="542"/>
      <c r="I22" s="542"/>
      <c r="J22" s="542"/>
      <c r="K22" s="542"/>
      <c r="L22" s="542"/>
      <c r="M22" s="542"/>
      <c r="N22" s="542"/>
      <c r="O22" s="542"/>
      <c r="P22" s="542"/>
      <c r="Q22" s="542"/>
      <c r="R22" s="542"/>
    </row>
    <row r="23" spans="1:18" ht="37.5" hidden="1" customHeight="1">
      <c r="B23" s="540"/>
      <c r="C23" s="1498" t="s">
        <v>1053</v>
      </c>
      <c r="D23" s="1498"/>
      <c r="E23" s="1498"/>
      <c r="F23" s="1498"/>
      <c r="G23" s="1498"/>
      <c r="H23" s="1498"/>
      <c r="I23" s="1498"/>
      <c r="J23" s="1498"/>
      <c r="K23" s="1498"/>
      <c r="L23" s="1498"/>
      <c r="M23" s="1498"/>
      <c r="N23" s="1498"/>
      <c r="O23" s="1498"/>
      <c r="P23" s="1498"/>
      <c r="Q23" s="1498"/>
      <c r="R23" s="1498"/>
    </row>
    <row r="24" spans="1:18" ht="6.75" hidden="1" customHeight="1">
      <c r="B24" s="540"/>
      <c r="C24" s="542"/>
      <c r="D24" s="542"/>
      <c r="E24" s="542"/>
      <c r="F24" s="542"/>
      <c r="G24" s="542"/>
      <c r="H24" s="542"/>
      <c r="I24" s="542"/>
      <c r="J24" s="542"/>
      <c r="K24" s="542"/>
      <c r="L24" s="542"/>
      <c r="M24" s="542"/>
      <c r="N24" s="542"/>
      <c r="O24" s="542"/>
      <c r="P24" s="542"/>
      <c r="Q24" s="542"/>
      <c r="R24" s="542"/>
    </row>
    <row r="25" spans="1:18" ht="15.75" hidden="1" customHeight="1">
      <c r="A25" s="526">
        <f>A5+1</f>
        <v>2</v>
      </c>
      <c r="B25" s="1371" t="s">
        <v>1187</v>
      </c>
      <c r="C25" s="529"/>
      <c r="D25" s="529"/>
      <c r="E25" s="529"/>
      <c r="F25" s="538"/>
      <c r="G25" s="538"/>
    </row>
    <row r="26" spans="1:18" ht="2.25" hidden="1" customHeight="1">
      <c r="B26" s="529"/>
      <c r="C26" s="529"/>
      <c r="D26" s="529"/>
      <c r="E26" s="529"/>
      <c r="F26" s="538"/>
      <c r="G26" s="538"/>
    </row>
    <row r="27" spans="1:18" ht="21.75" hidden="1" customHeight="1">
      <c r="B27" s="526">
        <f>A25+0.1</f>
        <v>2.1</v>
      </c>
      <c r="C27" s="529" t="s">
        <v>1188</v>
      </c>
      <c r="D27" s="539"/>
      <c r="E27" s="539"/>
      <c r="F27" s="538"/>
      <c r="G27" s="538"/>
    </row>
    <row r="28" spans="1:18" ht="7.5" hidden="1" customHeight="1">
      <c r="B28" s="526"/>
      <c r="C28" s="529"/>
      <c r="D28" s="539"/>
      <c r="E28" s="539"/>
      <c r="F28" s="538"/>
      <c r="G28" s="538"/>
    </row>
    <row r="29" spans="1:18" ht="15.75" hidden="1" customHeight="1">
      <c r="B29" s="526"/>
      <c r="C29" s="1466" t="s">
        <v>1189</v>
      </c>
      <c r="D29" s="1466"/>
      <c r="E29" s="1466"/>
      <c r="F29" s="1466"/>
      <c r="G29" s="1466"/>
      <c r="H29" s="1466"/>
      <c r="I29" s="1466"/>
      <c r="J29" s="1466"/>
      <c r="K29" s="1466"/>
      <c r="L29" s="1466"/>
      <c r="M29" s="1466"/>
      <c r="N29" s="1466"/>
      <c r="O29" s="1466"/>
      <c r="P29" s="1466"/>
      <c r="Q29" s="1466"/>
      <c r="R29" s="1466"/>
    </row>
    <row r="30" spans="1:18" ht="25.5" hidden="1" customHeight="1">
      <c r="B30" s="543"/>
      <c r="C30" s="1466"/>
      <c r="D30" s="1466"/>
      <c r="E30" s="1466"/>
      <c r="F30" s="1466"/>
      <c r="G30" s="1466"/>
      <c r="H30" s="1466"/>
      <c r="I30" s="1466"/>
      <c r="J30" s="1466"/>
      <c r="K30" s="1466"/>
      <c r="L30" s="1466"/>
      <c r="M30" s="1466"/>
      <c r="N30" s="1466"/>
      <c r="O30" s="1466"/>
      <c r="P30" s="1466"/>
      <c r="Q30" s="1466"/>
      <c r="R30" s="1466"/>
    </row>
    <row r="31" spans="1:18" ht="15.75" hidden="1" customHeight="1">
      <c r="B31" s="544">
        <f>B27+0.1</f>
        <v>2.2000000000000002</v>
      </c>
      <c r="C31" s="539" t="s">
        <v>1059</v>
      </c>
      <c r="D31" s="535"/>
      <c r="E31" s="535"/>
      <c r="F31" s="535"/>
      <c r="G31" s="535"/>
      <c r="H31" s="535"/>
      <c r="I31" s="535"/>
      <c r="J31" s="535"/>
      <c r="K31" s="535"/>
      <c r="L31" s="535"/>
      <c r="M31" s="535"/>
      <c r="N31" s="535"/>
      <c r="O31" s="535"/>
      <c r="P31" s="535"/>
      <c r="Q31" s="535"/>
      <c r="R31" s="535"/>
    </row>
    <row r="32" spans="1:18" ht="4.5" hidden="1" customHeight="1">
      <c r="B32" s="543"/>
      <c r="C32" s="535"/>
      <c r="D32" s="535"/>
      <c r="E32" s="535"/>
      <c r="F32" s="535"/>
      <c r="G32" s="535"/>
      <c r="H32" s="535"/>
      <c r="I32" s="535"/>
      <c r="J32" s="535"/>
      <c r="K32" s="535"/>
      <c r="L32" s="535"/>
      <c r="M32" s="535"/>
      <c r="N32" s="535"/>
      <c r="O32" s="535"/>
      <c r="P32" s="535"/>
      <c r="Q32" s="535"/>
      <c r="R32" s="535"/>
    </row>
    <row r="33" spans="2:18" ht="14.15" customHeight="1">
      <c r="B33" s="543"/>
      <c r="C33" s="535"/>
      <c r="D33" s="535"/>
      <c r="E33" s="535"/>
      <c r="F33" s="535"/>
      <c r="G33" s="535"/>
      <c r="H33" s="535"/>
      <c r="I33" s="535"/>
      <c r="J33" s="535"/>
      <c r="K33" s="535"/>
      <c r="L33" s="535"/>
      <c r="M33" s="535"/>
      <c r="N33" s="535"/>
      <c r="O33" s="535"/>
      <c r="P33" s="535"/>
      <c r="Q33" s="535"/>
      <c r="R33" s="558"/>
    </row>
    <row r="34" spans="2:18" ht="4.5" hidden="1" customHeight="1">
      <c r="B34" s="543"/>
      <c r="C34" s="535"/>
      <c r="D34" s="535"/>
      <c r="E34" s="535"/>
      <c r="F34" s="535"/>
      <c r="G34" s="535"/>
      <c r="H34" s="535"/>
      <c r="I34" s="535"/>
      <c r="J34" s="535"/>
      <c r="K34" s="535"/>
      <c r="L34" s="535"/>
      <c r="M34" s="535"/>
      <c r="N34" s="535"/>
      <c r="O34" s="535"/>
      <c r="P34" s="535"/>
      <c r="Q34" s="535"/>
      <c r="R34" s="535"/>
    </row>
    <row r="35" spans="2:18" ht="16.5" hidden="1" customHeight="1">
      <c r="B35" s="544">
        <f>B31+0.1</f>
        <v>2.2999999999999998</v>
      </c>
      <c r="C35" s="539" t="s">
        <v>1061</v>
      </c>
      <c r="D35" s="539"/>
      <c r="E35" s="535"/>
      <c r="F35" s="535"/>
      <c r="G35" s="535"/>
      <c r="H35" s="535"/>
      <c r="I35" s="535"/>
      <c r="J35" s="535"/>
      <c r="K35" s="535"/>
      <c r="L35" s="535"/>
      <c r="M35" s="535"/>
      <c r="N35" s="535"/>
      <c r="O35" s="535"/>
      <c r="P35" s="535"/>
      <c r="Q35" s="535"/>
      <c r="R35" s="535"/>
    </row>
    <row r="36" spans="2:18" ht="3.75" hidden="1" customHeight="1">
      <c r="B36" s="543"/>
      <c r="C36" s="535"/>
      <c r="D36" s="535"/>
      <c r="E36" s="535"/>
      <c r="F36" s="535"/>
      <c r="G36" s="535"/>
      <c r="H36" s="535"/>
      <c r="I36" s="535"/>
      <c r="J36" s="535"/>
      <c r="K36" s="535"/>
      <c r="L36" s="535"/>
      <c r="M36" s="535"/>
      <c r="N36" s="535"/>
      <c r="O36" s="535"/>
      <c r="P36" s="535"/>
      <c r="Q36" s="535"/>
      <c r="R36" s="535"/>
    </row>
    <row r="37" spans="2:18" ht="67.5" hidden="1" customHeight="1">
      <c r="B37" s="543"/>
      <c r="C37" s="1466" t="s">
        <v>1190</v>
      </c>
      <c r="D37" s="1466"/>
      <c r="E37" s="1466"/>
      <c r="F37" s="1466"/>
      <c r="G37" s="1466"/>
      <c r="H37" s="1466"/>
      <c r="I37" s="1466"/>
      <c r="J37" s="1466"/>
      <c r="K37" s="1466"/>
      <c r="L37" s="1466"/>
      <c r="M37" s="1466"/>
      <c r="N37" s="1466"/>
      <c r="O37" s="1466"/>
      <c r="P37" s="1466"/>
      <c r="Q37" s="1466"/>
      <c r="R37" s="1466"/>
    </row>
    <row r="38" spans="2:18" ht="9" hidden="1" customHeight="1">
      <c r="B38" s="543"/>
      <c r="C38" s="1466"/>
      <c r="D38" s="1466"/>
      <c r="E38" s="1466"/>
      <c r="F38" s="1466"/>
      <c r="G38" s="1466"/>
      <c r="H38" s="1466"/>
      <c r="I38" s="1466"/>
      <c r="J38" s="1466"/>
      <c r="K38" s="1466"/>
      <c r="L38" s="1466"/>
      <c r="M38" s="1466"/>
      <c r="N38" s="1466"/>
      <c r="O38" s="1466"/>
      <c r="P38" s="1466"/>
      <c r="Q38" s="1466"/>
      <c r="R38" s="1466"/>
    </row>
    <row r="39" spans="2:18" ht="13.5" hidden="1" customHeight="1">
      <c r="B39" s="543"/>
      <c r="C39" s="1466" t="s">
        <v>1191</v>
      </c>
      <c r="D39" s="1466"/>
      <c r="E39" s="1466"/>
      <c r="F39" s="1466"/>
      <c r="G39" s="1466"/>
      <c r="H39" s="1466"/>
      <c r="I39" s="1466"/>
      <c r="J39" s="1466"/>
      <c r="K39" s="1466"/>
      <c r="L39" s="1466"/>
      <c r="M39" s="1466"/>
      <c r="N39" s="1466"/>
      <c r="O39" s="1466"/>
      <c r="P39" s="1466"/>
      <c r="Q39" s="1466"/>
      <c r="R39" s="1466"/>
    </row>
    <row r="40" spans="2:18" ht="16.5" hidden="1" customHeight="1">
      <c r="B40" s="543"/>
      <c r="C40" s="1466"/>
      <c r="D40" s="1466"/>
      <c r="E40" s="1466"/>
      <c r="F40" s="1466"/>
      <c r="G40" s="1466"/>
      <c r="H40" s="1466"/>
      <c r="I40" s="1466"/>
      <c r="J40" s="1466"/>
      <c r="K40" s="1466"/>
      <c r="L40" s="1466"/>
      <c r="M40" s="1466"/>
      <c r="N40" s="1466"/>
      <c r="O40" s="1466"/>
      <c r="P40" s="1466"/>
      <c r="Q40" s="1466"/>
      <c r="R40" s="1466"/>
    </row>
    <row r="41" spans="2:18" ht="6.75" hidden="1" customHeight="1">
      <c r="B41" s="543"/>
      <c r="C41" s="532"/>
      <c r="D41" s="532"/>
      <c r="E41" s="532"/>
      <c r="F41" s="532"/>
      <c r="G41" s="532"/>
      <c r="H41" s="532"/>
      <c r="I41" s="532"/>
      <c r="J41" s="532"/>
      <c r="K41" s="532"/>
      <c r="L41" s="532"/>
      <c r="M41" s="532"/>
      <c r="N41" s="532"/>
      <c r="O41" s="532"/>
      <c r="P41" s="532"/>
      <c r="Q41" s="532"/>
      <c r="R41" s="532"/>
    </row>
    <row r="42" spans="2:18" ht="14.15" hidden="1" customHeight="1">
      <c r="B42" s="543"/>
      <c r="C42" s="1466" t="s">
        <v>1192</v>
      </c>
      <c r="D42" s="1466"/>
      <c r="E42" s="1466"/>
      <c r="F42" s="1466"/>
      <c r="G42" s="1466"/>
      <c r="H42" s="1466"/>
      <c r="I42" s="1466"/>
      <c r="J42" s="1466"/>
      <c r="K42" s="1466"/>
      <c r="L42" s="1466"/>
      <c r="M42" s="1466"/>
      <c r="N42" s="1466"/>
      <c r="O42" s="1466"/>
      <c r="P42" s="1466"/>
      <c r="Q42" s="1466"/>
      <c r="R42" s="1466"/>
    </row>
    <row r="43" spans="2:18" ht="14.15" hidden="1" customHeight="1">
      <c r="B43" s="543"/>
      <c r="C43" s="1466"/>
      <c r="D43" s="1466"/>
      <c r="E43" s="1466"/>
      <c r="F43" s="1466"/>
      <c r="G43" s="1466"/>
      <c r="H43" s="1466"/>
      <c r="I43" s="1466"/>
      <c r="J43" s="1466"/>
      <c r="K43" s="1466"/>
      <c r="L43" s="1466"/>
      <c r="M43" s="1466"/>
      <c r="N43" s="1466"/>
      <c r="O43" s="1466"/>
      <c r="P43" s="1466"/>
      <c r="Q43" s="1466"/>
      <c r="R43" s="1466"/>
    </row>
    <row r="44" spans="2:18" ht="14.15" hidden="1" customHeight="1">
      <c r="B44" s="543"/>
      <c r="C44" s="1466"/>
      <c r="D44" s="1466"/>
      <c r="E44" s="1466"/>
      <c r="F44" s="1466"/>
      <c r="G44" s="1466"/>
      <c r="H44" s="1466"/>
      <c r="I44" s="1466"/>
      <c r="J44" s="1466"/>
      <c r="K44" s="1466"/>
      <c r="L44" s="1466"/>
      <c r="M44" s="1466"/>
      <c r="N44" s="1466"/>
      <c r="O44" s="1466"/>
      <c r="P44" s="1466"/>
      <c r="Q44" s="1466"/>
      <c r="R44" s="1466"/>
    </row>
    <row r="45" spans="2:18" ht="14.15" hidden="1" customHeight="1">
      <c r="B45" s="543"/>
      <c r="C45" s="1466"/>
      <c r="D45" s="1466"/>
      <c r="E45" s="1466"/>
      <c r="F45" s="1466"/>
      <c r="G45" s="1466"/>
      <c r="H45" s="1466"/>
      <c r="I45" s="1466"/>
      <c r="J45" s="1466"/>
      <c r="K45" s="1466"/>
      <c r="L45" s="1466"/>
      <c r="M45" s="1466"/>
      <c r="N45" s="1466"/>
      <c r="O45" s="1466"/>
      <c r="P45" s="1466"/>
      <c r="Q45" s="1466"/>
      <c r="R45" s="1466"/>
    </row>
    <row r="46" spans="2:18" ht="14.15" hidden="1" customHeight="1">
      <c r="B46" s="543"/>
      <c r="C46" s="1466"/>
      <c r="D46" s="1466"/>
      <c r="E46" s="1466"/>
      <c r="F46" s="1466"/>
      <c r="G46" s="1466"/>
      <c r="H46" s="1466"/>
      <c r="I46" s="1466"/>
      <c r="J46" s="1466"/>
      <c r="K46" s="1466"/>
      <c r="L46" s="1466"/>
      <c r="M46" s="1466"/>
      <c r="N46" s="1466"/>
      <c r="O46" s="1466"/>
      <c r="P46" s="1466"/>
      <c r="Q46" s="1466"/>
      <c r="R46" s="1466"/>
    </row>
    <row r="47" spans="2:18" ht="5.25" hidden="1" customHeight="1">
      <c r="B47" s="543"/>
      <c r="C47" s="535"/>
      <c r="D47" s="535"/>
      <c r="E47" s="535"/>
      <c r="F47" s="535"/>
      <c r="G47" s="535"/>
      <c r="H47" s="535"/>
      <c r="I47" s="535"/>
      <c r="J47" s="535"/>
      <c r="K47" s="535"/>
      <c r="L47" s="535"/>
      <c r="M47" s="535"/>
      <c r="N47" s="535"/>
      <c r="O47" s="535"/>
      <c r="P47" s="535"/>
      <c r="Q47" s="535"/>
      <c r="R47" s="535"/>
    </row>
    <row r="48" spans="2:18" ht="30.75" hidden="1" customHeight="1">
      <c r="B48" s="543"/>
      <c r="C48" s="545" t="s">
        <v>1064</v>
      </c>
      <c r="D48" s="546"/>
      <c r="E48" s="1499" t="s">
        <v>1065</v>
      </c>
      <c r="F48" s="1499"/>
      <c r="G48" s="1499"/>
      <c r="H48" s="1499"/>
      <c r="I48" s="1499"/>
      <c r="J48" s="1499"/>
      <c r="K48" s="1499"/>
      <c r="L48" s="1499"/>
      <c r="M48" s="1499"/>
      <c r="N48" s="1499"/>
      <c r="O48" s="1499"/>
      <c r="P48" s="1499"/>
      <c r="Q48" s="1499"/>
      <c r="R48" s="1499"/>
    </row>
    <row r="49" spans="1:18" hidden="1">
      <c r="B49" s="543"/>
      <c r="C49" s="547" t="s">
        <v>1066</v>
      </c>
      <c r="D49" s="548"/>
      <c r="E49" s="548" t="s">
        <v>1067</v>
      </c>
      <c r="F49" s="546"/>
      <c r="G49" s="546"/>
      <c r="H49" s="546"/>
      <c r="I49" s="546"/>
      <c r="J49" s="546"/>
      <c r="K49" s="546"/>
      <c r="L49" s="546"/>
      <c r="M49" s="546"/>
      <c r="N49" s="546"/>
      <c r="O49" s="546"/>
      <c r="P49" s="546"/>
      <c r="Q49" s="546"/>
      <c r="R49" s="546"/>
    </row>
    <row r="50" spans="1:18" ht="16.5" hidden="1" customHeight="1">
      <c r="B50" s="543"/>
      <c r="C50" s="546"/>
      <c r="D50" s="546"/>
      <c r="E50" s="546"/>
      <c r="F50" s="546"/>
      <c r="G50" s="546"/>
      <c r="H50" s="546"/>
      <c r="I50" s="546"/>
      <c r="J50" s="546"/>
      <c r="K50" s="546"/>
      <c r="L50" s="546"/>
      <c r="M50" s="546"/>
      <c r="N50" s="546"/>
      <c r="O50" s="546"/>
      <c r="P50" s="546"/>
      <c r="Q50" s="546"/>
      <c r="R50" s="546"/>
    </row>
    <row r="51" spans="1:18" hidden="1">
      <c r="C51" s="1487" t="s">
        <v>1068</v>
      </c>
      <c r="D51" s="1487"/>
      <c r="E51" s="1487"/>
      <c r="F51" s="1487"/>
      <c r="G51" s="1487"/>
      <c r="H51" s="1487"/>
      <c r="I51" s="1487"/>
      <c r="J51" s="1487"/>
      <c r="K51" s="1487"/>
      <c r="L51" s="1487"/>
      <c r="M51" s="1487"/>
      <c r="N51" s="1487"/>
      <c r="O51" s="1487"/>
      <c r="P51" s="1487"/>
      <c r="Q51" s="1487"/>
      <c r="R51" s="1487"/>
    </row>
    <row r="52" spans="1:18" ht="20.25" hidden="1" customHeight="1">
      <c r="A52" s="526">
        <f>A25+1</f>
        <v>3</v>
      </c>
      <c r="B52" s="539" t="s">
        <v>1069</v>
      </c>
      <c r="C52" s="546"/>
      <c r="D52" s="546"/>
      <c r="E52" s="546"/>
      <c r="F52" s="546"/>
      <c r="G52" s="546"/>
      <c r="H52" s="546"/>
      <c r="I52" s="546"/>
      <c r="J52" s="546"/>
      <c r="K52" s="546"/>
      <c r="L52" s="546"/>
      <c r="M52" s="546"/>
      <c r="N52" s="546"/>
      <c r="O52" s="546"/>
      <c r="P52" s="546"/>
      <c r="Q52" s="546"/>
      <c r="R52" s="546"/>
    </row>
    <row r="53" spans="1:18" ht="6" hidden="1" customHeight="1">
      <c r="B53" s="549"/>
      <c r="C53" s="539"/>
      <c r="D53" s="539"/>
      <c r="E53" s="539"/>
      <c r="F53" s="538"/>
      <c r="G53" s="538"/>
    </row>
    <row r="54" spans="1:18" ht="33" hidden="1" customHeight="1">
      <c r="B54" s="1466" t="s">
        <v>1070</v>
      </c>
      <c r="C54" s="1466"/>
      <c r="D54" s="1466"/>
      <c r="E54" s="1466"/>
      <c r="F54" s="1466"/>
      <c r="G54" s="1466"/>
      <c r="H54" s="1466"/>
      <c r="I54" s="1466"/>
      <c r="J54" s="1466"/>
      <c r="K54" s="1466"/>
      <c r="L54" s="1466"/>
      <c r="M54" s="1466"/>
      <c r="N54" s="1466"/>
      <c r="O54" s="1466"/>
      <c r="P54" s="1466"/>
      <c r="Q54" s="1466"/>
      <c r="R54" s="1466"/>
    </row>
    <row r="55" spans="1:18" ht="6.75" hidden="1" customHeight="1">
      <c r="B55" s="538"/>
      <c r="C55" s="550"/>
      <c r="D55" s="550"/>
      <c r="E55" s="539"/>
      <c r="F55" s="538"/>
      <c r="G55" s="538"/>
    </row>
    <row r="56" spans="1:18" ht="15.75" hidden="1" customHeight="1">
      <c r="B56" s="526">
        <f>A52+0.1</f>
        <v>3.1</v>
      </c>
      <c r="C56" s="529" t="s">
        <v>1019</v>
      </c>
      <c r="E56" s="532"/>
      <c r="F56" s="532"/>
      <c r="G56" s="532"/>
      <c r="H56" s="532"/>
      <c r="I56" s="532"/>
      <c r="J56" s="532"/>
      <c r="K56" s="532"/>
      <c r="L56" s="532"/>
      <c r="M56" s="532"/>
      <c r="N56" s="532"/>
      <c r="O56" s="532"/>
      <c r="P56" s="532"/>
      <c r="Q56" s="532"/>
      <c r="R56" s="532"/>
    </row>
    <row r="57" spans="1:18" ht="5.25" hidden="1" customHeight="1">
      <c r="C57" s="538"/>
      <c r="D57" s="538"/>
      <c r="E57" s="538"/>
      <c r="F57" s="538"/>
      <c r="G57" s="538"/>
      <c r="H57" s="555"/>
      <c r="I57" s="555"/>
      <c r="J57" s="555"/>
      <c r="K57" s="555"/>
      <c r="L57" s="555"/>
      <c r="M57" s="555"/>
      <c r="N57" s="555"/>
      <c r="O57" s="555"/>
      <c r="P57" s="555"/>
      <c r="Q57" s="555"/>
      <c r="R57" s="559"/>
    </row>
    <row r="58" spans="1:18" ht="15.75" hidden="1" customHeight="1">
      <c r="B58" s="538"/>
      <c r="C58" s="551" t="s">
        <v>1193</v>
      </c>
      <c r="E58" s="539"/>
      <c r="F58" s="538"/>
      <c r="G58" s="538"/>
      <c r="H58" s="555"/>
      <c r="I58" s="555"/>
      <c r="J58" s="555"/>
      <c r="K58" s="555"/>
      <c r="L58" s="555"/>
      <c r="M58" s="555"/>
      <c r="N58" s="555"/>
      <c r="O58" s="555"/>
      <c r="P58" s="555"/>
      <c r="Q58" s="555"/>
      <c r="R58" s="559"/>
    </row>
    <row r="59" spans="1:18" ht="7.5" hidden="1" customHeight="1">
      <c r="B59" s="538"/>
      <c r="C59" s="550"/>
      <c r="D59" s="550"/>
      <c r="E59" s="539"/>
      <c r="F59" s="538"/>
      <c r="G59" s="538"/>
      <c r="H59" s="555"/>
      <c r="I59" s="555"/>
      <c r="J59" s="555"/>
      <c r="K59" s="555"/>
      <c r="L59" s="555"/>
      <c r="M59" s="555"/>
      <c r="N59" s="555"/>
      <c r="O59" s="555"/>
      <c r="P59" s="555"/>
      <c r="Q59" s="555"/>
      <c r="R59" s="559"/>
    </row>
    <row r="60" spans="1:18" ht="51.75" hidden="1" customHeight="1">
      <c r="B60" s="552"/>
      <c r="C60" s="1466" t="s">
        <v>1194</v>
      </c>
      <c r="D60" s="1466"/>
      <c r="E60" s="1466"/>
      <c r="F60" s="1466"/>
      <c r="G60" s="1466"/>
      <c r="H60" s="1466"/>
      <c r="I60" s="1466"/>
      <c r="J60" s="1466"/>
      <c r="K60" s="1466"/>
      <c r="L60" s="1466"/>
      <c r="M60" s="1466"/>
      <c r="N60" s="1466"/>
      <c r="O60" s="1466"/>
      <c r="P60" s="1466"/>
      <c r="Q60" s="1466"/>
      <c r="R60" s="1466"/>
    </row>
    <row r="61" spans="1:18" ht="7.5" hidden="1" customHeight="1">
      <c r="B61" s="552"/>
      <c r="C61" s="551"/>
      <c r="D61" s="535"/>
      <c r="E61" s="535"/>
      <c r="F61" s="535"/>
      <c r="G61" s="535"/>
      <c r="H61" s="535"/>
      <c r="I61" s="535"/>
      <c r="J61" s="535"/>
      <c r="K61" s="535"/>
      <c r="L61" s="535"/>
      <c r="M61" s="535"/>
      <c r="N61" s="535"/>
      <c r="O61" s="535"/>
      <c r="P61" s="535"/>
      <c r="Q61" s="535"/>
      <c r="R61" s="535"/>
    </row>
    <row r="62" spans="1:18" ht="18" hidden="1" customHeight="1">
      <c r="B62" s="552"/>
      <c r="C62" s="551" t="s">
        <v>1195</v>
      </c>
      <c r="D62" s="553"/>
      <c r="E62" s="553"/>
      <c r="F62" s="553"/>
      <c r="G62" s="553"/>
      <c r="H62" s="553"/>
      <c r="I62" s="553"/>
      <c r="K62" s="532"/>
      <c r="L62" s="532"/>
      <c r="M62" s="532"/>
      <c r="N62" s="532"/>
      <c r="O62" s="532"/>
      <c r="P62" s="556">
        <v>91381500</v>
      </c>
      <c r="Q62" s="532"/>
      <c r="R62" s="532"/>
    </row>
    <row r="63" spans="1:18" ht="6.75" hidden="1" customHeight="1">
      <c r="B63" s="552"/>
      <c r="C63" s="535"/>
      <c r="D63" s="535"/>
      <c r="E63" s="535"/>
      <c r="F63" s="535"/>
      <c r="G63" s="535"/>
      <c r="H63" s="535"/>
      <c r="I63" s="535"/>
      <c r="J63" s="535"/>
      <c r="K63" s="535"/>
      <c r="L63" s="535"/>
      <c r="M63" s="535"/>
      <c r="N63" s="556" t="s">
        <v>1023</v>
      </c>
      <c r="O63" s="535"/>
      <c r="P63" s="535"/>
      <c r="Q63" s="535"/>
      <c r="R63" s="535"/>
    </row>
    <row r="64" spans="1:18" ht="32.15" hidden="1" customHeight="1">
      <c r="B64" s="552"/>
      <c r="C64" s="1496" t="s">
        <v>1196</v>
      </c>
      <c r="D64" s="1496"/>
      <c r="E64" s="1496"/>
      <c r="F64" s="1496"/>
      <c r="G64" s="1496"/>
      <c r="H64" s="1496"/>
      <c r="I64" s="1496"/>
      <c r="J64" s="1496"/>
      <c r="K64" s="1496"/>
      <c r="L64" s="1496"/>
      <c r="M64" s="1496"/>
      <c r="N64" s="1496"/>
      <c r="O64" s="1496"/>
      <c r="P64" s="1496"/>
      <c r="Q64" s="1496"/>
      <c r="R64" s="1496"/>
    </row>
    <row r="65" spans="2:18" ht="20.25" hidden="1" customHeight="1">
      <c r="B65" s="552"/>
      <c r="C65" s="1497" t="s">
        <v>1071</v>
      </c>
      <c r="D65" s="1497"/>
      <c r="E65" s="1497"/>
      <c r="F65" s="1497"/>
      <c r="G65" s="1497"/>
      <c r="H65" s="1497"/>
      <c r="I65" s="1497"/>
      <c r="J65" s="1497"/>
      <c r="K65" s="1497"/>
      <c r="L65" s="1497"/>
      <c r="M65" s="1497"/>
      <c r="N65" s="1497"/>
      <c r="O65" s="1497"/>
      <c r="P65" s="1497"/>
      <c r="Q65" s="1497"/>
      <c r="R65" s="1497"/>
    </row>
    <row r="66" spans="2:18" ht="5.25" hidden="1" customHeight="1">
      <c r="B66" s="552"/>
      <c r="C66" s="560"/>
      <c r="D66" s="560"/>
      <c r="E66" s="560"/>
      <c r="F66" s="560"/>
      <c r="G66" s="560"/>
      <c r="H66" s="560"/>
      <c r="I66" s="560"/>
      <c r="J66" s="560"/>
      <c r="K66" s="560"/>
      <c r="L66" s="560"/>
      <c r="M66" s="560"/>
      <c r="N66" s="560"/>
      <c r="O66" s="560"/>
      <c r="P66" s="560"/>
      <c r="Q66" s="560"/>
      <c r="R66" s="560"/>
    </row>
    <row r="67" spans="2:18" ht="49.5" hidden="1" customHeight="1">
      <c r="B67" s="552"/>
      <c r="C67" s="1497" t="s">
        <v>1072</v>
      </c>
      <c r="D67" s="1497"/>
      <c r="E67" s="1497"/>
      <c r="F67" s="1497"/>
      <c r="G67" s="1497"/>
      <c r="H67" s="1497"/>
      <c r="I67" s="1497"/>
      <c r="J67" s="1497"/>
      <c r="K67" s="1497"/>
      <c r="L67" s="1497"/>
      <c r="M67" s="1497"/>
      <c r="N67" s="1497"/>
      <c r="O67" s="1497"/>
      <c r="P67" s="1497"/>
      <c r="Q67" s="1497"/>
      <c r="R67" s="1497"/>
    </row>
    <row r="68" spans="2:18" ht="12" hidden="1" customHeight="1">
      <c r="B68" s="552"/>
      <c r="C68" s="561"/>
      <c r="D68" s="561"/>
      <c r="E68" s="561"/>
      <c r="F68" s="561"/>
      <c r="G68" s="561"/>
      <c r="H68" s="561"/>
      <c r="I68" s="561"/>
      <c r="J68" s="561"/>
      <c r="K68" s="561"/>
      <c r="L68" s="561"/>
      <c r="M68" s="561"/>
      <c r="N68" s="561"/>
      <c r="O68" s="561"/>
      <c r="P68" s="561"/>
      <c r="Q68" s="561"/>
      <c r="R68" s="561"/>
    </row>
    <row r="69" spans="2:18" ht="21.75" hidden="1" customHeight="1">
      <c r="B69" s="552"/>
      <c r="C69" s="1497" t="s">
        <v>1073</v>
      </c>
      <c r="D69" s="1497"/>
      <c r="E69" s="1497"/>
      <c r="F69" s="1497"/>
      <c r="G69" s="1497"/>
      <c r="H69" s="1497"/>
      <c r="I69" s="1497"/>
      <c r="J69" s="1497"/>
      <c r="K69" s="1497"/>
      <c r="L69" s="1497"/>
      <c r="M69" s="1497"/>
      <c r="N69" s="1497"/>
      <c r="O69" s="1497"/>
      <c r="P69" s="1497"/>
      <c r="Q69" s="1497"/>
      <c r="R69" s="1497"/>
    </row>
    <row r="70" spans="2:18" ht="33.75" hidden="1" customHeight="1">
      <c r="B70" s="552"/>
      <c r="C70" s="1497" t="s">
        <v>1074</v>
      </c>
      <c r="D70" s="1497"/>
      <c r="E70" s="1497"/>
      <c r="F70" s="1497"/>
      <c r="G70" s="1497"/>
      <c r="H70" s="1497"/>
      <c r="I70" s="1497"/>
      <c r="J70" s="1497"/>
      <c r="K70" s="1497"/>
      <c r="L70" s="1497"/>
      <c r="M70" s="1497"/>
      <c r="N70" s="1497"/>
      <c r="O70" s="1497"/>
      <c r="P70" s="1497"/>
      <c r="Q70" s="1497"/>
      <c r="R70" s="1497"/>
    </row>
    <row r="71" spans="2:18" ht="41.25" hidden="1" customHeight="1">
      <c r="B71" s="552"/>
      <c r="C71" s="1497" t="s">
        <v>1075</v>
      </c>
      <c r="D71" s="1497"/>
      <c r="E71" s="1497"/>
      <c r="F71" s="1497"/>
      <c r="G71" s="1497"/>
      <c r="H71" s="1497"/>
      <c r="I71" s="1497"/>
      <c r="J71" s="1497"/>
      <c r="K71" s="1497"/>
      <c r="L71" s="1497"/>
      <c r="M71" s="1497"/>
      <c r="N71" s="1497"/>
      <c r="O71" s="1497"/>
      <c r="P71" s="1497"/>
      <c r="Q71" s="1497"/>
      <c r="R71" s="1497"/>
    </row>
    <row r="72" spans="2:18" ht="2.25" hidden="1" customHeight="1">
      <c r="B72" s="552"/>
      <c r="C72" s="532"/>
      <c r="D72" s="536"/>
      <c r="E72" s="536"/>
      <c r="F72" s="536"/>
      <c r="G72" s="536"/>
      <c r="H72" s="536"/>
      <c r="I72" s="536"/>
      <c r="J72" s="536"/>
      <c r="K72" s="536"/>
      <c r="L72" s="536"/>
      <c r="M72" s="536"/>
      <c r="N72" s="556">
        <v>500000</v>
      </c>
      <c r="O72" s="536"/>
      <c r="P72" s="536"/>
      <c r="Q72" s="536"/>
      <c r="R72" s="536"/>
    </row>
    <row r="73" spans="2:18" ht="18.75" hidden="1" customHeight="1">
      <c r="B73" s="526">
        <f>B56+0.1</f>
        <v>3.2</v>
      </c>
      <c r="C73" s="539" t="s">
        <v>1076</v>
      </c>
      <c r="E73" s="536"/>
      <c r="F73" s="536"/>
      <c r="G73" s="536"/>
      <c r="H73" s="536"/>
      <c r="I73" s="536"/>
      <c r="J73" s="536"/>
      <c r="K73" s="536"/>
      <c r="L73" s="536"/>
      <c r="M73" s="536"/>
      <c r="N73" s="556">
        <v>800000</v>
      </c>
      <c r="O73" s="536"/>
      <c r="P73" s="536"/>
      <c r="Q73" s="536"/>
      <c r="R73" s="536"/>
    </row>
    <row r="74" spans="2:18" ht="3.75" hidden="1" customHeight="1">
      <c r="B74" s="552"/>
      <c r="C74" s="526"/>
      <c r="D74" s="539"/>
      <c r="E74" s="536"/>
      <c r="F74" s="536"/>
      <c r="G74" s="536"/>
      <c r="H74" s="536"/>
      <c r="I74" s="536"/>
      <c r="J74" s="536"/>
      <c r="K74" s="536"/>
      <c r="L74" s="536"/>
      <c r="M74" s="536"/>
      <c r="N74" s="556">
        <v>709300</v>
      </c>
      <c r="O74" s="536"/>
      <c r="P74" s="536"/>
      <c r="Q74" s="536"/>
      <c r="R74" s="536"/>
    </row>
    <row r="75" spans="2:18" ht="33.75" hidden="1" customHeight="1">
      <c r="B75" s="552"/>
      <c r="C75" s="1466" t="s">
        <v>1197</v>
      </c>
      <c r="D75" s="1466"/>
      <c r="E75" s="1466"/>
      <c r="F75" s="1466"/>
      <c r="G75" s="1466"/>
      <c r="H75" s="1466"/>
      <c r="I75" s="1466"/>
      <c r="J75" s="1466"/>
      <c r="K75" s="1466"/>
      <c r="L75" s="1466"/>
      <c r="M75" s="1466"/>
      <c r="N75" s="1466"/>
      <c r="O75" s="1466"/>
      <c r="P75" s="1466"/>
      <c r="Q75" s="1466"/>
      <c r="R75" s="1466"/>
    </row>
    <row r="76" spans="2:18" hidden="1">
      <c r="B76" s="552"/>
      <c r="C76" s="532"/>
      <c r="D76" s="536"/>
      <c r="E76" s="536"/>
      <c r="F76" s="536"/>
      <c r="G76" s="536"/>
      <c r="H76" s="536"/>
      <c r="I76" s="536"/>
      <c r="J76" s="536"/>
      <c r="K76" s="536"/>
      <c r="L76" s="536"/>
      <c r="M76" s="536"/>
      <c r="N76" s="536"/>
      <c r="O76" s="536"/>
      <c r="P76" s="536"/>
      <c r="Q76" s="536"/>
      <c r="R76" s="536"/>
    </row>
    <row r="77" spans="2:18" hidden="1">
      <c r="B77" s="526">
        <f>B56+0.1</f>
        <v>3.2</v>
      </c>
      <c r="C77" s="539" t="s">
        <v>1078</v>
      </c>
      <c r="E77" s="535"/>
      <c r="F77" s="535"/>
      <c r="G77" s="535"/>
      <c r="H77" s="535"/>
      <c r="I77" s="535"/>
      <c r="J77" s="535"/>
      <c r="K77" s="535"/>
      <c r="L77" s="535"/>
      <c r="M77" s="535"/>
      <c r="N77" s="535"/>
      <c r="O77" s="535"/>
      <c r="P77" s="535"/>
      <c r="Q77" s="535"/>
      <c r="R77" s="535"/>
    </row>
    <row r="78" spans="2:18" ht="4.5" hidden="1" customHeight="1">
      <c r="B78" s="526"/>
      <c r="C78" s="539"/>
      <c r="D78" s="535"/>
      <c r="E78" s="535"/>
      <c r="F78" s="535"/>
      <c r="G78" s="535"/>
      <c r="H78" s="535"/>
      <c r="I78" s="535"/>
      <c r="J78" s="535"/>
      <c r="K78" s="535"/>
      <c r="L78" s="535"/>
      <c r="M78" s="535"/>
      <c r="N78" s="535"/>
      <c r="O78" s="535"/>
      <c r="P78" s="535"/>
      <c r="Q78" s="535"/>
      <c r="R78" s="535"/>
    </row>
    <row r="79" spans="2:18" ht="4.5" hidden="1" customHeight="1">
      <c r="B79" s="526"/>
      <c r="C79" s="539"/>
      <c r="E79" s="535"/>
      <c r="F79" s="535"/>
      <c r="G79" s="535"/>
      <c r="H79" s="535"/>
      <c r="I79" s="535"/>
      <c r="J79" s="535"/>
      <c r="K79" s="535"/>
      <c r="L79" s="535"/>
      <c r="M79" s="535"/>
      <c r="N79" s="535"/>
      <c r="O79" s="535"/>
      <c r="P79" s="535"/>
      <c r="Q79" s="535"/>
      <c r="R79" s="535"/>
    </row>
    <row r="80" spans="2:18" ht="5.25" hidden="1" customHeight="1">
      <c r="B80" s="526"/>
      <c r="C80" s="539"/>
      <c r="D80" s="562"/>
      <c r="E80" s="535"/>
      <c r="F80" s="535"/>
      <c r="G80" s="535"/>
      <c r="H80" s="535"/>
      <c r="I80" s="535"/>
      <c r="J80" s="535"/>
      <c r="K80" s="535"/>
      <c r="L80" s="535"/>
      <c r="M80" s="535"/>
      <c r="N80" s="535"/>
      <c r="O80" s="535"/>
      <c r="P80" s="535"/>
      <c r="Q80" s="535"/>
      <c r="R80" s="535"/>
    </row>
    <row r="81" spans="2:18" ht="18.75" hidden="1" customHeight="1">
      <c r="B81" s="526"/>
      <c r="C81" s="563" t="s">
        <v>1079</v>
      </c>
      <c r="D81" s="564" t="s">
        <v>1080</v>
      </c>
      <c r="F81" s="532"/>
      <c r="G81" s="532"/>
      <c r="H81" s="532"/>
      <c r="I81" s="532"/>
      <c r="J81" s="532"/>
      <c r="K81" s="532"/>
      <c r="L81" s="532"/>
      <c r="M81" s="532"/>
      <c r="N81" s="532"/>
      <c r="O81" s="532"/>
      <c r="P81" s="532"/>
      <c r="Q81" s="532"/>
      <c r="R81" s="532"/>
    </row>
    <row r="82" spans="2:18" ht="3.75" hidden="1" customHeight="1">
      <c r="B82" s="552"/>
      <c r="C82" s="565"/>
      <c r="E82" s="535"/>
      <c r="F82" s="535"/>
      <c r="G82" s="535"/>
      <c r="H82" s="535"/>
      <c r="I82" s="535"/>
      <c r="J82" s="535"/>
      <c r="K82" s="535"/>
      <c r="L82" s="535"/>
      <c r="M82" s="535"/>
      <c r="N82" s="535"/>
      <c r="O82" s="535"/>
      <c r="P82" s="535"/>
      <c r="Q82" s="535"/>
      <c r="R82" s="535"/>
    </row>
    <row r="83" spans="2:18" ht="48.75" hidden="1" customHeight="1">
      <c r="B83" s="552"/>
      <c r="C83" s="563" t="s">
        <v>1079</v>
      </c>
      <c r="D83" s="1466" t="s">
        <v>1198</v>
      </c>
      <c r="E83" s="1466"/>
      <c r="F83" s="1466"/>
      <c r="G83" s="1466"/>
      <c r="H83" s="1466"/>
      <c r="I83" s="1466"/>
      <c r="J83" s="1466"/>
      <c r="K83" s="1466"/>
      <c r="L83" s="1466"/>
      <c r="M83" s="1466"/>
      <c r="N83" s="1466"/>
      <c r="O83" s="1466"/>
      <c r="P83" s="1466"/>
      <c r="Q83" s="1466"/>
      <c r="R83" s="1466"/>
    </row>
    <row r="84" spans="2:18" ht="3.75" hidden="1" customHeight="1">
      <c r="B84" s="552"/>
      <c r="C84" s="566"/>
      <c r="E84" s="532"/>
      <c r="F84" s="532"/>
      <c r="G84" s="532"/>
      <c r="H84" s="532"/>
      <c r="I84" s="532"/>
      <c r="J84" s="532"/>
      <c r="K84" s="532"/>
      <c r="L84" s="532"/>
      <c r="M84" s="532"/>
      <c r="N84" s="532"/>
      <c r="O84" s="532"/>
      <c r="P84" s="532"/>
      <c r="Q84" s="532"/>
      <c r="R84" s="532"/>
    </row>
    <row r="85" spans="2:18" ht="32.25" hidden="1" customHeight="1">
      <c r="B85" s="552"/>
      <c r="C85" s="563" t="s">
        <v>1079</v>
      </c>
      <c r="D85" s="1466" t="s">
        <v>1199</v>
      </c>
      <c r="E85" s="1466"/>
      <c r="F85" s="1466"/>
      <c r="G85" s="1466"/>
      <c r="H85" s="1466"/>
      <c r="I85" s="1466"/>
      <c r="J85" s="1466"/>
      <c r="K85" s="1466"/>
      <c r="L85" s="1466"/>
      <c r="M85" s="1466"/>
      <c r="N85" s="1466"/>
      <c r="O85" s="1466"/>
      <c r="P85" s="1466"/>
      <c r="Q85" s="1466"/>
      <c r="R85" s="1466"/>
    </row>
    <row r="86" spans="2:18" ht="3.75" hidden="1" customHeight="1">
      <c r="B86" s="552"/>
      <c r="C86" s="566"/>
      <c r="E86" s="535"/>
      <c r="F86" s="535"/>
      <c r="G86" s="535"/>
      <c r="H86" s="535"/>
      <c r="I86" s="535"/>
      <c r="J86" s="535"/>
      <c r="K86" s="535"/>
      <c r="L86" s="535"/>
      <c r="M86" s="535"/>
      <c r="N86" s="535"/>
      <c r="O86" s="535"/>
      <c r="P86" s="535"/>
      <c r="Q86" s="535"/>
      <c r="R86" s="535"/>
    </row>
    <row r="87" spans="2:18" ht="14.25" hidden="1" customHeight="1">
      <c r="B87" s="552"/>
      <c r="C87" s="563" t="s">
        <v>1079</v>
      </c>
      <c r="D87" s="1466" t="s">
        <v>1200</v>
      </c>
      <c r="E87" s="1466"/>
      <c r="F87" s="1466"/>
      <c r="G87" s="1466"/>
      <c r="H87" s="1466"/>
      <c r="I87" s="1466"/>
      <c r="J87" s="1466"/>
      <c r="K87" s="1466"/>
      <c r="L87" s="1466"/>
      <c r="M87" s="1466"/>
      <c r="N87" s="1466"/>
      <c r="O87" s="1466"/>
      <c r="P87" s="1466"/>
      <c r="Q87" s="1466"/>
      <c r="R87" s="1466"/>
    </row>
    <row r="88" spans="2:18" ht="5.25" hidden="1" customHeight="1">
      <c r="B88" s="538"/>
      <c r="C88" s="529"/>
      <c r="E88" s="538"/>
      <c r="F88" s="538"/>
      <c r="G88" s="538"/>
      <c r="R88" s="529"/>
    </row>
    <row r="89" spans="2:18" ht="48.75" hidden="1" customHeight="1">
      <c r="B89" s="538"/>
      <c r="C89" s="552" t="s">
        <v>1079</v>
      </c>
      <c r="D89" s="1466" t="s">
        <v>1201</v>
      </c>
      <c r="E89" s="1466"/>
      <c r="F89" s="1466"/>
      <c r="G89" s="1466"/>
      <c r="H89" s="1466"/>
      <c r="I89" s="1466"/>
      <c r="J89" s="1466"/>
      <c r="K89" s="1466"/>
      <c r="L89" s="1466"/>
      <c r="M89" s="1466"/>
      <c r="N89" s="1466"/>
      <c r="O89" s="1466"/>
      <c r="P89" s="1466"/>
      <c r="Q89" s="1466"/>
      <c r="R89" s="1466"/>
    </row>
    <row r="90" spans="2:18" ht="6" hidden="1" customHeight="1">
      <c r="B90" s="538"/>
      <c r="C90" s="524"/>
      <c r="R90" s="530"/>
    </row>
    <row r="91" spans="2:18" ht="33" hidden="1" customHeight="1">
      <c r="B91" s="538"/>
      <c r="C91" s="552" t="s">
        <v>1079</v>
      </c>
      <c r="D91" s="1466" t="s">
        <v>1086</v>
      </c>
      <c r="E91" s="1466"/>
      <c r="F91" s="1466"/>
      <c r="G91" s="1466"/>
      <c r="H91" s="1466"/>
      <c r="I91" s="1466"/>
      <c r="J91" s="1466"/>
      <c r="K91" s="1466"/>
      <c r="L91" s="1466"/>
      <c r="M91" s="1466"/>
      <c r="N91" s="1466"/>
      <c r="O91" s="1466"/>
      <c r="P91" s="1466"/>
      <c r="Q91" s="1466"/>
      <c r="R91" s="1466"/>
    </row>
    <row r="92" spans="2:18" ht="9" hidden="1" customHeight="1">
      <c r="B92" s="538"/>
      <c r="C92" s="524"/>
      <c r="R92" s="530"/>
    </row>
    <row r="93" spans="2:18" ht="32.25" hidden="1" customHeight="1">
      <c r="B93" s="538"/>
      <c r="C93" s="552" t="s">
        <v>1079</v>
      </c>
      <c r="D93" s="1466" t="s">
        <v>1087</v>
      </c>
      <c r="E93" s="1466"/>
      <c r="F93" s="1466"/>
      <c r="G93" s="1466"/>
      <c r="H93" s="1466"/>
      <c r="I93" s="1466"/>
      <c r="J93" s="1466"/>
      <c r="K93" s="1466"/>
      <c r="L93" s="1466"/>
      <c r="M93" s="1466"/>
      <c r="N93" s="1466"/>
      <c r="O93" s="1466"/>
      <c r="P93" s="1466"/>
      <c r="Q93" s="1466"/>
      <c r="R93" s="1466"/>
    </row>
    <row r="94" spans="2:18" ht="11.25" hidden="1" customHeight="1">
      <c r="B94" s="538"/>
      <c r="C94" s="552"/>
      <c r="D94" s="535"/>
      <c r="E94" s="535"/>
      <c r="F94" s="535"/>
      <c r="G94" s="535"/>
      <c r="H94" s="535"/>
      <c r="I94" s="535"/>
      <c r="J94" s="535"/>
      <c r="K94" s="535"/>
      <c r="L94" s="535"/>
      <c r="M94" s="535"/>
      <c r="N94" s="535"/>
      <c r="O94" s="535"/>
      <c r="P94" s="535"/>
      <c r="Q94" s="535"/>
      <c r="R94" s="535"/>
    </row>
    <row r="95" spans="2:18" ht="19.5" hidden="1" customHeight="1">
      <c r="B95" s="567">
        <f>B77+0.1</f>
        <v>3.3</v>
      </c>
      <c r="C95" s="562" t="s">
        <v>1088</v>
      </c>
      <c r="D95" s="535"/>
      <c r="E95" s="535"/>
      <c r="F95" s="535"/>
      <c r="G95" s="535"/>
      <c r="H95" s="535"/>
      <c r="I95" s="535"/>
      <c r="J95" s="535"/>
      <c r="K95" s="535"/>
      <c r="L95" s="535"/>
      <c r="M95" s="535"/>
      <c r="N95" s="535"/>
      <c r="O95" s="535"/>
      <c r="P95" s="535"/>
      <c r="Q95" s="535"/>
      <c r="R95" s="535"/>
    </row>
    <row r="96" spans="2:18" ht="3" hidden="1" customHeight="1">
      <c r="B96" s="538"/>
      <c r="C96" s="552"/>
      <c r="D96" s="535"/>
      <c r="E96" s="535"/>
      <c r="F96" s="535"/>
      <c r="G96" s="535"/>
      <c r="H96" s="535"/>
      <c r="I96" s="535"/>
      <c r="J96" s="535"/>
      <c r="K96" s="535"/>
      <c r="L96" s="535"/>
      <c r="M96" s="535"/>
      <c r="N96" s="535"/>
      <c r="O96" s="535"/>
      <c r="P96" s="535"/>
      <c r="Q96" s="535"/>
      <c r="R96" s="535"/>
    </row>
    <row r="97" spans="2:18" ht="18.75" hidden="1" customHeight="1">
      <c r="B97" s="538"/>
      <c r="C97" s="568" t="s">
        <v>1202</v>
      </c>
      <c r="D97" s="535"/>
      <c r="E97" s="535"/>
      <c r="F97" s="535"/>
      <c r="G97" s="535"/>
      <c r="H97" s="535"/>
      <c r="I97" s="535"/>
      <c r="J97" s="535"/>
      <c r="K97" s="535"/>
      <c r="L97" s="535"/>
      <c r="M97" s="535"/>
      <c r="N97" s="535"/>
      <c r="O97" s="535"/>
      <c r="P97" s="535"/>
      <c r="Q97" s="535"/>
      <c r="R97" s="535"/>
    </row>
    <row r="98" spans="2:18" ht="11.25" hidden="1" customHeight="1">
      <c r="B98" s="538"/>
      <c r="C98" s="552"/>
      <c r="D98" s="535"/>
      <c r="E98" s="535"/>
      <c r="F98" s="535"/>
      <c r="G98" s="535"/>
      <c r="H98" s="535"/>
      <c r="I98" s="535"/>
      <c r="J98" s="535"/>
      <c r="K98" s="535"/>
      <c r="L98" s="535"/>
      <c r="M98" s="535"/>
      <c r="N98" s="535"/>
      <c r="O98" s="535"/>
      <c r="P98" s="535"/>
      <c r="Q98" s="535"/>
      <c r="R98" s="535"/>
    </row>
    <row r="99" spans="2:18" ht="15.75" hidden="1" customHeight="1">
      <c r="B99" s="538"/>
      <c r="C99" s="1468" t="s">
        <v>1089</v>
      </c>
      <c r="D99" s="1468"/>
      <c r="E99" s="1468"/>
      <c r="F99" s="1468"/>
      <c r="G99" s="1468"/>
      <c r="H99" s="1468"/>
      <c r="I99" s="1468"/>
      <c r="J99" s="1468"/>
      <c r="K99" s="1468"/>
      <c r="L99" s="1468"/>
      <c r="M99" s="1468"/>
      <c r="N99" s="1468"/>
      <c r="O99" s="1468"/>
      <c r="P99" s="1468"/>
      <c r="Q99" s="1468"/>
      <c r="R99" s="1468"/>
    </row>
    <row r="100" spans="2:18" ht="21" hidden="1" customHeight="1">
      <c r="B100" s="538"/>
      <c r="C100" s="1468"/>
      <c r="D100" s="1468"/>
      <c r="E100" s="1468"/>
      <c r="F100" s="1468"/>
      <c r="G100" s="1468"/>
      <c r="H100" s="1468"/>
      <c r="I100" s="1468"/>
      <c r="J100" s="1468"/>
      <c r="K100" s="1468"/>
      <c r="L100" s="1468"/>
      <c r="M100" s="1468"/>
      <c r="N100" s="1468"/>
      <c r="O100" s="1468"/>
      <c r="P100" s="1468"/>
      <c r="Q100" s="1468"/>
      <c r="R100" s="1468"/>
    </row>
    <row r="101" spans="2:18" ht="16" hidden="1" customHeight="1">
      <c r="B101" s="538"/>
      <c r="C101" s="1467" t="s">
        <v>1203</v>
      </c>
      <c r="D101" s="1467"/>
      <c r="E101" s="1467"/>
      <c r="F101" s="1467"/>
      <c r="G101" s="1467"/>
      <c r="H101" s="1467"/>
      <c r="I101" s="1467"/>
      <c r="J101" s="1467"/>
      <c r="K101" s="1467"/>
      <c r="L101" s="1467"/>
      <c r="M101" s="1467"/>
      <c r="N101" s="1467"/>
      <c r="O101" s="1467"/>
      <c r="P101" s="1467"/>
      <c r="Q101" s="1467"/>
      <c r="R101" s="1467"/>
    </row>
    <row r="102" spans="2:18" ht="16" hidden="1" customHeight="1">
      <c r="B102" s="538"/>
      <c r="C102" s="1467"/>
      <c r="D102" s="1467"/>
      <c r="E102" s="1467"/>
      <c r="F102" s="1467"/>
      <c r="G102" s="1467"/>
      <c r="H102" s="1467"/>
      <c r="I102" s="1467"/>
      <c r="J102" s="1467"/>
      <c r="K102" s="1467"/>
      <c r="L102" s="1467"/>
      <c r="M102" s="1467"/>
      <c r="N102" s="1467"/>
      <c r="O102" s="1467"/>
      <c r="P102" s="1467"/>
      <c r="Q102" s="1467"/>
      <c r="R102" s="1467"/>
    </row>
    <row r="103" spans="2:18" ht="16" hidden="1" customHeight="1">
      <c r="B103" s="538"/>
      <c r="C103" s="1467"/>
      <c r="D103" s="1467"/>
      <c r="E103" s="1467"/>
      <c r="F103" s="1467"/>
      <c r="G103" s="1467"/>
      <c r="H103" s="1467"/>
      <c r="I103" s="1467"/>
      <c r="J103" s="1467"/>
      <c r="K103" s="1467"/>
      <c r="L103" s="1467"/>
      <c r="M103" s="1467"/>
      <c r="N103" s="1467"/>
      <c r="O103" s="1467"/>
      <c r="P103" s="1467"/>
      <c r="Q103" s="1467"/>
      <c r="R103" s="1467"/>
    </row>
    <row r="104" spans="2:18" ht="4" hidden="1" customHeight="1">
      <c r="B104" s="538"/>
      <c r="C104" s="531"/>
      <c r="D104" s="531"/>
      <c r="E104" s="531"/>
      <c r="F104" s="531"/>
      <c r="G104" s="531"/>
      <c r="H104" s="531"/>
      <c r="I104" s="531"/>
      <c r="J104" s="531"/>
      <c r="K104" s="531"/>
      <c r="L104" s="531"/>
      <c r="M104" s="531"/>
      <c r="N104" s="531"/>
      <c r="O104" s="531"/>
      <c r="P104" s="531"/>
      <c r="Q104" s="531"/>
      <c r="R104" s="531"/>
    </row>
    <row r="105" spans="2:18" ht="32.15" hidden="1" customHeight="1">
      <c r="B105" s="538"/>
      <c r="C105" s="1467" t="s">
        <v>1204</v>
      </c>
      <c r="D105" s="1467"/>
      <c r="E105" s="1467"/>
      <c r="F105" s="1467"/>
      <c r="G105" s="1467"/>
      <c r="H105" s="1467"/>
      <c r="I105" s="1467"/>
      <c r="J105" s="1467"/>
      <c r="K105" s="1467"/>
      <c r="L105" s="1467"/>
      <c r="M105" s="1467"/>
      <c r="N105" s="1467"/>
      <c r="O105" s="1467"/>
      <c r="P105" s="1467"/>
      <c r="Q105" s="1467"/>
      <c r="R105" s="1467"/>
    </row>
    <row r="106" spans="2:18" ht="11.25" hidden="1" customHeight="1">
      <c r="B106" s="538"/>
      <c r="C106" s="552"/>
      <c r="D106" s="535"/>
      <c r="E106" s="535"/>
      <c r="F106" s="535"/>
      <c r="G106" s="535"/>
      <c r="H106" s="535"/>
      <c r="I106" s="535"/>
      <c r="J106" s="535"/>
      <c r="K106" s="535"/>
      <c r="L106" s="535"/>
      <c r="M106" s="535"/>
      <c r="N106" s="535"/>
      <c r="O106" s="535"/>
      <c r="P106" s="535"/>
      <c r="Q106" s="535"/>
      <c r="R106" s="535"/>
    </row>
    <row r="107" spans="2:18" ht="16.5" hidden="1" customHeight="1">
      <c r="B107" s="538"/>
      <c r="C107" s="569" t="s">
        <v>1205</v>
      </c>
      <c r="D107" s="535"/>
      <c r="E107" s="535"/>
      <c r="F107" s="535"/>
      <c r="G107" s="535"/>
      <c r="H107" s="535"/>
      <c r="I107" s="535"/>
      <c r="J107" s="535"/>
      <c r="K107" s="535"/>
      <c r="L107" s="535"/>
      <c r="M107" s="535"/>
      <c r="N107" s="535"/>
      <c r="O107" s="535"/>
      <c r="P107" s="535"/>
      <c r="Q107" s="535"/>
      <c r="R107" s="535"/>
    </row>
    <row r="108" spans="2:18" ht="6.75" hidden="1" customHeight="1">
      <c r="B108" s="538"/>
      <c r="C108" s="552"/>
      <c r="D108" s="535"/>
      <c r="E108" s="535"/>
      <c r="F108" s="535"/>
      <c r="G108" s="535"/>
      <c r="H108" s="535"/>
      <c r="I108" s="535"/>
      <c r="J108" s="535"/>
      <c r="K108" s="535"/>
      <c r="L108" s="535"/>
      <c r="M108" s="535"/>
      <c r="N108" s="535"/>
      <c r="O108" s="535"/>
      <c r="P108" s="535"/>
      <c r="Q108" s="535"/>
      <c r="R108" s="535"/>
    </row>
    <row r="109" spans="2:18" ht="11.25" hidden="1" customHeight="1">
      <c r="B109" s="538"/>
      <c r="C109" s="1469" t="s">
        <v>1206</v>
      </c>
      <c r="D109" s="1469"/>
      <c r="E109" s="1469"/>
      <c r="F109" s="1469"/>
      <c r="G109" s="1469"/>
      <c r="H109" s="1469"/>
      <c r="I109" s="1469"/>
      <c r="J109" s="1469"/>
      <c r="K109" s="1469"/>
      <c r="L109" s="1469"/>
      <c r="M109" s="1469"/>
      <c r="N109" s="1469"/>
      <c r="O109" s="1469"/>
      <c r="P109" s="1469"/>
      <c r="Q109" s="1469"/>
      <c r="R109" s="1469"/>
    </row>
    <row r="110" spans="2:18" ht="25.5" hidden="1" customHeight="1">
      <c r="B110" s="538"/>
      <c r="C110" s="1469"/>
      <c r="D110" s="1469"/>
      <c r="E110" s="1469"/>
      <c r="F110" s="1469"/>
      <c r="G110" s="1469"/>
      <c r="H110" s="1469"/>
      <c r="I110" s="1469"/>
      <c r="J110" s="1469"/>
      <c r="K110" s="1469"/>
      <c r="L110" s="1469"/>
      <c r="M110" s="1469"/>
      <c r="N110" s="1469"/>
      <c r="O110" s="1469"/>
      <c r="P110" s="1469"/>
      <c r="Q110" s="1469"/>
      <c r="R110" s="1469"/>
    </row>
    <row r="111" spans="2:18" ht="32.15" hidden="1" customHeight="1">
      <c r="B111" s="538"/>
      <c r="C111" s="1496" t="s">
        <v>1207</v>
      </c>
      <c r="D111" s="1496"/>
      <c r="E111" s="1496"/>
      <c r="F111" s="1496"/>
      <c r="G111" s="1496"/>
      <c r="H111" s="1496"/>
      <c r="I111" s="1496"/>
      <c r="J111" s="1496"/>
      <c r="K111" s="1496"/>
      <c r="L111" s="1496"/>
      <c r="M111" s="1496"/>
      <c r="N111" s="1496"/>
      <c r="O111" s="1496"/>
      <c r="P111" s="1496"/>
      <c r="Q111" s="1496"/>
      <c r="R111" s="1496"/>
    </row>
    <row r="112" spans="2:18" ht="11.25" hidden="1" customHeight="1">
      <c r="B112" s="538"/>
      <c r="C112" s="552" t="s">
        <v>1042</v>
      </c>
      <c r="D112" s="535" t="s">
        <v>1042</v>
      </c>
      <c r="E112" s="535"/>
      <c r="F112" s="535"/>
      <c r="G112" s="535"/>
      <c r="H112" s="535"/>
      <c r="I112" s="535"/>
      <c r="J112" s="535"/>
      <c r="K112" s="535"/>
      <c r="L112" s="535"/>
      <c r="M112" s="535"/>
      <c r="N112" s="535"/>
      <c r="O112" s="535"/>
      <c r="P112" s="535"/>
      <c r="Q112" s="535"/>
      <c r="R112" s="535"/>
    </row>
    <row r="113" spans="1:18" ht="11.25" hidden="1" customHeight="1">
      <c r="B113" s="538"/>
      <c r="C113" s="552"/>
      <c r="D113" s="535"/>
      <c r="E113" s="535"/>
      <c r="F113" s="535"/>
      <c r="G113" s="535"/>
      <c r="H113" s="535"/>
      <c r="I113" s="535"/>
      <c r="J113" s="535"/>
      <c r="K113" s="535"/>
      <c r="L113" s="535"/>
      <c r="M113" s="535"/>
      <c r="N113" s="535"/>
      <c r="O113" s="535"/>
      <c r="P113" s="535"/>
      <c r="Q113" s="535"/>
      <c r="R113" s="535"/>
    </row>
    <row r="114" spans="1:18" ht="15.75" hidden="1" customHeight="1">
      <c r="B114" s="526">
        <f>B95+0.1</f>
        <v>3.4</v>
      </c>
      <c r="C114" s="529" t="s">
        <v>1208</v>
      </c>
      <c r="D114" s="529"/>
      <c r="E114" s="529"/>
      <c r="F114" s="529"/>
      <c r="G114" s="529"/>
      <c r="H114" s="521"/>
      <c r="I114" s="521"/>
      <c r="J114" s="521"/>
      <c r="K114" s="521"/>
      <c r="L114" s="521"/>
      <c r="M114" s="521"/>
      <c r="N114" s="521"/>
      <c r="O114" s="521"/>
      <c r="P114" s="521"/>
      <c r="Q114" s="521"/>
      <c r="R114" s="537"/>
    </row>
    <row r="115" spans="1:18" ht="5.25" hidden="1" customHeight="1">
      <c r="B115" s="526"/>
      <c r="C115" s="529"/>
      <c r="D115" s="529"/>
      <c r="E115" s="529"/>
      <c r="F115" s="529"/>
      <c r="G115" s="529"/>
      <c r="H115" s="521"/>
      <c r="I115" s="521"/>
      <c r="J115" s="521"/>
      <c r="K115" s="521"/>
      <c r="L115" s="521"/>
      <c r="M115" s="521"/>
      <c r="N115" s="521"/>
      <c r="O115" s="521"/>
      <c r="P115" s="521"/>
      <c r="Q115" s="521"/>
      <c r="R115" s="537"/>
    </row>
    <row r="116" spans="1:18" ht="32.15" hidden="1" customHeight="1">
      <c r="A116" s="526"/>
      <c r="C116" s="1469" t="s">
        <v>1209</v>
      </c>
      <c r="D116" s="1469"/>
      <c r="E116" s="1469"/>
      <c r="F116" s="1469"/>
      <c r="G116" s="1469"/>
      <c r="H116" s="1469"/>
      <c r="I116" s="1469"/>
      <c r="J116" s="1469"/>
      <c r="K116" s="1469"/>
      <c r="L116" s="1469"/>
      <c r="M116" s="1469"/>
      <c r="N116" s="1469"/>
      <c r="O116" s="1469"/>
      <c r="P116" s="1469"/>
      <c r="Q116" s="1469"/>
      <c r="R116" s="1469"/>
    </row>
    <row r="117" spans="1:18" ht="3.75" hidden="1" customHeight="1">
      <c r="C117" s="570"/>
      <c r="D117" s="570"/>
      <c r="E117" s="570"/>
      <c r="F117" s="570"/>
      <c r="G117" s="570"/>
      <c r="H117" s="570"/>
      <c r="I117" s="570"/>
      <c r="J117" s="570"/>
      <c r="K117" s="570"/>
      <c r="L117" s="570"/>
      <c r="M117" s="570"/>
      <c r="N117" s="570"/>
      <c r="O117" s="570"/>
      <c r="P117" s="570"/>
      <c r="Q117" s="570"/>
      <c r="R117" s="570"/>
    </row>
    <row r="118" spans="1:18" ht="32.15" hidden="1" customHeight="1">
      <c r="C118" s="1466" t="s">
        <v>1210</v>
      </c>
      <c r="D118" s="1466"/>
      <c r="E118" s="1466"/>
      <c r="F118" s="1466"/>
      <c r="G118" s="1466"/>
      <c r="H118" s="1466"/>
      <c r="I118" s="1466"/>
      <c r="J118" s="1466"/>
      <c r="K118" s="1466"/>
      <c r="L118" s="1466"/>
      <c r="M118" s="1466"/>
      <c r="N118" s="1466"/>
      <c r="O118" s="1466"/>
      <c r="P118" s="1466"/>
      <c r="Q118" s="1466"/>
      <c r="R118" s="1466"/>
    </row>
    <row r="119" spans="1:18" ht="4.5" hidden="1" customHeight="1">
      <c r="C119" s="570"/>
      <c r="D119" s="570"/>
      <c r="E119" s="570"/>
      <c r="F119" s="570"/>
      <c r="G119" s="570"/>
      <c r="H119" s="570"/>
      <c r="I119" s="570"/>
      <c r="J119" s="570"/>
      <c r="K119" s="570"/>
      <c r="L119" s="570"/>
      <c r="M119" s="570"/>
      <c r="N119" s="570"/>
      <c r="O119" s="570"/>
      <c r="P119" s="570"/>
      <c r="Q119" s="570"/>
      <c r="R119" s="570"/>
    </row>
    <row r="120" spans="1:18" ht="65.150000000000006" hidden="1" customHeight="1">
      <c r="C120" s="1466" t="s">
        <v>1211</v>
      </c>
      <c r="D120" s="1466"/>
      <c r="E120" s="1466"/>
      <c r="F120" s="1466"/>
      <c r="G120" s="1466"/>
      <c r="H120" s="1466"/>
      <c r="I120" s="1466"/>
      <c r="J120" s="1466"/>
      <c r="K120" s="1466"/>
      <c r="L120" s="1466"/>
      <c r="M120" s="1466"/>
      <c r="N120" s="1466"/>
      <c r="O120" s="1466"/>
      <c r="P120" s="1466"/>
      <c r="Q120" s="1466"/>
      <c r="R120" s="1466"/>
    </row>
    <row r="121" spans="1:18" ht="6" hidden="1" customHeight="1">
      <c r="C121" s="536"/>
      <c r="D121" s="536"/>
      <c r="E121" s="536"/>
      <c r="F121" s="536"/>
      <c r="G121" s="536"/>
      <c r="H121" s="536"/>
      <c r="I121" s="536"/>
      <c r="J121" s="536"/>
      <c r="K121" s="536"/>
      <c r="L121" s="536"/>
      <c r="M121" s="536"/>
      <c r="N121" s="536"/>
      <c r="O121" s="536"/>
      <c r="P121" s="536"/>
      <c r="Q121" s="536"/>
      <c r="R121" s="536"/>
    </row>
    <row r="122" spans="1:18" ht="18" hidden="1" customHeight="1">
      <c r="B122" s="526">
        <f>B114+0.1</f>
        <v>3.5</v>
      </c>
      <c r="C122" s="534" t="s">
        <v>1212</v>
      </c>
      <c r="D122" s="536"/>
      <c r="E122" s="536"/>
      <c r="F122" s="536"/>
      <c r="G122" s="536"/>
      <c r="H122" s="536"/>
      <c r="I122" s="536"/>
      <c r="J122" s="536"/>
      <c r="K122" s="536"/>
      <c r="L122" s="536"/>
      <c r="M122" s="536"/>
      <c r="N122" s="536"/>
      <c r="O122" s="536"/>
      <c r="P122" s="536"/>
      <c r="Q122" s="536"/>
      <c r="R122" s="536"/>
    </row>
    <row r="123" spans="1:18" ht="2.25" hidden="1" customHeight="1">
      <c r="C123" s="536"/>
      <c r="D123" s="536"/>
      <c r="E123" s="536"/>
      <c r="F123" s="536"/>
      <c r="G123" s="536"/>
      <c r="H123" s="536"/>
      <c r="I123" s="536"/>
      <c r="J123" s="536"/>
      <c r="K123" s="536"/>
      <c r="L123" s="536"/>
      <c r="M123" s="536"/>
      <c r="N123" s="536"/>
      <c r="O123" s="536"/>
      <c r="P123" s="536"/>
      <c r="Q123" s="536"/>
      <c r="R123" s="536"/>
    </row>
    <row r="124" spans="1:18" ht="50.15" hidden="1" customHeight="1">
      <c r="C124" s="1466" t="s">
        <v>1213</v>
      </c>
      <c r="D124" s="1466"/>
      <c r="E124" s="1466"/>
      <c r="F124" s="1466"/>
      <c r="G124" s="1466"/>
      <c r="H124" s="1466"/>
      <c r="I124" s="1466"/>
      <c r="J124" s="1466"/>
      <c r="K124" s="1466"/>
      <c r="L124" s="1466"/>
      <c r="M124" s="1466"/>
      <c r="N124" s="1466"/>
      <c r="O124" s="1466"/>
      <c r="P124" s="1466"/>
      <c r="Q124" s="1466"/>
      <c r="R124" s="1466"/>
    </row>
    <row r="125" spans="1:18" ht="3.75" hidden="1" customHeight="1">
      <c r="C125" s="536"/>
      <c r="D125" s="536"/>
      <c r="E125" s="536"/>
      <c r="F125" s="536"/>
      <c r="G125" s="536"/>
      <c r="H125" s="536"/>
      <c r="I125" s="536"/>
      <c r="J125" s="536"/>
      <c r="K125" s="536"/>
      <c r="L125" s="536"/>
      <c r="M125" s="536"/>
      <c r="N125" s="536"/>
      <c r="O125" s="536"/>
      <c r="P125" s="536"/>
      <c r="Q125" s="536"/>
      <c r="R125" s="536"/>
    </row>
    <row r="126" spans="1:18" ht="32.15" hidden="1" customHeight="1">
      <c r="C126" s="1466" t="s">
        <v>1214</v>
      </c>
      <c r="D126" s="1466"/>
      <c r="E126" s="1466"/>
      <c r="F126" s="1466"/>
      <c r="G126" s="1466"/>
      <c r="H126" s="1466"/>
      <c r="I126" s="1466"/>
      <c r="J126" s="1466"/>
      <c r="K126" s="1466"/>
      <c r="L126" s="1466"/>
      <c r="M126" s="1466"/>
      <c r="N126" s="1466"/>
      <c r="O126" s="1466"/>
      <c r="P126" s="1466"/>
      <c r="Q126" s="1466"/>
      <c r="R126" s="1466"/>
    </row>
    <row r="127" spans="1:18" ht="6.75" hidden="1" customHeight="1">
      <c r="C127" s="570"/>
      <c r="D127" s="570"/>
      <c r="E127" s="570"/>
      <c r="F127" s="570"/>
      <c r="G127" s="570"/>
      <c r="H127" s="570"/>
      <c r="I127" s="570"/>
      <c r="J127" s="570"/>
      <c r="K127" s="570"/>
      <c r="L127" s="570"/>
      <c r="M127" s="570"/>
      <c r="N127" s="570"/>
      <c r="O127" s="570"/>
      <c r="P127" s="570"/>
      <c r="Q127" s="570"/>
      <c r="R127" s="570"/>
    </row>
    <row r="128" spans="1:18" ht="15.75" hidden="1" customHeight="1">
      <c r="A128" s="571"/>
      <c r="B128" s="526">
        <f>+B122+0.1</f>
        <v>3.6</v>
      </c>
      <c r="C128" s="534" t="s">
        <v>702</v>
      </c>
      <c r="D128" s="546"/>
      <c r="E128" s="546"/>
      <c r="F128" s="546"/>
      <c r="G128" s="546"/>
      <c r="H128" s="546"/>
      <c r="I128" s="546"/>
      <c r="J128" s="546"/>
      <c r="K128" s="546"/>
      <c r="L128" s="546"/>
      <c r="M128" s="546"/>
      <c r="N128" s="546"/>
      <c r="O128" s="546"/>
      <c r="P128" s="546"/>
      <c r="Q128" s="546"/>
      <c r="R128" s="572"/>
    </row>
    <row r="129" spans="1:18" ht="7.5" hidden="1" customHeight="1">
      <c r="A129" s="571"/>
      <c r="B129" s="526"/>
      <c r="C129" s="529"/>
      <c r="D129" s="546"/>
      <c r="E129" s="546"/>
      <c r="F129" s="546"/>
      <c r="G129" s="546"/>
      <c r="H129" s="546"/>
      <c r="I129" s="546"/>
      <c r="J129" s="546"/>
      <c r="K129" s="546"/>
      <c r="L129" s="546"/>
      <c r="M129" s="546"/>
      <c r="N129" s="546"/>
      <c r="O129" s="546"/>
      <c r="P129" s="546"/>
      <c r="Q129" s="546"/>
      <c r="R129" s="572"/>
    </row>
    <row r="130" spans="1:18" ht="32.15" hidden="1" customHeight="1">
      <c r="A130" s="571"/>
      <c r="C130" s="1466" t="s">
        <v>1215</v>
      </c>
      <c r="D130" s="1466"/>
      <c r="E130" s="1466"/>
      <c r="F130" s="1466"/>
      <c r="G130" s="1466"/>
      <c r="H130" s="1466"/>
      <c r="I130" s="1466"/>
      <c r="J130" s="1466"/>
      <c r="K130" s="1466"/>
      <c r="L130" s="1466"/>
      <c r="M130" s="1466"/>
      <c r="N130" s="1466"/>
      <c r="O130" s="1466"/>
      <c r="P130" s="1466"/>
      <c r="Q130" s="1466"/>
      <c r="R130" s="1466"/>
    </row>
    <row r="131" spans="1:18" ht="10" hidden="1" customHeight="1">
      <c r="A131" s="571"/>
      <c r="C131" s="535"/>
      <c r="D131" s="535"/>
      <c r="E131" s="535"/>
      <c r="F131" s="535"/>
      <c r="G131" s="535"/>
      <c r="H131" s="535"/>
      <c r="I131" s="535"/>
      <c r="J131" s="535"/>
      <c r="K131" s="535"/>
      <c r="L131" s="535"/>
      <c r="M131" s="535"/>
      <c r="N131" s="535"/>
      <c r="O131" s="535"/>
      <c r="P131" s="535"/>
      <c r="Q131" s="535"/>
      <c r="R131" s="535"/>
    </row>
    <row r="132" spans="1:18" ht="22" hidden="1" customHeight="1">
      <c r="A132" s="571"/>
      <c r="B132" s="573">
        <f>B128+0.1</f>
        <v>3.7</v>
      </c>
      <c r="C132" s="1495" t="s">
        <v>961</v>
      </c>
      <c r="D132" s="1495"/>
      <c r="E132" s="574"/>
      <c r="F132" s="574"/>
      <c r="G132" s="574"/>
      <c r="H132" s="574"/>
      <c r="I132" s="574"/>
      <c r="J132" s="574"/>
      <c r="K132" s="574"/>
      <c r="L132" s="574"/>
      <c r="M132" s="574"/>
      <c r="N132" s="574"/>
      <c r="O132" s="574"/>
      <c r="P132" s="574"/>
      <c r="Q132" s="574"/>
      <c r="R132" s="574"/>
    </row>
    <row r="133" spans="1:18" ht="62.15" hidden="1" customHeight="1">
      <c r="A133" s="571"/>
      <c r="C133" s="1486" t="s">
        <v>1216</v>
      </c>
      <c r="D133" s="1486"/>
      <c r="E133" s="1486"/>
      <c r="F133" s="1486"/>
      <c r="G133" s="1486"/>
      <c r="H133" s="1486"/>
      <c r="I133" s="1486"/>
      <c r="J133" s="1486"/>
      <c r="K133" s="1486"/>
      <c r="L133" s="1486"/>
      <c r="M133" s="1486"/>
      <c r="N133" s="1486"/>
      <c r="O133" s="1486"/>
      <c r="P133" s="1486"/>
      <c r="Q133" s="1486"/>
      <c r="R133" s="1486"/>
    </row>
    <row r="134" spans="1:18" ht="10" hidden="1" customHeight="1">
      <c r="A134" s="571"/>
      <c r="C134" s="574"/>
      <c r="D134" s="574"/>
      <c r="E134" s="574"/>
      <c r="F134" s="574"/>
      <c r="G134" s="574"/>
      <c r="H134" s="574"/>
      <c r="I134" s="574"/>
      <c r="J134" s="574"/>
      <c r="K134" s="574"/>
      <c r="L134" s="574"/>
      <c r="M134" s="574"/>
      <c r="N134" s="574"/>
      <c r="O134" s="574"/>
      <c r="P134" s="574"/>
      <c r="Q134" s="574"/>
      <c r="R134" s="574"/>
    </row>
    <row r="135" spans="1:18" ht="20.149999999999999" hidden="1" customHeight="1">
      <c r="A135" s="571"/>
      <c r="C135" s="1493" t="s">
        <v>1217</v>
      </c>
      <c r="D135" s="1493"/>
      <c r="E135" s="1493"/>
      <c r="F135" s="574"/>
      <c r="G135" s="574"/>
      <c r="H135" s="574"/>
      <c r="I135" s="574"/>
      <c r="J135" s="574"/>
      <c r="K135" s="574"/>
      <c r="L135" s="574"/>
      <c r="M135" s="574"/>
      <c r="N135" s="574"/>
      <c r="O135" s="574"/>
      <c r="P135" s="574"/>
      <c r="Q135" s="574"/>
      <c r="R135" s="574"/>
    </row>
    <row r="136" spans="1:18" ht="32.15" hidden="1" customHeight="1">
      <c r="A136" s="571"/>
      <c r="C136" s="1486" t="s">
        <v>1218</v>
      </c>
      <c r="D136" s="1486"/>
      <c r="E136" s="1486"/>
      <c r="F136" s="1486"/>
      <c r="G136" s="1486"/>
      <c r="H136" s="1486"/>
      <c r="I136" s="1486"/>
      <c r="J136" s="1486"/>
      <c r="K136" s="1486"/>
      <c r="L136" s="1486"/>
      <c r="M136" s="1486"/>
      <c r="N136" s="1486"/>
      <c r="O136" s="1486"/>
      <c r="P136" s="1486"/>
      <c r="Q136" s="1486"/>
      <c r="R136" s="1486"/>
    </row>
    <row r="137" spans="1:18" ht="10" hidden="1" customHeight="1">
      <c r="A137" s="571"/>
      <c r="C137" s="535"/>
      <c r="D137" s="535"/>
      <c r="E137" s="535"/>
      <c r="F137" s="535"/>
      <c r="G137" s="535"/>
      <c r="H137" s="535"/>
      <c r="I137" s="535"/>
      <c r="J137" s="535"/>
      <c r="K137" s="535"/>
      <c r="L137" s="535"/>
      <c r="M137" s="535"/>
      <c r="N137" s="535"/>
      <c r="O137" s="535"/>
      <c r="P137" s="535"/>
      <c r="Q137" s="535"/>
      <c r="R137" s="535"/>
    </row>
    <row r="138" spans="1:18" ht="10" hidden="1" customHeight="1">
      <c r="A138" s="571"/>
      <c r="C138" s="1494"/>
      <c r="D138" s="1494"/>
      <c r="E138" s="1494"/>
      <c r="F138" s="1494"/>
      <c r="G138" s="1494"/>
      <c r="H138" s="1494"/>
      <c r="I138" s="1494"/>
      <c r="J138" s="1494"/>
      <c r="K138" s="1494"/>
      <c r="L138" s="1494"/>
      <c r="M138" s="1494"/>
      <c r="N138" s="1494"/>
      <c r="O138" s="1494"/>
      <c r="P138" s="1494"/>
      <c r="Q138" s="1494"/>
      <c r="R138" s="1494"/>
    </row>
    <row r="139" spans="1:18" ht="19.5" hidden="1" customHeight="1">
      <c r="A139" s="571"/>
      <c r="B139" s="575">
        <f>B132+0.1</f>
        <v>3.8</v>
      </c>
      <c r="C139" s="576" t="s">
        <v>1097</v>
      </c>
      <c r="D139" s="577"/>
      <c r="E139" s="577"/>
      <c r="F139" s="577"/>
      <c r="G139" s="577"/>
      <c r="H139" s="577"/>
      <c r="I139" s="577"/>
      <c r="J139" s="577"/>
      <c r="K139" s="577"/>
      <c r="L139" s="577"/>
      <c r="M139" s="577"/>
      <c r="N139" s="577"/>
      <c r="O139" s="577"/>
      <c r="P139" s="577"/>
      <c r="Q139" s="577"/>
      <c r="R139" s="577"/>
    </row>
    <row r="140" spans="1:18" ht="16.5" hidden="1" customHeight="1">
      <c r="A140" s="571"/>
      <c r="B140" s="578"/>
      <c r="C140" s="1467" t="s">
        <v>1219</v>
      </c>
      <c r="D140" s="1467"/>
      <c r="E140" s="1467"/>
      <c r="F140" s="1467"/>
      <c r="G140" s="1467"/>
      <c r="H140" s="1467"/>
      <c r="I140" s="1467"/>
      <c r="J140" s="1467"/>
      <c r="K140" s="1467"/>
      <c r="L140" s="531"/>
      <c r="M140" s="531"/>
      <c r="N140" s="531"/>
      <c r="O140" s="531"/>
      <c r="P140" s="531"/>
      <c r="Q140" s="531"/>
      <c r="R140" s="590"/>
    </row>
    <row r="141" spans="1:18" ht="16.5" hidden="1" customHeight="1">
      <c r="A141" s="571"/>
      <c r="B141" s="578"/>
      <c r="C141" s="1467" t="s">
        <v>1220</v>
      </c>
      <c r="D141" s="1467"/>
      <c r="E141" s="1467"/>
      <c r="F141" s="1467"/>
      <c r="G141" s="531"/>
      <c r="H141" s="1467" t="s">
        <v>1221</v>
      </c>
      <c r="I141" s="1467"/>
      <c r="J141" s="1467"/>
      <c r="K141" s="1467"/>
      <c r="L141" s="1467"/>
      <c r="M141" s="1467"/>
      <c r="N141" s="1467"/>
      <c r="O141" s="1467"/>
      <c r="P141" s="1467"/>
      <c r="Q141" s="1467"/>
      <c r="R141" s="1467"/>
    </row>
    <row r="142" spans="1:18" ht="10" hidden="1" customHeight="1">
      <c r="A142" s="571"/>
      <c r="B142" s="578"/>
      <c r="C142" s="531"/>
      <c r="D142" s="531"/>
      <c r="E142" s="531"/>
      <c r="F142" s="531"/>
      <c r="G142" s="531"/>
      <c r="H142" s="531"/>
      <c r="I142" s="531"/>
      <c r="J142" s="531"/>
      <c r="K142" s="531"/>
      <c r="L142" s="531"/>
      <c r="M142" s="531"/>
      <c r="N142" s="531"/>
      <c r="O142" s="531"/>
      <c r="P142" s="531"/>
      <c r="Q142" s="531"/>
      <c r="R142" s="531"/>
    </row>
    <row r="143" spans="1:18" ht="16.5" hidden="1" customHeight="1">
      <c r="A143" s="571"/>
      <c r="B143" s="578"/>
      <c r="C143" s="1467" t="s">
        <v>1099</v>
      </c>
      <c r="D143" s="1467"/>
      <c r="E143" s="1467"/>
      <c r="F143" s="1467"/>
      <c r="G143" s="1467"/>
      <c r="H143" s="1467"/>
      <c r="I143" s="1467"/>
      <c r="J143" s="1467"/>
      <c r="K143" s="1467"/>
      <c r="L143" s="1467"/>
      <c r="M143" s="1467"/>
      <c r="N143" s="1467"/>
      <c r="O143" s="1467"/>
      <c r="P143" s="1467"/>
      <c r="Q143" s="1467"/>
      <c r="R143" s="1467"/>
    </row>
    <row r="144" spans="1:18" ht="21" hidden="1" customHeight="1">
      <c r="A144" s="571"/>
      <c r="C144" s="579" t="s">
        <v>1100</v>
      </c>
      <c r="D144" s="560"/>
      <c r="E144" s="560"/>
      <c r="F144" s="560"/>
      <c r="G144" s="1372" t="s">
        <v>1101</v>
      </c>
      <c r="H144" s="560"/>
      <c r="I144" s="560"/>
      <c r="J144" s="560"/>
      <c r="K144" s="560"/>
      <c r="L144" s="560"/>
      <c r="M144" s="560"/>
      <c r="N144" s="535"/>
      <c r="O144" s="535"/>
      <c r="P144" s="535"/>
      <c r="Q144" s="535"/>
      <c r="R144" s="570"/>
    </row>
    <row r="145" spans="1:18" ht="18" hidden="1" customHeight="1">
      <c r="A145" s="571"/>
      <c r="C145" s="579" t="s">
        <v>1102</v>
      </c>
      <c r="D145" s="580"/>
      <c r="E145" s="580"/>
      <c r="F145" s="580"/>
      <c r="G145" s="1372" t="s">
        <v>1101</v>
      </c>
      <c r="H145" s="580"/>
      <c r="I145" s="580"/>
      <c r="J145" s="580"/>
      <c r="K145" s="580"/>
      <c r="L145" s="580"/>
      <c r="M145" s="580"/>
      <c r="N145" s="536"/>
      <c r="O145" s="536"/>
      <c r="P145" s="536"/>
      <c r="Q145" s="536"/>
      <c r="R145" s="536"/>
    </row>
    <row r="146" spans="1:18" ht="10" hidden="1" customHeight="1">
      <c r="A146" s="571"/>
      <c r="C146" s="579"/>
      <c r="D146" s="580"/>
      <c r="E146" s="580"/>
      <c r="F146" s="580"/>
      <c r="G146" s="587"/>
      <c r="H146" s="580"/>
      <c r="I146" s="580"/>
      <c r="J146" s="580"/>
      <c r="K146" s="580"/>
      <c r="L146" s="580"/>
      <c r="M146" s="580"/>
      <c r="N146" s="536"/>
      <c r="O146" s="536"/>
      <c r="P146" s="536"/>
      <c r="Q146" s="536"/>
      <c r="R146" s="536"/>
    </row>
    <row r="147" spans="1:18" ht="18" hidden="1" customHeight="1">
      <c r="A147" s="571"/>
      <c r="B147" s="581">
        <f>B139+0.1</f>
        <v>3.9</v>
      </c>
      <c r="C147" s="1491" t="s">
        <v>1105</v>
      </c>
      <c r="D147" s="1491"/>
      <c r="E147" s="588"/>
      <c r="F147" s="588"/>
      <c r="G147" s="589"/>
      <c r="H147" s="588"/>
      <c r="I147" s="588"/>
      <c r="J147" s="588"/>
      <c r="K147" s="588"/>
      <c r="L147" s="588"/>
      <c r="M147" s="588"/>
      <c r="N147" s="554"/>
      <c r="O147" s="554"/>
      <c r="P147" s="554"/>
      <c r="Q147" s="554"/>
      <c r="R147" s="554"/>
    </row>
    <row r="148" spans="1:18" ht="10" hidden="1" customHeight="1">
      <c r="A148" s="571"/>
      <c r="B148" s="581"/>
      <c r="C148" s="582"/>
      <c r="D148" s="582"/>
      <c r="E148" s="588"/>
      <c r="F148" s="588"/>
      <c r="G148" s="589"/>
      <c r="H148" s="588"/>
      <c r="I148" s="588"/>
      <c r="J148" s="588"/>
      <c r="K148" s="588"/>
      <c r="L148" s="588"/>
      <c r="M148" s="588"/>
      <c r="N148" s="554"/>
      <c r="O148" s="554"/>
      <c r="P148" s="554"/>
      <c r="Q148" s="554"/>
      <c r="R148" s="554"/>
    </row>
    <row r="149" spans="1:18" ht="32.15" hidden="1" customHeight="1">
      <c r="A149" s="571"/>
      <c r="B149" s="581"/>
      <c r="C149" s="1492" t="s">
        <v>1222</v>
      </c>
      <c r="D149" s="1492"/>
      <c r="E149" s="1492"/>
      <c r="F149" s="1492"/>
      <c r="G149" s="1492"/>
      <c r="H149" s="1492"/>
      <c r="I149" s="1492"/>
      <c r="J149" s="1492"/>
      <c r="K149" s="1492"/>
      <c r="L149" s="1492"/>
      <c r="M149" s="1492"/>
      <c r="N149" s="1492"/>
      <c r="O149" s="1492"/>
      <c r="P149" s="1492"/>
      <c r="Q149" s="1492"/>
      <c r="R149" s="1492"/>
    </row>
    <row r="150" spans="1:18" ht="18" hidden="1" customHeight="1">
      <c r="A150" s="571"/>
      <c r="C150" s="579"/>
      <c r="D150" s="580"/>
      <c r="E150" s="580"/>
      <c r="F150" s="580"/>
      <c r="G150" s="587"/>
      <c r="H150" s="580"/>
      <c r="I150" s="580"/>
      <c r="J150" s="580"/>
      <c r="K150" s="580"/>
      <c r="L150" s="580"/>
      <c r="M150" s="580"/>
      <c r="N150" s="536"/>
      <c r="O150" s="536"/>
      <c r="P150" s="536"/>
      <c r="Q150" s="536"/>
      <c r="R150" s="536"/>
    </row>
    <row r="151" spans="1:18" ht="15.75" hidden="1" customHeight="1">
      <c r="A151" s="571"/>
      <c r="B151" s="526">
        <f>B139+0.1</f>
        <v>3.9</v>
      </c>
      <c r="C151" s="534" t="s">
        <v>1107</v>
      </c>
      <c r="D151" s="536"/>
      <c r="E151" s="536"/>
      <c r="F151" s="536"/>
      <c r="G151" s="536"/>
      <c r="H151" s="536"/>
      <c r="I151" s="536"/>
      <c r="J151" s="536"/>
      <c r="K151" s="536"/>
      <c r="L151" s="536"/>
      <c r="M151" s="536"/>
      <c r="N151" s="536"/>
      <c r="O151" s="536"/>
      <c r="P151" s="536"/>
      <c r="Q151" s="536"/>
      <c r="R151" s="536"/>
    </row>
    <row r="152" spans="1:18" ht="8.25" hidden="1" customHeight="1">
      <c r="A152" s="571"/>
      <c r="C152" s="536"/>
      <c r="D152" s="536"/>
      <c r="E152" s="536"/>
      <c r="F152" s="536"/>
      <c r="G152" s="536"/>
      <c r="H152" s="536"/>
      <c r="I152" s="536"/>
      <c r="J152" s="536"/>
      <c r="K152" s="536"/>
      <c r="L152" s="536"/>
      <c r="M152" s="536"/>
      <c r="N152" s="536"/>
      <c r="O152" s="536"/>
      <c r="P152" s="536"/>
      <c r="Q152" s="536"/>
      <c r="R152" s="536"/>
    </row>
    <row r="153" spans="1:18" ht="31.5" hidden="1" customHeight="1">
      <c r="A153" s="571"/>
      <c r="C153" s="1466" t="s">
        <v>1223</v>
      </c>
      <c r="D153" s="1466"/>
      <c r="E153" s="1466"/>
      <c r="F153" s="1466"/>
      <c r="G153" s="1466"/>
      <c r="H153" s="1466"/>
      <c r="I153" s="1466"/>
      <c r="J153" s="1466"/>
      <c r="K153" s="1466"/>
      <c r="L153" s="1466"/>
      <c r="M153" s="1466"/>
      <c r="N153" s="1466"/>
      <c r="O153" s="1466"/>
      <c r="P153" s="1466"/>
      <c r="Q153" s="1466"/>
      <c r="R153" s="1466"/>
    </row>
    <row r="154" spans="1:18" ht="9" hidden="1" customHeight="1">
      <c r="A154" s="571"/>
      <c r="C154" s="535"/>
      <c r="D154" s="535"/>
      <c r="E154" s="535"/>
      <c r="F154" s="535"/>
      <c r="G154" s="535"/>
      <c r="H154" s="535"/>
      <c r="I154" s="535"/>
      <c r="J154" s="535"/>
      <c r="K154" s="535"/>
      <c r="L154" s="535"/>
      <c r="M154" s="535"/>
      <c r="N154" s="535"/>
      <c r="O154" s="535"/>
      <c r="P154" s="535"/>
      <c r="Q154" s="535"/>
      <c r="R154" s="535"/>
    </row>
    <row r="155" spans="1:18" ht="14.25" hidden="1" customHeight="1">
      <c r="B155" s="526">
        <f>B151+0.1</f>
        <v>4</v>
      </c>
      <c r="C155" s="562" t="s">
        <v>1109</v>
      </c>
      <c r="D155" s="539"/>
      <c r="E155" s="539"/>
      <c r="F155" s="546"/>
      <c r="G155" s="546"/>
      <c r="H155" s="546"/>
      <c r="I155" s="546"/>
      <c r="J155" s="546"/>
      <c r="K155" s="546"/>
      <c r="L155" s="546"/>
      <c r="M155" s="546"/>
      <c r="N155" s="546"/>
      <c r="O155" s="546"/>
      <c r="P155" s="546"/>
      <c r="Q155" s="546"/>
      <c r="R155" s="591"/>
    </row>
    <row r="156" spans="1:18" ht="7.5" hidden="1" customHeight="1">
      <c r="B156" s="526"/>
      <c r="C156" s="539"/>
      <c r="D156" s="539"/>
      <c r="E156" s="539"/>
      <c r="F156" s="546"/>
      <c r="G156" s="546"/>
      <c r="H156" s="546"/>
      <c r="I156" s="546"/>
      <c r="J156" s="546"/>
      <c r="K156" s="546"/>
      <c r="L156" s="546"/>
      <c r="M156" s="546"/>
      <c r="N156" s="546"/>
      <c r="O156" s="546"/>
      <c r="P156" s="546"/>
      <c r="Q156" s="546"/>
      <c r="R156" s="591"/>
    </row>
    <row r="157" spans="1:18" ht="15.75" hidden="1" customHeight="1">
      <c r="B157" s="526"/>
      <c r="C157" s="1466" t="s">
        <v>1110</v>
      </c>
      <c r="D157" s="1466"/>
      <c r="E157" s="1466"/>
      <c r="F157" s="1466"/>
      <c r="G157" s="1466"/>
      <c r="H157" s="1466"/>
      <c r="I157" s="1466"/>
      <c r="J157" s="1466"/>
      <c r="K157" s="1466"/>
      <c r="L157" s="1466"/>
      <c r="M157" s="1466"/>
      <c r="N157" s="1466"/>
      <c r="O157" s="1466"/>
      <c r="P157" s="1466"/>
      <c r="Q157" s="1466"/>
      <c r="R157" s="1466"/>
    </row>
    <row r="158" spans="1:18" ht="55.5" hidden="1" customHeight="1">
      <c r="B158" s="526"/>
      <c r="C158" s="1466" t="s">
        <v>1224</v>
      </c>
      <c r="D158" s="1466"/>
      <c r="E158" s="1466"/>
      <c r="F158" s="1466"/>
      <c r="G158" s="1466"/>
      <c r="H158" s="1466"/>
      <c r="I158" s="1466"/>
      <c r="J158" s="1466"/>
      <c r="K158" s="1466"/>
      <c r="L158" s="1466"/>
      <c r="M158" s="1466"/>
      <c r="N158" s="1466"/>
      <c r="O158" s="1466"/>
      <c r="P158" s="1466"/>
      <c r="Q158" s="1466"/>
      <c r="R158" s="1466"/>
    </row>
    <row r="159" spans="1:18" ht="50.25" hidden="1" customHeight="1">
      <c r="B159" s="526"/>
      <c r="C159" s="1466" t="s">
        <v>1225</v>
      </c>
      <c r="D159" s="1466"/>
      <c r="E159" s="1466"/>
      <c r="F159" s="1466"/>
      <c r="G159" s="1466"/>
      <c r="H159" s="1466"/>
      <c r="I159" s="1466"/>
      <c r="J159" s="1466"/>
      <c r="K159" s="1466"/>
      <c r="L159" s="1466"/>
      <c r="M159" s="1466"/>
      <c r="N159" s="1466"/>
      <c r="O159" s="1466"/>
      <c r="P159" s="1466"/>
      <c r="Q159" s="1466"/>
      <c r="R159" s="1466"/>
    </row>
    <row r="160" spans="1:18" ht="24.75" hidden="1" customHeight="1">
      <c r="B160" s="583">
        <v>3.1</v>
      </c>
      <c r="C160" s="539" t="s">
        <v>1226</v>
      </c>
      <c r="D160" s="535"/>
      <c r="E160" s="535"/>
      <c r="F160" s="535"/>
      <c r="G160" s="535"/>
      <c r="H160" s="535"/>
      <c r="I160" s="535"/>
      <c r="J160" s="535"/>
      <c r="K160" s="535"/>
      <c r="L160" s="535"/>
      <c r="M160" s="535"/>
      <c r="N160" s="535"/>
      <c r="O160" s="535"/>
      <c r="P160" s="535"/>
      <c r="Q160" s="535"/>
      <c r="R160" s="535"/>
    </row>
    <row r="161" spans="2:18" ht="6" hidden="1" customHeight="1">
      <c r="B161" s="526"/>
      <c r="C161" s="539"/>
      <c r="D161" s="535"/>
      <c r="E161" s="535"/>
      <c r="F161" s="535"/>
      <c r="G161" s="535"/>
      <c r="H161" s="535"/>
      <c r="I161" s="535"/>
      <c r="J161" s="535"/>
      <c r="K161" s="535"/>
      <c r="L161" s="535"/>
      <c r="M161" s="535"/>
      <c r="N161" s="535"/>
      <c r="O161" s="535"/>
      <c r="P161" s="535"/>
      <c r="Q161" s="535"/>
      <c r="R161" s="535"/>
    </row>
    <row r="162" spans="2:18" hidden="1">
      <c r="B162" s="526"/>
      <c r="C162" s="1489" t="s">
        <v>1227</v>
      </c>
      <c r="D162" s="1489"/>
      <c r="E162" s="1489"/>
      <c r="F162" s="1489"/>
      <c r="G162" s="1489"/>
      <c r="H162" s="1489"/>
      <c r="I162" s="1489"/>
      <c r="J162" s="1489"/>
      <c r="K162" s="1489"/>
      <c r="L162" s="1489"/>
      <c r="M162" s="1489"/>
      <c r="N162" s="1489"/>
      <c r="O162" s="1489"/>
      <c r="P162" s="1489"/>
      <c r="Q162" s="1489"/>
      <c r="R162" s="1489"/>
    </row>
    <row r="163" spans="2:18" ht="6.75" hidden="1" customHeight="1">
      <c r="B163" s="526"/>
      <c r="C163" s="536"/>
      <c r="D163" s="536"/>
      <c r="E163" s="536"/>
      <c r="F163" s="536"/>
      <c r="G163" s="536"/>
      <c r="H163" s="536"/>
      <c r="I163" s="536"/>
      <c r="J163" s="536"/>
      <c r="K163" s="536"/>
      <c r="L163" s="536"/>
      <c r="M163" s="536"/>
      <c r="N163" s="536"/>
      <c r="O163" s="536"/>
      <c r="P163" s="536"/>
      <c r="Q163" s="536"/>
      <c r="R163" s="536"/>
    </row>
    <row r="164" spans="2:18" ht="111" hidden="1" customHeight="1">
      <c r="B164" s="526"/>
      <c r="C164" s="1466" t="s">
        <v>1228</v>
      </c>
      <c r="D164" s="1466"/>
      <c r="E164" s="1466"/>
      <c r="F164" s="1466"/>
      <c r="G164" s="1466"/>
      <c r="H164" s="1466"/>
      <c r="I164" s="1466"/>
      <c r="J164" s="1466"/>
      <c r="K164" s="1466"/>
      <c r="L164" s="1466"/>
      <c r="M164" s="1466"/>
      <c r="N164" s="1466"/>
      <c r="O164" s="1466"/>
      <c r="P164" s="1466"/>
      <c r="Q164" s="1466"/>
      <c r="R164" s="1466"/>
    </row>
    <row r="165" spans="2:18" ht="9" hidden="1" customHeight="1">
      <c r="B165" s="526"/>
      <c r="C165" s="1490"/>
      <c r="D165" s="1490"/>
      <c r="E165" s="1490"/>
      <c r="F165" s="1490"/>
      <c r="G165" s="1490"/>
      <c r="H165" s="1490"/>
      <c r="I165" s="1490"/>
      <c r="J165" s="1490"/>
      <c r="K165" s="1490"/>
      <c r="L165" s="1490"/>
      <c r="M165" s="1490"/>
      <c r="N165" s="1490"/>
      <c r="O165" s="1490"/>
      <c r="P165" s="1490"/>
      <c r="Q165" s="1490"/>
      <c r="R165" s="1490"/>
    </row>
    <row r="166" spans="2:18" ht="18" hidden="1" customHeight="1">
      <c r="B166" s="526"/>
      <c r="C166" s="1488" t="s">
        <v>1229</v>
      </c>
      <c r="D166" s="1488"/>
      <c r="E166" s="1488"/>
      <c r="F166" s="1488"/>
      <c r="G166" s="1488"/>
      <c r="H166" s="1488"/>
      <c r="I166" s="1488"/>
      <c r="J166" s="1488"/>
      <c r="K166" s="1488"/>
      <c r="L166" s="1488"/>
      <c r="M166" s="1488"/>
      <c r="N166" s="1488"/>
      <c r="O166" s="1488"/>
      <c r="P166" s="1488"/>
      <c r="Q166" s="1488"/>
      <c r="R166" s="1488"/>
    </row>
    <row r="167" spans="2:18" ht="3" hidden="1" customHeight="1">
      <c r="B167" s="526"/>
      <c r="C167" s="584"/>
      <c r="D167" s="584"/>
      <c r="E167" s="584"/>
      <c r="F167" s="584"/>
      <c r="G167" s="584"/>
      <c r="H167" s="584"/>
      <c r="I167" s="584"/>
      <c r="J167" s="584"/>
      <c r="K167" s="584"/>
      <c r="L167" s="584"/>
      <c r="M167" s="584"/>
      <c r="N167" s="584"/>
      <c r="O167" s="584"/>
      <c r="P167" s="584"/>
      <c r="Q167" s="584"/>
      <c r="R167" s="584"/>
    </row>
    <row r="168" spans="2:18" ht="51" hidden="1" customHeight="1">
      <c r="B168" s="526"/>
      <c r="C168" s="1466" t="s">
        <v>1230</v>
      </c>
      <c r="D168" s="1466"/>
      <c r="E168" s="1466"/>
      <c r="F168" s="1466"/>
      <c r="G168" s="1466"/>
      <c r="H168" s="1466"/>
      <c r="I168" s="1466"/>
      <c r="J168" s="1466"/>
      <c r="K168" s="1466"/>
      <c r="L168" s="1466"/>
      <c r="M168" s="1466"/>
      <c r="N168" s="1466"/>
      <c r="O168" s="1466"/>
      <c r="P168" s="1466"/>
      <c r="Q168" s="1466"/>
      <c r="R168" s="1466"/>
    </row>
    <row r="169" spans="2:18" ht="1.5" hidden="1" customHeight="1">
      <c r="B169" s="526"/>
      <c r="C169" s="584"/>
      <c r="D169" s="584"/>
      <c r="E169" s="584"/>
      <c r="F169" s="584"/>
      <c r="G169" s="584"/>
      <c r="H169" s="584"/>
      <c r="I169" s="584"/>
      <c r="J169" s="584"/>
      <c r="K169" s="584"/>
      <c r="L169" s="584"/>
      <c r="M169" s="584"/>
      <c r="N169" s="584"/>
      <c r="O169" s="584"/>
      <c r="P169" s="584"/>
      <c r="Q169" s="584"/>
      <c r="R169" s="584"/>
    </row>
    <row r="170" spans="2:18" ht="31.5" hidden="1" customHeight="1">
      <c r="B170" s="526"/>
      <c r="C170" s="1466" t="s">
        <v>1231</v>
      </c>
      <c r="D170" s="1466"/>
      <c r="E170" s="1466"/>
      <c r="F170" s="1466"/>
      <c r="G170" s="1466"/>
      <c r="H170" s="1466"/>
      <c r="I170" s="1466"/>
      <c r="J170" s="1466"/>
      <c r="K170" s="1466"/>
      <c r="L170" s="1466"/>
      <c r="M170" s="1466"/>
      <c r="N170" s="1466"/>
      <c r="O170" s="1466"/>
      <c r="P170" s="1466"/>
      <c r="Q170" s="1466"/>
      <c r="R170" s="1466"/>
    </row>
    <row r="171" spans="2:18" ht="10.5" hidden="1" customHeight="1">
      <c r="B171" s="526"/>
      <c r="C171" s="584"/>
      <c r="D171" s="584"/>
      <c r="E171" s="584"/>
      <c r="F171" s="584"/>
      <c r="G171" s="584"/>
      <c r="H171" s="584"/>
      <c r="I171" s="584"/>
      <c r="J171" s="584"/>
      <c r="K171" s="584"/>
      <c r="L171" s="584"/>
      <c r="M171" s="584"/>
      <c r="N171" s="584"/>
      <c r="O171" s="584"/>
      <c r="P171" s="584"/>
      <c r="Q171" s="584"/>
      <c r="R171" s="584"/>
    </row>
    <row r="172" spans="2:18" ht="19.5" hidden="1" customHeight="1">
      <c r="B172" s="526"/>
      <c r="C172" s="562" t="s">
        <v>1232</v>
      </c>
      <c r="D172" s="584"/>
      <c r="E172" s="584"/>
      <c r="F172" s="584"/>
      <c r="G172" s="584"/>
      <c r="H172" s="584"/>
      <c r="I172" s="584"/>
      <c r="J172" s="584"/>
      <c r="K172" s="584"/>
      <c r="L172" s="584"/>
      <c r="M172" s="584"/>
      <c r="N172" s="584"/>
      <c r="O172" s="584"/>
      <c r="P172" s="584"/>
      <c r="Q172" s="584"/>
      <c r="R172" s="584"/>
    </row>
    <row r="173" spans="2:18" ht="4.5" hidden="1" customHeight="1">
      <c r="B173" s="526"/>
      <c r="C173" s="584"/>
      <c r="D173" s="584"/>
      <c r="E173" s="584"/>
      <c r="F173" s="584"/>
      <c r="G173" s="584"/>
      <c r="H173" s="584"/>
      <c r="I173" s="584"/>
      <c r="J173" s="584"/>
      <c r="K173" s="584"/>
      <c r="L173" s="584"/>
      <c r="M173" s="584"/>
      <c r="N173" s="584"/>
      <c r="O173" s="584"/>
      <c r="P173" s="584"/>
      <c r="Q173" s="584"/>
      <c r="R173" s="584"/>
    </row>
    <row r="174" spans="2:18" ht="33" hidden="1" customHeight="1">
      <c r="B174" s="526"/>
      <c r="C174" s="1466" t="s">
        <v>1233</v>
      </c>
      <c r="D174" s="1466"/>
      <c r="E174" s="1466"/>
      <c r="F174" s="1466"/>
      <c r="G174" s="1466"/>
      <c r="H174" s="1466"/>
      <c r="I174" s="1466"/>
      <c r="J174" s="1466"/>
      <c r="K174" s="1466"/>
      <c r="L174" s="1466"/>
      <c r="M174" s="1466"/>
      <c r="N174" s="1466"/>
      <c r="O174" s="1466"/>
      <c r="P174" s="1466"/>
      <c r="Q174" s="1466"/>
      <c r="R174" s="1466"/>
    </row>
    <row r="175" spans="2:18" hidden="1">
      <c r="B175" s="526"/>
      <c r="C175" s="535"/>
      <c r="D175" s="535"/>
      <c r="E175" s="535"/>
      <c r="F175" s="535"/>
      <c r="G175" s="535"/>
      <c r="H175" s="535"/>
      <c r="I175" s="535"/>
      <c r="J175" s="535"/>
      <c r="K175" s="535"/>
      <c r="L175" s="535"/>
      <c r="M175" s="535"/>
      <c r="N175" s="535"/>
      <c r="O175" s="535"/>
      <c r="P175" s="535"/>
      <c r="Q175" s="535"/>
      <c r="R175" s="535"/>
    </row>
    <row r="176" spans="2:18" hidden="1">
      <c r="B176" s="583">
        <f>B160+0.01</f>
        <v>3.11</v>
      </c>
      <c r="C176" s="539" t="s">
        <v>1234</v>
      </c>
      <c r="D176" s="539"/>
      <c r="E176" s="539"/>
      <c r="F176" s="539"/>
      <c r="G176" s="539"/>
      <c r="H176" s="539"/>
      <c r="I176" s="539"/>
      <c r="J176" s="539"/>
      <c r="K176" s="539"/>
      <c r="L176" s="539"/>
      <c r="M176" s="539"/>
      <c r="N176" s="539"/>
      <c r="O176" s="539"/>
      <c r="P176" s="539"/>
      <c r="Q176" s="539"/>
      <c r="R176" s="539"/>
    </row>
    <row r="177" spans="2:18" ht="6" hidden="1" customHeight="1">
      <c r="B177" s="583"/>
      <c r="C177" s="539"/>
      <c r="D177" s="539"/>
      <c r="E177" s="539"/>
      <c r="F177" s="539"/>
      <c r="G177" s="539"/>
      <c r="H177" s="539"/>
      <c r="I177" s="539"/>
      <c r="J177" s="539"/>
      <c r="K177" s="539"/>
      <c r="L177" s="539"/>
      <c r="M177" s="539"/>
      <c r="N177" s="539"/>
      <c r="O177" s="539"/>
      <c r="P177" s="539"/>
      <c r="Q177" s="539"/>
      <c r="R177" s="539"/>
    </row>
    <row r="178" spans="2:18" ht="50.15" hidden="1" customHeight="1">
      <c r="B178" s="583"/>
      <c r="C178" s="1486" t="s">
        <v>1235</v>
      </c>
      <c r="D178" s="1486"/>
      <c r="E178" s="1486"/>
      <c r="F178" s="1486"/>
      <c r="G178" s="1486"/>
      <c r="H178" s="1486"/>
      <c r="I178" s="1486"/>
      <c r="J178" s="1486"/>
      <c r="K178" s="1486"/>
      <c r="L178" s="1486"/>
      <c r="M178" s="1486"/>
      <c r="N178" s="1486"/>
      <c r="O178" s="1486"/>
      <c r="P178" s="1486"/>
      <c r="Q178" s="1486"/>
      <c r="R178" s="1486"/>
    </row>
    <row r="179" spans="2:18" hidden="1">
      <c r="B179" s="583"/>
      <c r="C179" s="535"/>
      <c r="D179" s="535"/>
      <c r="E179" s="535"/>
      <c r="F179" s="535"/>
      <c r="G179" s="535"/>
      <c r="H179" s="535"/>
      <c r="I179" s="535"/>
      <c r="J179" s="535"/>
      <c r="K179" s="535"/>
      <c r="L179" s="535"/>
      <c r="M179" s="535"/>
      <c r="N179" s="535"/>
      <c r="O179" s="535"/>
      <c r="P179" s="535"/>
      <c r="Q179" s="535"/>
      <c r="R179" s="535"/>
    </row>
    <row r="180" spans="2:18" ht="15.75" hidden="1" customHeight="1">
      <c r="B180" s="583">
        <f>B176+0.01</f>
        <v>3.12</v>
      </c>
      <c r="C180" s="529" t="s">
        <v>1113</v>
      </c>
      <c r="D180" s="529"/>
      <c r="R180" s="572"/>
    </row>
    <row r="181" spans="2:18" ht="8.25" hidden="1" customHeight="1">
      <c r="B181" s="583"/>
      <c r="C181" s="529"/>
      <c r="D181" s="529"/>
      <c r="R181" s="572"/>
    </row>
    <row r="182" spans="2:18" ht="48" hidden="1" customHeight="1">
      <c r="B182" s="583"/>
      <c r="C182" s="1486" t="s">
        <v>1236</v>
      </c>
      <c r="D182" s="1486"/>
      <c r="E182" s="1486"/>
      <c r="F182" s="1486"/>
      <c r="G182" s="1486"/>
      <c r="H182" s="1486"/>
      <c r="I182" s="1486"/>
      <c r="J182" s="1486"/>
      <c r="K182" s="1486"/>
      <c r="L182" s="1486"/>
      <c r="M182" s="1486"/>
      <c r="N182" s="1486"/>
      <c r="O182" s="1486"/>
      <c r="P182" s="1486"/>
      <c r="Q182" s="1486"/>
      <c r="R182" s="1486"/>
    </row>
    <row r="183" spans="2:18" ht="15.75" hidden="1" customHeight="1">
      <c r="B183" s="583"/>
      <c r="C183" s="535"/>
      <c r="D183" s="535"/>
      <c r="E183" s="535"/>
      <c r="F183" s="535"/>
      <c r="G183" s="535"/>
      <c r="H183" s="535"/>
      <c r="I183" s="535"/>
      <c r="J183" s="535"/>
      <c r="K183" s="535"/>
      <c r="L183" s="535"/>
      <c r="M183" s="535"/>
      <c r="N183" s="535"/>
      <c r="O183" s="535"/>
      <c r="P183" s="535"/>
      <c r="Q183" s="535"/>
      <c r="R183" s="535"/>
    </row>
    <row r="184" spans="2:18" ht="15.75" hidden="1" customHeight="1">
      <c r="B184" s="583">
        <f>B180+0.01</f>
        <v>3.13</v>
      </c>
      <c r="C184" s="529" t="s">
        <v>1237</v>
      </c>
      <c r="D184" s="529"/>
      <c r="E184" s="529"/>
      <c r="F184" s="538"/>
      <c r="G184" s="538"/>
      <c r="H184" s="538"/>
      <c r="I184" s="538"/>
      <c r="J184" s="538"/>
      <c r="K184" s="538"/>
      <c r="L184" s="538"/>
      <c r="M184" s="538"/>
      <c r="N184" s="538"/>
      <c r="O184" s="538"/>
      <c r="P184" s="538"/>
      <c r="Q184" s="538"/>
      <c r="R184" s="539"/>
    </row>
    <row r="185" spans="2:18" ht="3" hidden="1" customHeight="1">
      <c r="B185" s="583"/>
      <c r="C185" s="529"/>
      <c r="D185" s="529"/>
      <c r="E185" s="529"/>
      <c r="F185" s="538"/>
      <c r="G185" s="538"/>
      <c r="H185" s="538"/>
      <c r="I185" s="538"/>
      <c r="J185" s="538"/>
      <c r="K185" s="538"/>
      <c r="L185" s="538"/>
      <c r="M185" s="538"/>
      <c r="N185" s="538"/>
      <c r="O185" s="538"/>
      <c r="P185" s="538"/>
      <c r="Q185" s="538"/>
      <c r="R185" s="539"/>
    </row>
    <row r="186" spans="2:18" ht="79.5" hidden="1" customHeight="1">
      <c r="B186" s="583"/>
      <c r="C186" s="1466" t="s">
        <v>1238</v>
      </c>
      <c r="D186" s="1466"/>
      <c r="E186" s="1466"/>
      <c r="F186" s="1466"/>
      <c r="G186" s="1466"/>
      <c r="H186" s="1466"/>
      <c r="I186" s="1466"/>
      <c r="J186" s="1466"/>
      <c r="K186" s="1466"/>
      <c r="L186" s="1466"/>
      <c r="M186" s="1466"/>
      <c r="N186" s="1466"/>
      <c r="O186" s="1466"/>
      <c r="P186" s="1466"/>
      <c r="Q186" s="1466"/>
      <c r="R186" s="1466"/>
    </row>
    <row r="187" spans="2:18" ht="5.25" hidden="1" customHeight="1">
      <c r="B187" s="583"/>
      <c r="C187" s="1466"/>
      <c r="D187" s="1466"/>
      <c r="E187" s="1466"/>
      <c r="F187" s="1466"/>
      <c r="G187" s="1466"/>
      <c r="H187" s="1466"/>
      <c r="I187" s="1466"/>
      <c r="J187" s="1466"/>
      <c r="K187" s="1466"/>
      <c r="L187" s="1466"/>
      <c r="M187" s="1466"/>
      <c r="N187" s="1466"/>
      <c r="O187" s="1466"/>
      <c r="P187" s="1466"/>
      <c r="Q187" s="1466"/>
      <c r="R187" s="1466"/>
    </row>
    <row r="188" spans="2:18" ht="15.75" hidden="1" customHeight="1">
      <c r="B188" s="583"/>
      <c r="C188" s="1466" t="s">
        <v>1239</v>
      </c>
      <c r="D188" s="1466"/>
      <c r="E188" s="1466"/>
      <c r="F188" s="1466"/>
      <c r="G188" s="1466"/>
      <c r="H188" s="1466"/>
      <c r="I188" s="1466"/>
      <c r="J188" s="1466"/>
      <c r="K188" s="1466"/>
      <c r="L188" s="1466"/>
      <c r="M188" s="1466"/>
      <c r="N188" s="1466"/>
      <c r="O188" s="1466"/>
      <c r="P188" s="1466"/>
      <c r="Q188" s="1466"/>
      <c r="R188" s="1466"/>
    </row>
    <row r="189" spans="2:18" hidden="1">
      <c r="B189" s="583"/>
      <c r="C189" s="1470"/>
      <c r="D189" s="1470"/>
      <c r="E189" s="1470"/>
      <c r="F189" s="1470"/>
      <c r="G189" s="1470"/>
      <c r="H189" s="1470"/>
      <c r="I189" s="1470"/>
      <c r="J189" s="1470"/>
      <c r="K189" s="1470"/>
      <c r="L189" s="1470"/>
      <c r="M189" s="1470"/>
      <c r="N189" s="1470"/>
      <c r="O189" s="1470"/>
      <c r="P189" s="1470"/>
      <c r="Q189" s="1470"/>
      <c r="R189" s="1470"/>
    </row>
    <row r="190" spans="2:18" ht="13.5" hidden="1" customHeight="1">
      <c r="B190" s="583">
        <f>B184+0.01</f>
        <v>3.14</v>
      </c>
      <c r="C190" s="539" t="s">
        <v>1118</v>
      </c>
      <c r="D190" s="539"/>
      <c r="E190" s="539"/>
      <c r="F190" s="538"/>
      <c r="G190" s="538"/>
    </row>
    <row r="191" spans="2:18" ht="2.25" hidden="1" customHeight="1">
      <c r="B191" s="583"/>
      <c r="C191" s="538"/>
      <c r="D191" s="538"/>
      <c r="E191" s="538"/>
      <c r="F191" s="538"/>
      <c r="G191" s="538"/>
      <c r="R191" s="529"/>
    </row>
    <row r="192" spans="2:18" ht="45.75" hidden="1" customHeight="1">
      <c r="B192" s="583"/>
      <c r="C192" s="585" t="s">
        <v>1240</v>
      </c>
      <c r="D192" s="586"/>
      <c r="E192" s="1487" t="s">
        <v>1241</v>
      </c>
      <c r="F192" s="1487"/>
      <c r="G192" s="1487"/>
      <c r="H192" s="1487"/>
      <c r="I192" s="1487"/>
      <c r="J192" s="1487"/>
      <c r="K192" s="532"/>
      <c r="L192" s="532"/>
      <c r="M192" s="532"/>
      <c r="N192" s="532"/>
      <c r="O192" s="532"/>
      <c r="P192" s="532"/>
      <c r="Q192" s="532"/>
      <c r="R192" s="532"/>
    </row>
    <row r="193" spans="1:20" ht="30.75" hidden="1" customHeight="1">
      <c r="B193" s="583"/>
      <c r="C193" s="585" t="s">
        <v>1242</v>
      </c>
      <c r="D193" s="586"/>
      <c r="E193" s="597" t="s">
        <v>1243</v>
      </c>
      <c r="F193" s="546"/>
      <c r="G193" s="546"/>
      <c r="H193" s="546"/>
      <c r="I193" s="546"/>
      <c r="J193" s="546"/>
      <c r="K193" s="532"/>
      <c r="L193" s="532"/>
      <c r="M193" s="532"/>
      <c r="N193" s="532"/>
      <c r="O193" s="532"/>
      <c r="P193" s="532"/>
      <c r="Q193" s="532"/>
      <c r="R193" s="532"/>
    </row>
    <row r="194" spans="1:20" hidden="1">
      <c r="B194" s="583"/>
      <c r="C194" s="546"/>
      <c r="D194" s="546"/>
      <c r="E194" s="546"/>
      <c r="F194" s="546"/>
      <c r="G194" s="546"/>
      <c r="H194" s="546"/>
      <c r="I194" s="546"/>
      <c r="J194" s="546"/>
      <c r="K194" s="546"/>
      <c r="L194" s="546"/>
      <c r="M194" s="546"/>
      <c r="N194" s="546"/>
      <c r="O194" s="546"/>
      <c r="P194" s="546"/>
      <c r="Q194" s="546"/>
      <c r="R194" s="546"/>
    </row>
    <row r="195" spans="1:20" hidden="1">
      <c r="A195" s="526">
        <v>5</v>
      </c>
      <c r="B195" s="529" t="s">
        <v>1244</v>
      </c>
      <c r="C195" s="546"/>
      <c r="D195" s="546"/>
      <c r="E195" s="546"/>
      <c r="F195" s="546"/>
      <c r="G195" s="546"/>
      <c r="H195" s="546"/>
      <c r="I195" s="546"/>
      <c r="J195" s="546"/>
      <c r="K195" s="546"/>
      <c r="L195" s="546"/>
      <c r="M195" s="546"/>
      <c r="N195" s="546"/>
      <c r="O195" s="546"/>
      <c r="P195" s="546"/>
      <c r="Q195" s="546"/>
      <c r="R195" s="546" t="s">
        <v>1245</v>
      </c>
    </row>
    <row r="196" spans="1:20" s="521" customFormat="1" ht="14.25" customHeight="1">
      <c r="A196" s="571"/>
      <c r="B196" s="540"/>
      <c r="C196" s="592"/>
      <c r="D196" s="592"/>
      <c r="E196" s="592"/>
      <c r="F196" s="592"/>
      <c r="G196" s="592"/>
      <c r="H196" s="592"/>
      <c r="I196" s="592"/>
      <c r="J196" s="592"/>
      <c r="K196" s="601"/>
      <c r="L196" s="602">
        <v>2025</v>
      </c>
      <c r="M196" s="601"/>
      <c r="N196" s="602">
        <v>2024</v>
      </c>
      <c r="O196" s="605"/>
      <c r="P196" s="602">
        <v>2023</v>
      </c>
      <c r="R196" s="605"/>
    </row>
    <row r="197" spans="1:20" s="521" customFormat="1" ht="14.25" customHeight="1">
      <c r="A197" s="571"/>
      <c r="B197" s="540"/>
      <c r="C197" s="592"/>
      <c r="D197" s="592"/>
      <c r="E197" s="592"/>
      <c r="F197" s="592"/>
      <c r="G197" s="592"/>
      <c r="H197" s="598"/>
      <c r="I197" s="598"/>
      <c r="J197" s="598" t="s">
        <v>956</v>
      </c>
      <c r="K197" s="592"/>
      <c r="L197" s="526" t="s">
        <v>957</v>
      </c>
      <c r="M197" s="592"/>
      <c r="N197" s="526" t="s">
        <v>957</v>
      </c>
      <c r="O197" s="526"/>
      <c r="P197" s="526" t="s">
        <v>957</v>
      </c>
      <c r="R197" s="615"/>
    </row>
    <row r="198" spans="1:20" ht="17.25" hidden="1" customHeight="1">
      <c r="J198" s="593"/>
      <c r="R198" s="616"/>
    </row>
    <row r="199" spans="1:20" ht="15" customHeight="1">
      <c r="R199" s="615"/>
    </row>
    <row r="200" spans="1:20" ht="15" customHeight="1">
      <c r="A200" s="526">
        <v>6</v>
      </c>
      <c r="B200" s="529" t="s">
        <v>1246</v>
      </c>
      <c r="J200" s="529"/>
      <c r="L200" s="603"/>
      <c r="N200" s="603"/>
      <c r="O200" s="603"/>
      <c r="P200" s="603"/>
      <c r="Q200" s="617"/>
      <c r="R200" s="618"/>
    </row>
    <row r="201" spans="1:20" ht="6.75" customHeight="1">
      <c r="A201" s="526"/>
      <c r="B201" s="529"/>
      <c r="J201" s="529"/>
      <c r="L201" s="603"/>
      <c r="N201" s="603"/>
      <c r="O201" s="603"/>
      <c r="P201" s="603"/>
      <c r="Q201" s="617"/>
      <c r="R201" s="618"/>
    </row>
    <row r="202" spans="1:20" ht="15" customHeight="1">
      <c r="A202" s="526"/>
      <c r="B202" s="525" t="s">
        <v>1102</v>
      </c>
      <c r="J202" s="529"/>
      <c r="L202" s="603">
        <v>85471120.579999998</v>
      </c>
      <c r="N202" s="603">
        <v>57016539</v>
      </c>
      <c r="O202" s="603"/>
      <c r="P202" s="603">
        <v>48319101</v>
      </c>
      <c r="Q202" s="617"/>
      <c r="R202" s="618" t="s">
        <v>1247</v>
      </c>
      <c r="S202" s="525">
        <f>N202-P202</f>
        <v>8697438</v>
      </c>
      <c r="T202" s="619">
        <f>S202/P202</f>
        <v>0.17999999627476501</v>
      </c>
    </row>
    <row r="203" spans="1:20" ht="15" customHeight="1">
      <c r="J203" s="529"/>
      <c r="L203" s="604">
        <f>SUM(L202)</f>
        <v>85471120.579999998</v>
      </c>
      <c r="N203" s="604">
        <f>SUM(N202)</f>
        <v>57016539</v>
      </c>
      <c r="O203" s="603"/>
      <c r="P203" s="604">
        <f>SUM(P202)</f>
        <v>48319101</v>
      </c>
      <c r="Q203" s="617"/>
      <c r="R203" s="618"/>
    </row>
    <row r="204" spans="1:20" ht="8.25" customHeight="1">
      <c r="J204" s="529"/>
      <c r="L204" s="603"/>
      <c r="N204" s="603"/>
      <c r="O204" s="603"/>
      <c r="P204" s="603"/>
      <c r="Q204" s="617"/>
      <c r="R204" s="618"/>
    </row>
    <row r="205" spans="1:20" ht="15" hidden="1" customHeight="1">
      <c r="J205" s="529"/>
      <c r="R205" s="620"/>
    </row>
    <row r="206" spans="1:20" ht="6" hidden="1" customHeight="1">
      <c r="J206" s="593"/>
      <c r="R206" s="621"/>
    </row>
    <row r="207" spans="1:20" ht="14.15" customHeight="1">
      <c r="A207" s="526">
        <f>A200+1</f>
        <v>7</v>
      </c>
      <c r="B207" s="529" t="s">
        <v>1248</v>
      </c>
      <c r="J207" s="593"/>
      <c r="R207" s="621"/>
    </row>
    <row r="208" spans="1:20" ht="14.15" hidden="1" customHeight="1">
      <c r="J208" s="593"/>
      <c r="R208" s="621"/>
    </row>
    <row r="209" spans="1:20" ht="8.25" customHeight="1">
      <c r="J209" s="593"/>
      <c r="R209" s="621"/>
    </row>
    <row r="210" spans="1:20" ht="14.15" customHeight="1">
      <c r="B210" s="525" t="s">
        <v>1249</v>
      </c>
      <c r="J210" s="593"/>
      <c r="L210" s="529">
        <f>T213*R210</f>
        <v>3427061.0246616201</v>
      </c>
      <c r="N210" s="529">
        <f>S213*0.14</f>
        <v>2865499.56</v>
      </c>
      <c r="O210" s="529"/>
      <c r="P210" s="529">
        <v>2454883</v>
      </c>
      <c r="R210" s="622">
        <f>P210/P213</f>
        <v>0.14171114520935499</v>
      </c>
    </row>
    <row r="211" spans="1:20" ht="14.15" customHeight="1">
      <c r="B211" s="525" t="s">
        <v>715</v>
      </c>
      <c r="J211" s="593"/>
      <c r="L211" s="529">
        <v>16747426</v>
      </c>
      <c r="N211" s="529">
        <f>S213*0.69</f>
        <v>14122819.26</v>
      </c>
      <c r="O211" s="529"/>
      <c r="P211" s="529">
        <v>11996568</v>
      </c>
      <c r="R211" s="622">
        <f>P211/P213</f>
        <v>0.69251666570744896</v>
      </c>
    </row>
    <row r="212" spans="1:20" ht="14.15" customHeight="1">
      <c r="B212" s="525" t="s">
        <v>1250</v>
      </c>
      <c r="J212" s="605"/>
      <c r="L212" s="529">
        <f>T213*R212</f>
        <v>4008939.50395056</v>
      </c>
      <c r="N212" s="529">
        <f>S213*0.17</f>
        <v>3479535.18</v>
      </c>
      <c r="O212" s="529"/>
      <c r="P212" s="529">
        <v>2871696</v>
      </c>
      <c r="R212" s="623">
        <f>P212/P213</f>
        <v>0.16577218908319599</v>
      </c>
      <c r="S212" s="624">
        <v>2024</v>
      </c>
      <c r="T212" s="624">
        <v>2025</v>
      </c>
    </row>
    <row r="213" spans="1:20" ht="14.15" customHeight="1">
      <c r="J213" s="593"/>
      <c r="L213" s="606">
        <f>SUM(L210:L212)</f>
        <v>24183426.5286122</v>
      </c>
      <c r="N213" s="606">
        <f>SUM(N210:N212)</f>
        <v>20467854</v>
      </c>
      <c r="O213" s="529"/>
      <c r="P213" s="606">
        <f>SUM(P210:P212)</f>
        <v>17323147</v>
      </c>
      <c r="R213" s="625"/>
      <c r="S213" s="525">
        <v>20467854</v>
      </c>
      <c r="T213" s="525">
        <f>S213*(1+S217)</f>
        <v>24183426.219572902</v>
      </c>
    </row>
    <row r="214" spans="1:20" ht="7.5" customHeight="1">
      <c r="A214" s="583"/>
      <c r="R214" s="620"/>
      <c r="S214" s="525" t="s">
        <v>1247</v>
      </c>
    </row>
    <row r="215" spans="1:20" ht="14.25" customHeight="1">
      <c r="A215" s="526">
        <f>A207+1</f>
        <v>8</v>
      </c>
      <c r="B215" s="529" t="s">
        <v>1251</v>
      </c>
      <c r="J215" s="529"/>
      <c r="R215" s="620"/>
      <c r="S215" s="525">
        <f>S213-P213</f>
        <v>3144707</v>
      </c>
    </row>
    <row r="216" spans="1:20" ht="3" customHeight="1">
      <c r="J216" s="526"/>
      <c r="R216" s="626"/>
    </row>
    <row r="217" spans="1:20" ht="15" customHeight="1">
      <c r="B217" s="525" t="s">
        <v>1252</v>
      </c>
      <c r="H217" s="599"/>
      <c r="I217" s="599"/>
      <c r="J217" s="529"/>
      <c r="K217" s="599"/>
      <c r="L217" s="607">
        <v>85418832.572515503</v>
      </c>
      <c r="M217" s="599"/>
      <c r="N217" s="607">
        <f>17633772+7549923+30000000+6500000</f>
        <v>61683695</v>
      </c>
      <c r="O217" s="607"/>
      <c r="P217" s="607">
        <v>13746153</v>
      </c>
      <c r="R217" s="620"/>
      <c r="S217" s="619">
        <f>S215/P213</f>
        <v>0.18153208536532101</v>
      </c>
    </row>
    <row r="218" spans="1:20" ht="15" customHeight="1">
      <c r="H218" s="599"/>
      <c r="I218" s="599"/>
      <c r="J218" s="529"/>
      <c r="K218" s="599"/>
      <c r="L218" s="607"/>
      <c r="M218" s="599"/>
      <c r="N218" s="607"/>
      <c r="O218" s="607"/>
      <c r="P218" s="607"/>
      <c r="R218" s="620"/>
    </row>
    <row r="219" spans="1:20" ht="15" customHeight="1">
      <c r="A219" s="526"/>
      <c r="B219" s="529"/>
      <c r="J219" s="603"/>
      <c r="L219" s="608">
        <f>SUM(L217:L217)</f>
        <v>85418832.572515503</v>
      </c>
      <c r="N219" s="608">
        <f>SUM(N217:N217)</f>
        <v>61683695</v>
      </c>
      <c r="O219" s="603"/>
      <c r="P219" s="608">
        <f>SUM(P217:P217)</f>
        <v>13746153</v>
      </c>
      <c r="R219" s="618"/>
    </row>
    <row r="220" spans="1:20" s="521" customFormat="1" hidden="1">
      <c r="A220" s="571"/>
      <c r="C220" s="540"/>
      <c r="D220" s="540"/>
      <c r="H220" s="592"/>
      <c r="I220" s="592"/>
      <c r="J220" s="583"/>
      <c r="K220" s="601"/>
      <c r="L220" s="583"/>
      <c r="M220" s="601"/>
      <c r="N220" s="583"/>
      <c r="O220" s="605"/>
      <c r="P220" s="583"/>
      <c r="R220" s="605"/>
    </row>
    <row r="221" spans="1:20" s="521" customFormat="1" hidden="1">
      <c r="A221" s="571"/>
      <c r="C221" s="540"/>
      <c r="D221" s="540"/>
      <c r="H221" s="592"/>
      <c r="I221" s="592"/>
      <c r="J221" s="583"/>
      <c r="K221" s="601"/>
      <c r="L221" s="583"/>
      <c r="M221" s="601"/>
      <c r="N221" s="583"/>
      <c r="O221" s="605"/>
      <c r="P221" s="583"/>
      <c r="R221" s="605"/>
    </row>
    <row r="222" spans="1:20" s="521" customFormat="1" hidden="1">
      <c r="A222" s="571"/>
      <c r="C222" s="540"/>
      <c r="D222" s="540"/>
      <c r="H222" s="592"/>
      <c r="I222" s="592"/>
      <c r="J222" s="583"/>
      <c r="K222" s="601"/>
      <c r="L222" s="583"/>
      <c r="M222" s="601"/>
      <c r="N222" s="583"/>
      <c r="O222" s="605"/>
      <c r="P222" s="583"/>
      <c r="R222" s="605"/>
    </row>
    <row r="223" spans="1:20" s="521" customFormat="1" hidden="1">
      <c r="A223" s="571"/>
      <c r="C223" s="540"/>
      <c r="D223" s="540"/>
      <c r="H223" s="592"/>
      <c r="I223" s="592"/>
      <c r="J223" s="583"/>
      <c r="K223" s="601"/>
      <c r="L223" s="583"/>
      <c r="M223" s="601"/>
      <c r="N223" s="583"/>
      <c r="O223" s="605"/>
      <c r="P223" s="583"/>
      <c r="R223" s="605"/>
    </row>
    <row r="224" spans="1:20" s="521" customFormat="1">
      <c r="A224" s="571"/>
      <c r="C224" s="540"/>
      <c r="D224" s="540"/>
      <c r="H224" s="592"/>
      <c r="I224" s="592"/>
      <c r="J224" s="583"/>
      <c r="K224" s="601"/>
      <c r="L224" s="583"/>
      <c r="M224" s="601"/>
      <c r="N224" s="583"/>
      <c r="O224" s="605"/>
      <c r="P224" s="583"/>
      <c r="R224" s="605"/>
    </row>
    <row r="225" spans="1:19" s="521" customFormat="1">
      <c r="A225" s="526">
        <v>9</v>
      </c>
      <c r="B225" s="529" t="s">
        <v>969</v>
      </c>
      <c r="C225" s="525"/>
      <c r="D225" s="525"/>
      <c r="E225" s="525"/>
      <c r="F225" s="525"/>
      <c r="G225" s="525"/>
      <c r="H225" s="525"/>
      <c r="I225" s="525"/>
      <c r="J225" s="529"/>
      <c r="K225" s="525"/>
      <c r="L225" s="526"/>
      <c r="M225" s="525"/>
      <c r="N225" s="526"/>
      <c r="O225" s="526"/>
      <c r="P225" s="526"/>
      <c r="Q225" s="525"/>
      <c r="R225" s="605"/>
    </row>
    <row r="226" spans="1:19" s="521" customFormat="1">
      <c r="A226" s="526"/>
      <c r="B226" s="529"/>
      <c r="C226" s="525"/>
      <c r="D226" s="525"/>
      <c r="E226" s="525"/>
      <c r="F226" s="525"/>
      <c r="G226" s="525"/>
      <c r="H226" s="525"/>
      <c r="I226" s="525"/>
      <c r="J226" s="529"/>
      <c r="K226" s="525"/>
      <c r="L226" s="525"/>
      <c r="M226" s="525"/>
      <c r="N226" s="525"/>
      <c r="O226" s="525"/>
      <c r="P226" s="525"/>
      <c r="Q226" s="525"/>
      <c r="R226" s="605"/>
    </row>
    <row r="227" spans="1:19" s="521" customFormat="1">
      <c r="A227" s="526"/>
      <c r="B227" s="525" t="s">
        <v>1253</v>
      </c>
      <c r="C227" s="525"/>
      <c r="D227" s="525"/>
      <c r="E227" s="525"/>
      <c r="F227" s="525"/>
      <c r="G227" s="525"/>
      <c r="H227" s="525"/>
      <c r="I227" s="525"/>
      <c r="J227" s="529"/>
      <c r="K227" s="525"/>
      <c r="L227" s="525">
        <f>N232</f>
        <v>152583275.09</v>
      </c>
      <c r="M227" s="525"/>
      <c r="N227" s="525">
        <f>P232</f>
        <v>129332833</v>
      </c>
      <c r="O227" s="525"/>
      <c r="P227" s="525">
        <v>108560010</v>
      </c>
      <c r="Q227" s="525"/>
      <c r="R227" s="605"/>
    </row>
    <row r="228" spans="1:19" s="521" customFormat="1">
      <c r="A228" s="526"/>
      <c r="B228" s="525" t="s">
        <v>1254</v>
      </c>
      <c r="C228" s="525"/>
      <c r="D228" s="525"/>
      <c r="E228" s="525"/>
      <c r="F228" s="525"/>
      <c r="G228" s="525"/>
      <c r="H228" s="525"/>
      <c r="I228" s="525"/>
      <c r="J228" s="529"/>
      <c r="K228" s="525"/>
      <c r="L228" s="525">
        <v>0</v>
      </c>
      <c r="M228" s="525"/>
      <c r="N228" s="525">
        <v>0</v>
      </c>
      <c r="O228" s="525"/>
      <c r="P228" s="525">
        <v>0</v>
      </c>
      <c r="Q228" s="525"/>
      <c r="R228" s="605"/>
    </row>
    <row r="229" spans="1:19" s="521" customFormat="1">
      <c r="A229" s="526"/>
      <c r="B229" s="525" t="s">
        <v>1255</v>
      </c>
      <c r="C229" s="525"/>
      <c r="D229" s="525"/>
      <c r="E229" s="525"/>
      <c r="F229" s="525"/>
      <c r="G229" s="525"/>
      <c r="H229" s="525"/>
      <c r="I229" s="525"/>
      <c r="J229" s="529"/>
      <c r="K229" s="525"/>
      <c r="L229" s="525">
        <f>'P &amp; L'!J27</f>
        <v>103329266.74704777</v>
      </c>
      <c r="M229" s="525"/>
      <c r="N229" s="525">
        <f>'P &amp; L'!L27</f>
        <v>76360455.090000004</v>
      </c>
      <c r="O229" s="525"/>
      <c r="P229" s="525">
        <f>'P &amp; L'!N27</f>
        <v>67009107</v>
      </c>
      <c r="Q229" s="525"/>
      <c r="R229" s="605"/>
    </row>
    <row r="230" spans="1:19" s="521" customFormat="1">
      <c r="A230" s="524"/>
      <c r="B230" s="525"/>
      <c r="C230" s="525"/>
      <c r="D230" s="525"/>
      <c r="E230" s="525"/>
      <c r="F230" s="525"/>
      <c r="G230" s="525"/>
      <c r="H230" s="525"/>
      <c r="I230" s="525"/>
      <c r="J230" s="529"/>
      <c r="K230" s="525"/>
      <c r="L230" s="609">
        <f>SUM(L227:L229)</f>
        <v>255912541.83704776</v>
      </c>
      <c r="M230" s="525"/>
      <c r="N230" s="609">
        <f>SUM(N227:N229)</f>
        <v>205693288.09</v>
      </c>
      <c r="O230" s="603"/>
      <c r="P230" s="609">
        <f>SUM(P227:P229)</f>
        <v>175569117</v>
      </c>
      <c r="Q230" s="617"/>
      <c r="R230" s="605"/>
    </row>
    <row r="231" spans="1:19" s="521" customFormat="1">
      <c r="A231" s="524"/>
      <c r="B231" s="525" t="s">
        <v>1031</v>
      </c>
      <c r="C231" s="525"/>
      <c r="D231" s="525"/>
      <c r="E231" s="525"/>
      <c r="F231" s="525"/>
      <c r="G231" s="525"/>
      <c r="H231" s="525"/>
      <c r="I231" s="525"/>
      <c r="J231" s="529"/>
      <c r="K231" s="525"/>
      <c r="L231" s="603">
        <f>N231*(1+S232)</f>
        <v>-61005626.681853801</v>
      </c>
      <c r="M231" s="525"/>
      <c r="N231" s="603">
        <v>-53110013</v>
      </c>
      <c r="O231" s="603"/>
      <c r="P231" s="603">
        <v>-46236284</v>
      </c>
      <c r="Q231" s="617"/>
      <c r="R231" s="605"/>
      <c r="S231" s="521">
        <f>N231-P231</f>
        <v>-6873729</v>
      </c>
    </row>
    <row r="232" spans="1:19" s="521" customFormat="1">
      <c r="A232" s="524"/>
      <c r="B232" s="525"/>
      <c r="C232" s="525"/>
      <c r="D232" s="525"/>
      <c r="E232" s="525"/>
      <c r="F232" s="525"/>
      <c r="G232" s="525"/>
      <c r="H232" s="525"/>
      <c r="I232" s="525"/>
      <c r="J232" s="529"/>
      <c r="K232" s="525"/>
      <c r="L232" s="604">
        <f>SUM(L230:L231)</f>
        <v>194906915.15519395</v>
      </c>
      <c r="M232" s="525"/>
      <c r="N232" s="604">
        <f>SUM(N230:N231)</f>
        <v>152583275.09</v>
      </c>
      <c r="O232" s="603"/>
      <c r="P232" s="604">
        <f>SUM(P230:P231)</f>
        <v>129332833</v>
      </c>
      <c r="Q232" s="617"/>
      <c r="R232" s="605"/>
      <c r="S232" s="627">
        <f>S231/P231</f>
        <v>0.14866525605734199</v>
      </c>
    </row>
    <row r="233" spans="1:19" s="521" customFormat="1">
      <c r="A233" s="524"/>
      <c r="B233" s="525"/>
      <c r="C233" s="525"/>
      <c r="D233" s="525"/>
      <c r="E233" s="525"/>
      <c r="F233" s="525"/>
      <c r="G233" s="525"/>
      <c r="H233" s="525"/>
      <c r="I233" s="525"/>
      <c r="J233" s="529"/>
      <c r="K233" s="525"/>
      <c r="L233" s="603"/>
      <c r="M233" s="525"/>
      <c r="N233" s="603"/>
      <c r="O233" s="603"/>
      <c r="P233" s="603"/>
      <c r="Q233" s="617"/>
      <c r="R233" s="605"/>
    </row>
    <row r="234" spans="1:19" s="521" customFormat="1">
      <c r="A234" s="526">
        <v>10</v>
      </c>
      <c r="B234" s="529" t="s">
        <v>1256</v>
      </c>
      <c r="C234" s="525"/>
      <c r="D234" s="525"/>
      <c r="E234" s="525"/>
      <c r="F234" s="525"/>
      <c r="G234" s="525"/>
      <c r="H234" s="525"/>
      <c r="I234" s="525"/>
      <c r="J234" s="529"/>
      <c r="K234" s="525"/>
      <c r="L234" s="603"/>
      <c r="M234" s="525"/>
      <c r="N234" s="603"/>
      <c r="O234" s="603"/>
      <c r="P234" s="603"/>
      <c r="Q234" s="617"/>
      <c r="R234" s="605"/>
    </row>
    <row r="235" spans="1:19" s="521" customFormat="1" ht="3.75" customHeight="1">
      <c r="A235" s="526"/>
      <c r="B235" s="529"/>
      <c r="C235" s="525"/>
      <c r="D235" s="525"/>
      <c r="E235" s="525"/>
      <c r="F235" s="525"/>
      <c r="G235" s="525"/>
      <c r="H235" s="525"/>
      <c r="I235" s="525"/>
      <c r="J235" s="529"/>
      <c r="K235" s="525"/>
      <c r="L235" s="603"/>
      <c r="M235" s="525"/>
      <c r="N235" s="603"/>
      <c r="O235" s="603"/>
      <c r="P235" s="603"/>
      <c r="Q235" s="617"/>
      <c r="R235" s="605"/>
    </row>
    <row r="236" spans="1:19" s="521" customFormat="1">
      <c r="A236" s="1373" t="s">
        <v>1257</v>
      </c>
      <c r="B236" s="529" t="s">
        <v>1258</v>
      </c>
      <c r="C236" s="525"/>
      <c r="D236" s="525"/>
      <c r="E236" s="525"/>
      <c r="F236" s="525"/>
      <c r="G236" s="525"/>
      <c r="H236" s="525"/>
      <c r="I236" s="525"/>
      <c r="J236" s="529"/>
      <c r="K236" s="525"/>
      <c r="L236" s="603"/>
      <c r="M236" s="525"/>
      <c r="N236" s="603"/>
      <c r="O236" s="603"/>
      <c r="P236" s="603"/>
      <c r="Q236" s="617"/>
      <c r="R236" s="605"/>
    </row>
    <row r="237" spans="1:19" s="521" customFormat="1">
      <c r="A237" s="524"/>
      <c r="B237" s="525"/>
      <c r="C237" s="525"/>
      <c r="D237" s="525"/>
      <c r="E237" s="525"/>
      <c r="F237" s="525"/>
      <c r="G237" s="525"/>
      <c r="H237" s="525"/>
      <c r="I237" s="525"/>
      <c r="J237" s="529"/>
      <c r="K237" s="525"/>
      <c r="L237" s="603"/>
      <c r="M237" s="525"/>
      <c r="N237" s="603"/>
      <c r="O237" s="603"/>
      <c r="P237" s="603"/>
      <c r="Q237" s="617"/>
      <c r="R237" s="605"/>
    </row>
    <row r="238" spans="1:19" s="521" customFormat="1">
      <c r="A238" s="524"/>
      <c r="B238" s="525" t="s">
        <v>1259</v>
      </c>
      <c r="C238" s="525"/>
      <c r="D238" s="525"/>
      <c r="E238" s="525"/>
      <c r="F238" s="525"/>
      <c r="G238" s="525"/>
      <c r="H238" s="525"/>
      <c r="I238" s="525"/>
      <c r="J238" s="529"/>
      <c r="K238" s="525"/>
      <c r="L238" s="603">
        <v>7500000</v>
      </c>
      <c r="M238" s="525"/>
      <c r="N238" s="603">
        <v>7500000</v>
      </c>
      <c r="O238" s="603"/>
      <c r="P238" s="603">
        <v>0</v>
      </c>
      <c r="Q238" s="617"/>
      <c r="R238" s="605"/>
    </row>
    <row r="239" spans="1:19" s="521" customFormat="1">
      <c r="A239" s="524"/>
      <c r="B239" s="525" t="s">
        <v>1260</v>
      </c>
      <c r="C239" s="525"/>
      <c r="D239" s="525"/>
      <c r="E239" s="525"/>
      <c r="F239" s="525"/>
      <c r="G239" s="525"/>
      <c r="H239" s="525"/>
      <c r="I239" s="525"/>
      <c r="J239" s="529"/>
      <c r="K239" s="525"/>
      <c r="L239" s="603">
        <v>7000000</v>
      </c>
      <c r="M239" s="525"/>
      <c r="N239" s="603">
        <v>7000000</v>
      </c>
      <c r="O239" s="603"/>
      <c r="P239" s="603">
        <v>0</v>
      </c>
      <c r="Q239" s="617"/>
      <c r="R239" s="605"/>
    </row>
    <row r="240" spans="1:19" s="521" customFormat="1">
      <c r="A240" s="524"/>
      <c r="B240" s="525"/>
      <c r="C240" s="525"/>
      <c r="D240" s="525"/>
      <c r="E240" s="525"/>
      <c r="F240" s="525"/>
      <c r="G240" s="525"/>
      <c r="H240" s="525"/>
      <c r="I240" s="525"/>
      <c r="J240" s="529"/>
      <c r="K240" s="525"/>
      <c r="L240" s="604">
        <f>SUM(L238:L239)</f>
        <v>14500000</v>
      </c>
      <c r="M240" s="525"/>
      <c r="N240" s="604">
        <f>SUM(N238:N239)</f>
        <v>14500000</v>
      </c>
      <c r="O240" s="603"/>
      <c r="P240" s="604">
        <f>SUM(P238:P239)</f>
        <v>0</v>
      </c>
      <c r="Q240" s="617"/>
      <c r="R240" s="605"/>
    </row>
    <row r="241" spans="1:18" s="521" customFormat="1">
      <c r="A241" s="524"/>
      <c r="B241" s="525"/>
      <c r="C241" s="525"/>
      <c r="D241" s="525"/>
      <c r="E241" s="525"/>
      <c r="F241" s="525"/>
      <c r="G241" s="525"/>
      <c r="H241" s="525"/>
      <c r="I241" s="525"/>
      <c r="J241" s="529"/>
      <c r="K241" s="525"/>
      <c r="L241" s="603"/>
      <c r="M241" s="525"/>
      <c r="N241" s="603"/>
      <c r="O241" s="603"/>
      <c r="P241" s="603"/>
      <c r="Q241" s="617"/>
      <c r="R241" s="605"/>
    </row>
    <row r="242" spans="1:18" s="521" customFormat="1">
      <c r="A242" s="524"/>
      <c r="B242" s="525" t="s">
        <v>1261</v>
      </c>
      <c r="C242" s="525"/>
      <c r="D242" s="525"/>
      <c r="E242" s="525"/>
      <c r="F242" s="525"/>
      <c r="G242" s="525"/>
      <c r="H242" s="525"/>
      <c r="I242" s="525"/>
      <c r="J242" s="529"/>
      <c r="K242" s="525"/>
      <c r="L242" s="603">
        <f>N247</f>
        <v>13939439.68</v>
      </c>
      <c r="M242" s="525"/>
      <c r="N242" s="603">
        <v>0</v>
      </c>
      <c r="O242" s="603"/>
      <c r="P242" s="603">
        <v>0</v>
      </c>
      <c r="Q242" s="617"/>
      <c r="R242" s="605"/>
    </row>
    <row r="243" spans="1:18" s="521" customFormat="1">
      <c r="A243" s="524"/>
      <c r="B243" s="525" t="s">
        <v>1262</v>
      </c>
      <c r="C243" s="525"/>
      <c r="D243" s="525"/>
      <c r="E243" s="525"/>
      <c r="F243" s="525"/>
      <c r="G243" s="525"/>
      <c r="H243" s="525"/>
      <c r="I243" s="525"/>
      <c r="J243" s="529"/>
      <c r="K243" s="525"/>
      <c r="L243" s="603">
        <v>0</v>
      </c>
      <c r="M243" s="525"/>
      <c r="N243" s="603">
        <f>N240</f>
        <v>14500000</v>
      </c>
      <c r="O243" s="603"/>
      <c r="P243" s="603">
        <f>P240</f>
        <v>0</v>
      </c>
      <c r="Q243" s="617"/>
      <c r="R243" s="605"/>
    </row>
    <row r="244" spans="1:18" s="521" customFormat="1">
      <c r="A244" s="524"/>
      <c r="B244" s="525" t="s">
        <v>1263</v>
      </c>
      <c r="C244" s="525"/>
      <c r="D244" s="525"/>
      <c r="E244" s="525"/>
      <c r="F244" s="525"/>
      <c r="G244" s="525"/>
      <c r="H244" s="525"/>
      <c r="I244" s="525"/>
      <c r="J244" s="603"/>
      <c r="K244" s="525"/>
      <c r="L244" s="603">
        <v>0</v>
      </c>
      <c r="M244" s="525"/>
      <c r="N244" s="603">
        <f>Loan!D67+Loan!P43</f>
        <v>2286126.9900000002</v>
      </c>
      <c r="O244" s="603"/>
      <c r="P244" s="603">
        <f>Loan!F67+Loan!R43</f>
        <v>0</v>
      </c>
      <c r="Q244" s="617"/>
      <c r="R244" s="605"/>
    </row>
    <row r="245" spans="1:18" s="521" customFormat="1">
      <c r="A245" s="524"/>
      <c r="B245" s="525" t="s">
        <v>1264</v>
      </c>
      <c r="C245" s="525"/>
      <c r="D245" s="525"/>
      <c r="E245" s="525"/>
      <c r="F245" s="525"/>
      <c r="G245" s="525"/>
      <c r="H245" s="525"/>
      <c r="I245" s="525"/>
      <c r="J245" s="529"/>
      <c r="K245" s="525"/>
      <c r="L245" s="603">
        <f>-(Loan!J25+Loan!V25)</f>
        <v>-3833328</v>
      </c>
      <c r="M245" s="525"/>
      <c r="N245" s="603">
        <f>-(Loan!J13+Loan!V13)</f>
        <v>-2236108</v>
      </c>
      <c r="O245" s="603"/>
      <c r="P245" s="603" t="e">
        <f>-(Loan!L13+Loan!#REF!)</f>
        <v>#REF!</v>
      </c>
      <c r="Q245" s="617"/>
      <c r="R245" s="605"/>
    </row>
    <row r="246" spans="1:18" s="521" customFormat="1">
      <c r="A246" s="524"/>
      <c r="B246" s="525" t="s">
        <v>1265</v>
      </c>
      <c r="C246" s="525"/>
      <c r="D246" s="525"/>
      <c r="E246" s="525"/>
      <c r="F246" s="525"/>
      <c r="G246" s="525"/>
      <c r="H246" s="525"/>
      <c r="I246" s="525"/>
      <c r="J246" s="529"/>
      <c r="K246" s="525"/>
      <c r="L246" s="603">
        <f>-(Loan!I25+Loan!U25)</f>
        <v>-825738.7</v>
      </c>
      <c r="M246" s="525"/>
      <c r="N246" s="603">
        <f>-(Loan!I13+Loan!U13)</f>
        <v>-610579.31000000006</v>
      </c>
      <c r="O246" s="603"/>
      <c r="P246" s="603">
        <f>-(Loan!K13+Loan!T13)</f>
        <v>0</v>
      </c>
      <c r="Q246" s="617"/>
      <c r="R246" s="605"/>
    </row>
    <row r="247" spans="1:18" s="521" customFormat="1">
      <c r="A247" s="524"/>
      <c r="B247" s="525" t="s">
        <v>1266</v>
      </c>
      <c r="C247" s="525"/>
      <c r="D247" s="525"/>
      <c r="E247" s="525"/>
      <c r="F247" s="525"/>
      <c r="G247" s="525"/>
      <c r="H247" s="525"/>
      <c r="I247" s="525"/>
      <c r="J247" s="529"/>
      <c r="K247" s="525"/>
      <c r="L247" s="604">
        <f>SUM(L242:L246)</f>
        <v>9280372.9800000004</v>
      </c>
      <c r="M247" s="525"/>
      <c r="N247" s="604">
        <f>SUM(N242:N246)</f>
        <v>13939439.68</v>
      </c>
      <c r="O247" s="603"/>
      <c r="P247" s="604" t="e">
        <f>SUM(P242:P246)</f>
        <v>#REF!</v>
      </c>
      <c r="Q247" s="617"/>
      <c r="R247" s="605"/>
    </row>
    <row r="248" spans="1:18" s="521" customFormat="1">
      <c r="A248" s="524"/>
      <c r="B248" s="525"/>
      <c r="C248" s="525"/>
      <c r="D248" s="525"/>
      <c r="E248" s="525"/>
      <c r="F248" s="525"/>
      <c r="G248" s="525"/>
      <c r="H248" s="525"/>
      <c r="I248" s="525"/>
      <c r="J248" s="529"/>
      <c r="K248" s="525"/>
      <c r="L248" s="603"/>
      <c r="M248" s="525"/>
      <c r="N248" s="603"/>
      <c r="O248" s="603"/>
      <c r="P248" s="603"/>
      <c r="Q248" s="617"/>
      <c r="R248" s="605"/>
    </row>
    <row r="249" spans="1:18" s="521" customFormat="1">
      <c r="A249" s="524"/>
      <c r="B249" s="525" t="s">
        <v>1267</v>
      </c>
      <c r="C249" s="525"/>
      <c r="D249" s="525"/>
      <c r="E249" s="525"/>
      <c r="F249" s="525"/>
      <c r="G249" s="525"/>
      <c r="H249" s="525"/>
      <c r="I249" s="525"/>
      <c r="J249" s="529"/>
      <c r="K249" s="525"/>
      <c r="L249" s="603">
        <f>Loan!F37+Loan!G37+Loan!R37+Loan!S37</f>
        <v>4344522.7699999996</v>
      </c>
      <c r="M249" s="525"/>
      <c r="N249" s="603">
        <f>Loan!F25+Loan!G25+Loan!R25+Loan!S25</f>
        <v>4659066.7</v>
      </c>
      <c r="O249" s="603"/>
      <c r="P249" s="603"/>
      <c r="Q249" s="617"/>
      <c r="R249" s="605"/>
    </row>
    <row r="250" spans="1:18" s="521" customFormat="1">
      <c r="A250" s="524"/>
      <c r="B250" s="525" t="s">
        <v>1268</v>
      </c>
      <c r="C250" s="525"/>
      <c r="D250" s="525"/>
      <c r="E250" s="525"/>
      <c r="F250" s="525"/>
      <c r="G250" s="525"/>
      <c r="H250" s="525"/>
      <c r="I250" s="525"/>
      <c r="J250" s="529"/>
      <c r="K250" s="525"/>
      <c r="L250" s="603">
        <f>Loan!F38+Loan!G38+Loan!R38+Loan!S38</f>
        <v>4935850.21</v>
      </c>
      <c r="M250" s="525"/>
      <c r="N250" s="603">
        <f>Loan!F26+Loan!G26+Loan!R26+Loan!S26</f>
        <v>9280372.9800000004</v>
      </c>
      <c r="O250" s="603"/>
      <c r="P250" s="603"/>
      <c r="Q250" s="617"/>
      <c r="R250" s="605"/>
    </row>
    <row r="251" spans="1:18" s="521" customFormat="1">
      <c r="A251" s="524"/>
      <c r="B251" s="525" t="s">
        <v>1266</v>
      </c>
      <c r="C251" s="525"/>
      <c r="D251" s="525"/>
      <c r="E251" s="525"/>
      <c r="F251" s="525"/>
      <c r="G251" s="525"/>
      <c r="H251" s="525"/>
      <c r="I251" s="525"/>
      <c r="J251" s="529"/>
      <c r="K251" s="525"/>
      <c r="L251" s="604">
        <f>SUM(L249:L250)</f>
        <v>9280372.9800000004</v>
      </c>
      <c r="M251" s="525"/>
      <c r="N251" s="604">
        <f>SUM(N249:N250)</f>
        <v>13939439.68</v>
      </c>
      <c r="O251" s="603"/>
      <c r="P251" s="603"/>
      <c r="Q251" s="617"/>
      <c r="R251" s="605"/>
    </row>
    <row r="252" spans="1:18" s="521" customFormat="1">
      <c r="A252" s="524"/>
      <c r="B252" s="525"/>
      <c r="C252" s="525"/>
      <c r="D252" s="525"/>
      <c r="E252" s="525"/>
      <c r="F252" s="525"/>
      <c r="G252" s="525"/>
      <c r="H252" s="525"/>
      <c r="I252" s="525"/>
      <c r="J252" s="529"/>
      <c r="K252" s="525"/>
      <c r="L252" s="603"/>
      <c r="M252" s="525"/>
      <c r="N252" s="603"/>
      <c r="O252" s="603"/>
      <c r="P252" s="603"/>
      <c r="Q252" s="617"/>
      <c r="R252" s="605"/>
    </row>
    <row r="253" spans="1:18" s="521" customFormat="1">
      <c r="A253" s="524"/>
      <c r="B253" s="525"/>
      <c r="C253" s="525"/>
      <c r="D253" s="525"/>
      <c r="E253" s="525"/>
      <c r="F253" s="525"/>
      <c r="G253" s="525"/>
      <c r="H253" s="525"/>
      <c r="I253" s="525"/>
      <c r="J253" s="529"/>
      <c r="K253" s="525"/>
      <c r="L253" s="525"/>
      <c r="M253" s="525"/>
      <c r="N253" s="603"/>
      <c r="O253" s="603"/>
      <c r="P253" s="603"/>
      <c r="Q253" s="617"/>
      <c r="R253" s="605"/>
    </row>
    <row r="254" spans="1:18" s="521" customFormat="1" ht="15" customHeight="1">
      <c r="A254" s="594" t="s">
        <v>1269</v>
      </c>
      <c r="B254" s="1474" t="s">
        <v>1270</v>
      </c>
      <c r="C254" s="1475"/>
      <c r="D254" s="1475"/>
      <c r="E254" s="1474" t="s">
        <v>1271</v>
      </c>
      <c r="F254" s="1475"/>
      <c r="G254" s="1476"/>
      <c r="H254" s="1477" t="s">
        <v>1272</v>
      </c>
      <c r="I254" s="1478"/>
      <c r="J254" s="1474" t="s">
        <v>1273</v>
      </c>
      <c r="K254" s="1476"/>
      <c r="L254" s="595" t="s">
        <v>1274</v>
      </c>
      <c r="M254" s="600"/>
      <c r="N254" s="611" t="s">
        <v>1275</v>
      </c>
      <c r="Q254" s="617"/>
      <c r="R254" s="605"/>
    </row>
    <row r="255" spans="1:18" s="521" customFormat="1" ht="39" customHeight="1">
      <c r="A255" s="596">
        <v>1</v>
      </c>
      <c r="B255" s="1479" t="s">
        <v>1258</v>
      </c>
      <c r="C255" s="1480"/>
      <c r="D255" s="1481"/>
      <c r="E255" s="1479" t="s">
        <v>1276</v>
      </c>
      <c r="F255" s="1480"/>
      <c r="G255" s="1481"/>
      <c r="H255" s="1482">
        <v>7.0000000000000007E-2</v>
      </c>
      <c r="I255" s="1483"/>
      <c r="J255" s="1484">
        <f>N238</f>
        <v>7500000</v>
      </c>
      <c r="K255" s="1485"/>
      <c r="L255" s="610" t="s">
        <v>1277</v>
      </c>
      <c r="M255" s="612"/>
      <c r="N255" s="613">
        <v>47269</v>
      </c>
      <c r="Q255" s="617"/>
      <c r="R255" s="605"/>
    </row>
    <row r="256" spans="1:18" s="521" customFormat="1" ht="39" customHeight="1">
      <c r="A256" s="596">
        <v>2</v>
      </c>
      <c r="B256" s="1479" t="s">
        <v>1258</v>
      </c>
      <c r="C256" s="1480"/>
      <c r="D256" s="1481"/>
      <c r="E256" s="1479" t="s">
        <v>1276</v>
      </c>
      <c r="F256" s="1480"/>
      <c r="G256" s="1481"/>
      <c r="H256" s="1482">
        <v>0.09</v>
      </c>
      <c r="I256" s="1483"/>
      <c r="J256" s="1484">
        <f>N239</f>
        <v>7000000</v>
      </c>
      <c r="K256" s="1485"/>
      <c r="L256" s="610" t="s">
        <v>1277</v>
      </c>
      <c r="M256" s="612"/>
      <c r="N256" s="614">
        <v>46543</v>
      </c>
      <c r="Q256" s="617"/>
      <c r="R256" s="605"/>
    </row>
    <row r="257" spans="1:18" s="521" customFormat="1">
      <c r="A257" s="524"/>
      <c r="B257" s="525"/>
      <c r="C257" s="525"/>
      <c r="D257" s="525"/>
      <c r="E257" s="525"/>
      <c r="F257" s="525"/>
      <c r="G257" s="525"/>
      <c r="H257" s="525"/>
      <c r="I257" s="525"/>
      <c r="J257" s="529"/>
      <c r="K257" s="525"/>
      <c r="L257" s="525"/>
      <c r="M257" s="525"/>
      <c r="N257" s="603"/>
      <c r="O257" s="603"/>
      <c r="P257" s="603"/>
      <c r="Q257" s="617"/>
      <c r="R257" s="605"/>
    </row>
    <row r="258" spans="1:18" s="521" customFormat="1">
      <c r="A258" s="524"/>
      <c r="B258" s="525"/>
      <c r="C258" s="525"/>
      <c r="D258" s="525"/>
      <c r="E258" s="525"/>
      <c r="F258" s="525"/>
      <c r="G258" s="525"/>
      <c r="H258" s="525"/>
      <c r="I258" s="525"/>
      <c r="J258" s="529"/>
      <c r="K258" s="525"/>
      <c r="L258" s="525"/>
      <c r="M258" s="525"/>
      <c r="N258" s="603"/>
      <c r="O258" s="603"/>
      <c r="P258" s="603"/>
      <c r="Q258" s="617"/>
      <c r="R258" s="605"/>
    </row>
    <row r="259" spans="1:18" s="521" customFormat="1">
      <c r="A259" s="524"/>
      <c r="B259" s="525"/>
      <c r="C259" s="525"/>
      <c r="D259" s="525"/>
      <c r="E259" s="525"/>
      <c r="F259" s="525"/>
      <c r="G259" s="525"/>
      <c r="H259" s="525"/>
      <c r="I259" s="525"/>
      <c r="J259" s="529"/>
      <c r="K259" s="525"/>
      <c r="L259" s="525"/>
      <c r="M259" s="525"/>
      <c r="N259" s="603"/>
      <c r="O259" s="603"/>
      <c r="P259" s="603"/>
      <c r="Q259" s="617"/>
      <c r="R259" s="605"/>
    </row>
    <row r="260" spans="1:18" s="522" customFormat="1">
      <c r="A260" s="626"/>
      <c r="B260" s="620"/>
      <c r="C260" s="620"/>
      <c r="D260" s="620"/>
      <c r="E260" s="620"/>
      <c r="F260" s="620"/>
      <c r="G260" s="620"/>
      <c r="H260" s="620"/>
      <c r="I260" s="620"/>
      <c r="J260" s="630"/>
      <c r="K260" s="620"/>
      <c r="L260" s="620"/>
      <c r="M260" s="620"/>
      <c r="N260" s="603"/>
      <c r="O260" s="603"/>
      <c r="P260" s="603"/>
      <c r="Q260" s="618"/>
      <c r="R260" s="605"/>
    </row>
    <row r="261" spans="1:18" s="521" customFormat="1">
      <c r="A261" s="524"/>
      <c r="B261" s="525"/>
      <c r="C261" s="525"/>
      <c r="D261" s="525"/>
      <c r="E261" s="525"/>
      <c r="F261" s="525"/>
      <c r="G261" s="525"/>
      <c r="H261" s="525"/>
      <c r="I261" s="525"/>
      <c r="J261" s="529"/>
      <c r="K261" s="525"/>
      <c r="L261" s="525"/>
      <c r="M261" s="525"/>
      <c r="N261" s="603"/>
      <c r="O261" s="603"/>
      <c r="P261" s="603"/>
      <c r="Q261" s="617"/>
      <c r="R261" s="605"/>
    </row>
    <row r="262" spans="1:18" s="521" customFormat="1">
      <c r="A262" s="524"/>
      <c r="B262" s="525"/>
      <c r="C262" s="525"/>
      <c r="D262" s="525"/>
      <c r="E262" s="525"/>
      <c r="F262" s="525"/>
      <c r="G262" s="525"/>
      <c r="H262" s="525"/>
      <c r="I262" s="525"/>
      <c r="J262" s="529"/>
      <c r="K262" s="525"/>
      <c r="L262" s="525"/>
      <c r="M262" s="525"/>
      <c r="N262" s="603"/>
      <c r="O262" s="603"/>
      <c r="P262" s="603"/>
      <c r="Q262" s="617"/>
      <c r="R262" s="605"/>
    </row>
    <row r="263" spans="1:18" s="521" customFormat="1">
      <c r="A263" s="524"/>
      <c r="B263" s="525"/>
      <c r="C263" s="525"/>
      <c r="D263" s="525"/>
      <c r="E263" s="525"/>
      <c r="F263" s="525"/>
      <c r="G263" s="525"/>
      <c r="H263" s="525"/>
      <c r="I263" s="525"/>
      <c r="J263" s="529"/>
      <c r="K263" s="525"/>
      <c r="L263" s="525"/>
      <c r="M263" s="525"/>
      <c r="N263" s="603"/>
      <c r="O263" s="603"/>
      <c r="P263" s="603"/>
      <c r="Q263" s="617"/>
      <c r="R263" s="605"/>
    </row>
    <row r="264" spans="1:18" s="521" customFormat="1">
      <c r="A264" s="524"/>
      <c r="B264" s="525"/>
      <c r="C264" s="525"/>
      <c r="D264" s="525"/>
      <c r="E264" s="525"/>
      <c r="F264" s="525"/>
      <c r="G264" s="525"/>
      <c r="H264" s="525"/>
      <c r="I264" s="525"/>
      <c r="J264" s="592"/>
      <c r="K264" s="601"/>
      <c r="L264" s="602">
        <v>2025</v>
      </c>
      <c r="M264" s="601"/>
      <c r="N264" s="602">
        <v>2024</v>
      </c>
      <c r="O264" s="603"/>
      <c r="P264" s="603"/>
      <c r="Q264" s="617"/>
      <c r="R264" s="605"/>
    </row>
    <row r="265" spans="1:18" s="521" customFormat="1">
      <c r="A265" s="524"/>
      <c r="B265" s="525"/>
      <c r="C265" s="525"/>
      <c r="D265" s="525"/>
      <c r="E265" s="525"/>
      <c r="F265" s="525"/>
      <c r="G265" s="525"/>
      <c r="H265" s="525"/>
      <c r="I265" s="525"/>
      <c r="J265" s="598" t="s">
        <v>956</v>
      </c>
      <c r="K265" s="592"/>
      <c r="L265" s="526" t="s">
        <v>957</v>
      </c>
      <c r="M265" s="592"/>
      <c r="N265" s="526" t="s">
        <v>957</v>
      </c>
      <c r="O265" s="603"/>
      <c r="P265" s="603"/>
      <c r="Q265" s="617"/>
      <c r="R265" s="605"/>
    </row>
    <row r="266" spans="1:18" s="521" customFormat="1">
      <c r="A266" s="524"/>
      <c r="B266" s="525"/>
      <c r="C266" s="525"/>
      <c r="D266" s="525"/>
      <c r="E266" s="525"/>
      <c r="F266" s="525"/>
      <c r="G266" s="525"/>
      <c r="H266" s="525"/>
      <c r="I266" s="525"/>
      <c r="J266" s="529"/>
      <c r="K266" s="525"/>
      <c r="L266" s="525"/>
      <c r="M266" s="525"/>
      <c r="N266" s="603"/>
      <c r="O266" s="603"/>
      <c r="P266" s="603"/>
      <c r="Q266" s="617"/>
      <c r="R266" s="605"/>
    </row>
    <row r="267" spans="1:18" s="521" customFormat="1">
      <c r="A267" s="1373" t="s">
        <v>1278</v>
      </c>
      <c r="B267" s="529" t="s">
        <v>1279</v>
      </c>
      <c r="C267" s="525"/>
      <c r="D267" s="525"/>
      <c r="E267" s="525"/>
      <c r="F267" s="525"/>
      <c r="G267" s="525"/>
      <c r="H267" s="525"/>
      <c r="I267" s="525"/>
      <c r="J267" s="529"/>
      <c r="K267" s="525"/>
      <c r="L267" s="525"/>
      <c r="M267" s="525"/>
      <c r="N267" s="603"/>
      <c r="O267" s="603"/>
      <c r="P267" s="603"/>
      <c r="Q267" s="617"/>
      <c r="R267" s="605"/>
    </row>
    <row r="268" spans="1:18" s="521" customFormat="1">
      <c r="A268" s="524"/>
      <c r="B268" s="525"/>
      <c r="C268" s="525"/>
      <c r="D268" s="525"/>
      <c r="E268" s="525"/>
      <c r="F268" s="525"/>
      <c r="G268" s="525"/>
      <c r="H268" s="525"/>
      <c r="I268" s="525"/>
      <c r="J268" s="529"/>
      <c r="K268" s="525"/>
      <c r="L268" s="525"/>
      <c r="M268" s="525"/>
      <c r="N268" s="603"/>
      <c r="O268" s="603"/>
      <c r="P268" s="603"/>
      <c r="Q268" s="617"/>
      <c r="R268" s="605"/>
    </row>
    <row r="269" spans="1:18" s="521" customFormat="1">
      <c r="A269" s="524"/>
      <c r="B269" s="525" t="s">
        <v>1280</v>
      </c>
      <c r="C269" s="525"/>
      <c r="D269" s="525"/>
      <c r="E269" s="525"/>
      <c r="F269" s="525"/>
      <c r="G269" s="525"/>
      <c r="H269" s="525"/>
      <c r="I269" s="525"/>
      <c r="J269" s="529"/>
      <c r="K269" s="525"/>
      <c r="L269" s="603">
        <v>30000000</v>
      </c>
      <c r="M269" s="525"/>
      <c r="N269" s="603">
        <v>30000000</v>
      </c>
      <c r="O269" s="603"/>
      <c r="P269" s="603">
        <v>0</v>
      </c>
      <c r="Q269" s="617"/>
      <c r="R269" s="605"/>
    </row>
    <row r="270" spans="1:18" s="521" customFormat="1">
      <c r="A270" s="524"/>
      <c r="B270" s="525"/>
      <c r="C270" s="525"/>
      <c r="D270" s="525"/>
      <c r="E270" s="525"/>
      <c r="F270" s="525"/>
      <c r="G270" s="525"/>
      <c r="H270" s="525"/>
      <c r="I270" s="525"/>
      <c r="J270" s="529"/>
      <c r="K270" s="525"/>
      <c r="L270" s="604">
        <f>SUM(L269:L269)</f>
        <v>30000000</v>
      </c>
      <c r="M270" s="525"/>
      <c r="N270" s="604">
        <f>SUM(N269:N269)</f>
        <v>30000000</v>
      </c>
      <c r="O270" s="603"/>
      <c r="P270" s="604">
        <f>SUM(P269:P269)</f>
        <v>0</v>
      </c>
      <c r="Q270" s="617"/>
      <c r="R270" s="605"/>
    </row>
    <row r="271" spans="1:18" s="521" customFormat="1">
      <c r="A271" s="524"/>
      <c r="B271" s="525"/>
      <c r="C271" s="525"/>
      <c r="D271" s="525"/>
      <c r="E271" s="525"/>
      <c r="F271" s="525"/>
      <c r="G271" s="525"/>
      <c r="H271" s="525"/>
      <c r="I271" s="525"/>
      <c r="J271" s="529"/>
      <c r="K271" s="525"/>
      <c r="L271" s="525"/>
      <c r="M271" s="525"/>
      <c r="N271" s="609"/>
      <c r="O271" s="603"/>
      <c r="P271" s="609"/>
      <c r="Q271" s="617"/>
      <c r="R271" s="605"/>
    </row>
    <row r="272" spans="1:18" s="521" customFormat="1">
      <c r="A272" s="594" t="s">
        <v>1269</v>
      </c>
      <c r="B272" s="1474" t="s">
        <v>1270</v>
      </c>
      <c r="C272" s="1475"/>
      <c r="D272" s="1475"/>
      <c r="E272" s="1474" t="s">
        <v>1271</v>
      </c>
      <c r="F272" s="1475"/>
      <c r="G272" s="1476"/>
      <c r="H272" s="1477" t="s">
        <v>1272</v>
      </c>
      <c r="I272" s="1478"/>
      <c r="J272" s="1474" t="s">
        <v>1273</v>
      </c>
      <c r="K272" s="1476"/>
      <c r="L272" s="595" t="s">
        <v>1274</v>
      </c>
      <c r="M272" s="600"/>
      <c r="N272" s="611" t="s">
        <v>1275</v>
      </c>
      <c r="Q272" s="617"/>
      <c r="R272" s="605"/>
    </row>
    <row r="273" spans="1:21" s="521" customFormat="1" ht="37" customHeight="1">
      <c r="A273" s="596">
        <v>1</v>
      </c>
      <c r="B273" s="1479" t="s">
        <v>1279</v>
      </c>
      <c r="C273" s="1480"/>
      <c r="D273" s="1481"/>
      <c r="E273" s="1479" t="s">
        <v>1276</v>
      </c>
      <c r="F273" s="1480"/>
      <c r="G273" s="1481"/>
      <c r="H273" s="1482" t="s">
        <v>1281</v>
      </c>
      <c r="I273" s="1483"/>
      <c r="J273" s="1484">
        <f>N269</f>
        <v>30000000</v>
      </c>
      <c r="K273" s="1485"/>
      <c r="L273" s="610" t="s">
        <v>1277</v>
      </c>
      <c r="M273" s="612"/>
      <c r="N273" s="614">
        <v>46477</v>
      </c>
      <c r="Q273" s="617"/>
      <c r="R273" s="605"/>
    </row>
    <row r="274" spans="1:21" s="521" customFormat="1" ht="37" customHeight="1">
      <c r="A274" s="628"/>
      <c r="B274" s="628"/>
      <c r="C274" s="628"/>
      <c r="D274" s="628"/>
      <c r="E274" s="628"/>
      <c r="F274" s="628"/>
      <c r="G274" s="628"/>
      <c r="H274" s="629"/>
      <c r="I274" s="629"/>
      <c r="J274" s="567"/>
      <c r="K274" s="567"/>
      <c r="L274" s="631"/>
      <c r="M274" s="639"/>
      <c r="N274" s="640"/>
      <c r="Q274" s="617"/>
      <c r="R274" s="605"/>
    </row>
    <row r="275" spans="1:21" s="521" customFormat="1">
      <c r="A275" s="526">
        <v>11</v>
      </c>
      <c r="B275" s="539" t="s">
        <v>1282</v>
      </c>
      <c r="C275" s="540"/>
      <c r="D275" s="540"/>
      <c r="H275" s="598"/>
      <c r="I275" s="598"/>
      <c r="J275" s="598"/>
      <c r="K275" s="592"/>
      <c r="L275" s="526"/>
      <c r="M275" s="592"/>
      <c r="N275" s="526"/>
      <c r="O275" s="526"/>
      <c r="P275" s="526"/>
      <c r="R275" s="605"/>
    </row>
    <row r="276" spans="1:21" s="521" customFormat="1">
      <c r="A276" s="571"/>
      <c r="C276" s="540"/>
      <c r="D276" s="540"/>
      <c r="R276" s="605"/>
    </row>
    <row r="277" spans="1:21" s="521" customFormat="1">
      <c r="A277" s="571"/>
      <c r="B277" s="525" t="s">
        <v>1283</v>
      </c>
      <c r="C277" s="540"/>
      <c r="D277" s="540"/>
      <c r="J277" s="632"/>
      <c r="L277" s="607">
        <f>U278*R277</f>
        <v>40145096.3692009</v>
      </c>
      <c r="N277" s="607">
        <f>S279*R277+6500000</f>
        <v>29971739.5978125</v>
      </c>
      <c r="O277" s="607"/>
      <c r="P277" s="607">
        <v>21424003</v>
      </c>
      <c r="R277" s="643">
        <f>P277/P279</f>
        <v>0.90079810852605902</v>
      </c>
      <c r="T277" s="521">
        <f>N279-P279</f>
        <v>8773247</v>
      </c>
    </row>
    <row r="278" spans="1:21" s="521" customFormat="1">
      <c r="A278" s="571"/>
      <c r="B278" s="525" t="s">
        <v>1284</v>
      </c>
      <c r="C278" s="540"/>
      <c r="D278" s="540"/>
      <c r="J278" s="632"/>
      <c r="L278" s="607">
        <f>U278*R278</f>
        <v>4421045.5767327696</v>
      </c>
      <c r="N278" s="607">
        <f>S279*R278</f>
        <v>2584864.4021874601</v>
      </c>
      <c r="O278" s="607"/>
      <c r="P278" s="607">
        <v>2359354</v>
      </c>
      <c r="R278" s="643">
        <f>P278/P279</f>
        <v>9.9201891473941206E-2</v>
      </c>
      <c r="T278" s="627">
        <f>T277/P279</f>
        <v>0.36888177728652899</v>
      </c>
      <c r="U278" s="521">
        <f>N279*(1+T278)</f>
        <v>44566141.9459337</v>
      </c>
    </row>
    <row r="279" spans="1:21" s="521" customFormat="1">
      <c r="A279" s="571"/>
      <c r="C279" s="540"/>
      <c r="D279" s="540"/>
      <c r="J279" s="529"/>
      <c r="L279" s="608">
        <f>SUM(L277:L278)</f>
        <v>44566141.9459337</v>
      </c>
      <c r="N279" s="608">
        <f>SUM(N277:N278)</f>
        <v>32556604</v>
      </c>
      <c r="O279" s="603"/>
      <c r="P279" s="608">
        <f>SUM(P277:P278)</f>
        <v>23783357</v>
      </c>
      <c r="R279" s="605"/>
      <c r="S279" s="603">
        <v>26056604</v>
      </c>
    </row>
    <row r="280" spans="1:21" s="521" customFormat="1">
      <c r="A280" s="571"/>
      <c r="C280" s="540"/>
      <c r="D280" s="540"/>
      <c r="H280" s="592"/>
      <c r="I280" s="592"/>
      <c r="J280" s="583"/>
      <c r="K280" s="601"/>
      <c r="L280" s="583"/>
      <c r="M280" s="601"/>
      <c r="N280" s="583"/>
      <c r="O280" s="605"/>
      <c r="P280" s="583"/>
      <c r="R280" s="605"/>
    </row>
    <row r="281" spans="1:21" s="521" customFormat="1">
      <c r="A281" s="526">
        <v>12</v>
      </c>
      <c r="B281" s="529" t="s">
        <v>222</v>
      </c>
      <c r="C281" s="525"/>
      <c r="D281" s="525"/>
      <c r="H281" s="592"/>
      <c r="I281" s="592"/>
      <c r="J281" s="583"/>
      <c r="K281" s="601"/>
      <c r="L281" s="633">
        <f>U282</f>
        <v>824458687.28327894</v>
      </c>
      <c r="M281" s="601"/>
      <c r="N281" s="633">
        <v>732164323</v>
      </c>
      <c r="P281" s="521">
        <v>650201889</v>
      </c>
      <c r="R281" s="605"/>
      <c r="S281" s="521">
        <v>732164323</v>
      </c>
      <c r="T281" s="521">
        <f>N281-P281</f>
        <v>81962434</v>
      </c>
    </row>
    <row r="282" spans="1:21" s="521" customFormat="1">
      <c r="A282" s="526"/>
      <c r="B282" s="529"/>
      <c r="C282" s="525"/>
      <c r="D282" s="525"/>
      <c r="H282" s="592"/>
      <c r="I282" s="592"/>
      <c r="J282" s="583"/>
      <c r="K282" s="601"/>
      <c r="L282" s="634">
        <f>SUM(L281)</f>
        <v>824458687.28327894</v>
      </c>
      <c r="M282" s="601"/>
      <c r="N282" s="634">
        <f>SUM(N281)</f>
        <v>732164323</v>
      </c>
      <c r="O282" s="605"/>
      <c r="P282" s="634">
        <f>SUM(P281)</f>
        <v>650201889</v>
      </c>
      <c r="R282" s="605"/>
      <c r="S282" s="521">
        <f>+N282</f>
        <v>732164323</v>
      </c>
      <c r="T282" s="627">
        <f>T281/P281</f>
        <v>0.12605689922872601</v>
      </c>
      <c r="U282" s="521">
        <f>N282*(1+T282)</f>
        <v>824458687.28327894</v>
      </c>
    </row>
    <row r="283" spans="1:21" s="521" customFormat="1">
      <c r="A283" s="526"/>
      <c r="B283" s="529"/>
      <c r="C283" s="525"/>
      <c r="D283" s="525"/>
      <c r="H283" s="592"/>
      <c r="I283" s="592"/>
      <c r="J283" s="583"/>
      <c r="K283" s="601"/>
      <c r="L283" s="601"/>
      <c r="M283" s="601"/>
      <c r="N283" s="605"/>
      <c r="O283" s="605"/>
      <c r="P283" s="605"/>
      <c r="R283" s="605"/>
      <c r="S283" s="644">
        <f>S282-S281</f>
        <v>0</v>
      </c>
    </row>
    <row r="284" spans="1:21" s="521" customFormat="1">
      <c r="A284" s="526"/>
      <c r="B284" s="1471" t="s">
        <v>1285</v>
      </c>
      <c r="C284" s="1471"/>
      <c r="D284" s="1471"/>
      <c r="E284" s="1471"/>
      <c r="F284" s="1471"/>
      <c r="G284" s="1471"/>
      <c r="H284" s="1471"/>
      <c r="I284" s="1471"/>
      <c r="J284" s="1471"/>
      <c r="K284" s="1471"/>
      <c r="L284" s="1471"/>
      <c r="M284" s="1471"/>
      <c r="N284" s="1471"/>
      <c r="O284" s="641"/>
      <c r="P284" s="641"/>
      <c r="R284" s="605"/>
    </row>
    <row r="285" spans="1:21" s="521" customFormat="1">
      <c r="A285" s="526"/>
      <c r="B285" s="1471"/>
      <c r="C285" s="1471"/>
      <c r="D285" s="1471"/>
      <c r="E285" s="1471"/>
      <c r="F285" s="1471"/>
      <c r="G285" s="1471"/>
      <c r="H285" s="1471"/>
      <c r="I285" s="1471"/>
      <c r="J285" s="1471"/>
      <c r="K285" s="1471"/>
      <c r="L285" s="1471"/>
      <c r="M285" s="1471"/>
      <c r="N285" s="1471"/>
      <c r="O285" s="641"/>
      <c r="P285" s="641"/>
      <c r="R285" s="605"/>
      <c r="S285" s="645">
        <v>897536903.12</v>
      </c>
    </row>
    <row r="286" spans="1:21" s="521" customFormat="1" ht="6.75" customHeight="1">
      <c r="A286" s="571"/>
      <c r="C286" s="540"/>
      <c r="D286" s="540"/>
      <c r="H286" s="592"/>
      <c r="I286" s="592"/>
      <c r="J286" s="583"/>
      <c r="K286" s="601"/>
      <c r="L286" s="601"/>
      <c r="M286" s="601"/>
      <c r="N286" s="583"/>
      <c r="O286" s="605"/>
      <c r="P286" s="583"/>
      <c r="R286" s="605"/>
    </row>
    <row r="287" spans="1:21" s="521" customFormat="1" hidden="1">
      <c r="A287" s="571"/>
      <c r="C287" s="540"/>
      <c r="D287" s="540"/>
      <c r="H287" s="592"/>
      <c r="I287" s="592"/>
      <c r="J287" s="583"/>
      <c r="K287" s="601"/>
      <c r="L287" s="601"/>
      <c r="M287" s="601"/>
      <c r="N287" s="583"/>
      <c r="O287" s="605"/>
      <c r="P287" s="583"/>
      <c r="R287" s="605"/>
    </row>
    <row r="288" spans="1:21" s="521" customFormat="1">
      <c r="A288" s="571"/>
      <c r="C288" s="540"/>
      <c r="D288" s="540"/>
      <c r="H288" s="592"/>
      <c r="I288" s="592"/>
      <c r="J288" s="583"/>
      <c r="K288" s="601"/>
      <c r="L288" s="601"/>
      <c r="M288" s="601"/>
      <c r="N288" s="583"/>
      <c r="O288" s="605"/>
      <c r="P288" s="583"/>
      <c r="R288" s="605"/>
    </row>
    <row r="289" spans="1:21" s="521" customFormat="1">
      <c r="A289" s="526">
        <v>13</v>
      </c>
      <c r="B289" s="539" t="s">
        <v>874</v>
      </c>
      <c r="C289" s="540"/>
      <c r="D289" s="540"/>
      <c r="H289" s="598"/>
      <c r="I289" s="598"/>
      <c r="J289" s="598"/>
      <c r="K289" s="592"/>
      <c r="L289" s="592"/>
      <c r="M289" s="592"/>
      <c r="N289" s="526"/>
      <c r="O289" s="526"/>
      <c r="P289" s="526"/>
      <c r="R289" s="615"/>
    </row>
    <row r="290" spans="1:21" s="521" customFormat="1" ht="5.25" customHeight="1">
      <c r="A290" s="571"/>
      <c r="C290" s="540"/>
      <c r="D290" s="540"/>
      <c r="R290" s="522"/>
    </row>
    <row r="291" spans="1:21" s="521" customFormat="1" ht="15" hidden="1" customHeight="1">
      <c r="A291" s="571"/>
      <c r="B291" s="525" t="s">
        <v>729</v>
      </c>
      <c r="C291" s="540"/>
      <c r="D291" s="540"/>
      <c r="J291" s="632"/>
      <c r="N291" s="642">
        <v>0</v>
      </c>
      <c r="O291" s="632"/>
      <c r="P291" s="642">
        <v>0</v>
      </c>
      <c r="R291" s="632"/>
    </row>
    <row r="292" spans="1:21" s="521" customFormat="1">
      <c r="A292" s="571"/>
      <c r="B292" s="521" t="s">
        <v>1286</v>
      </c>
      <c r="C292" s="540"/>
      <c r="D292" s="540"/>
      <c r="J292" s="529"/>
      <c r="L292" s="635">
        <f>-N296</f>
        <v>57016539</v>
      </c>
      <c r="N292" s="635">
        <f>-P296</f>
        <v>48319101</v>
      </c>
      <c r="O292" s="635"/>
      <c r="P292" s="635">
        <v>40948391</v>
      </c>
      <c r="R292" s="646">
        <f>P292/$P$294</f>
        <v>7.0034035398678807E-2</v>
      </c>
    </row>
    <row r="293" spans="1:21" s="521" customFormat="1">
      <c r="A293" s="571"/>
      <c r="B293" s="521" t="s">
        <v>739</v>
      </c>
      <c r="C293" s="540"/>
      <c r="D293" s="540"/>
      <c r="J293" s="529"/>
      <c r="L293" s="635">
        <f>L294-L292</f>
        <v>689707515.95859098</v>
      </c>
      <c r="N293" s="635">
        <f>+P293+60000000+8696826</f>
        <v>612441160</v>
      </c>
      <c r="O293" s="635"/>
      <c r="P293" s="635">
        <v>543744334</v>
      </c>
      <c r="R293" s="646">
        <f>P293/$P$294</f>
        <v>0.92996596460132097</v>
      </c>
      <c r="S293" s="521">
        <f>N294-P294</f>
        <v>76067536</v>
      </c>
      <c r="T293" s="627">
        <f>S293/P294</f>
        <v>0.13009831104021299</v>
      </c>
      <c r="U293" s="521">
        <f>N294*(1+T293)</f>
        <v>746724054.95859098</v>
      </c>
    </row>
    <row r="294" spans="1:21" s="521" customFormat="1">
      <c r="A294" s="571"/>
      <c r="B294" s="537" t="s">
        <v>1287</v>
      </c>
      <c r="C294" s="540"/>
      <c r="D294" s="540"/>
      <c r="J294" s="529"/>
      <c r="L294" s="636">
        <f>U293</f>
        <v>746724054.95859098</v>
      </c>
      <c r="N294" s="636">
        <f>SUM(N291:N293)</f>
        <v>660760261</v>
      </c>
      <c r="O294" s="635"/>
      <c r="P294" s="636">
        <f>SUM(P291:P293)</f>
        <v>584692725</v>
      </c>
      <c r="R294" s="647"/>
    </row>
    <row r="295" spans="1:21" s="521" customFormat="1" ht="13.5" customHeight="1">
      <c r="A295" s="571"/>
      <c r="C295" s="540"/>
      <c r="D295" s="540"/>
      <c r="J295" s="529"/>
      <c r="L295" s="635"/>
      <c r="N295" s="635"/>
      <c r="O295" s="635"/>
      <c r="P295" s="635"/>
      <c r="R295" s="647"/>
    </row>
    <row r="296" spans="1:21" s="521" customFormat="1">
      <c r="A296" s="571"/>
      <c r="B296" s="521" t="s">
        <v>1288</v>
      </c>
      <c r="C296" s="540"/>
      <c r="D296" s="540"/>
      <c r="J296" s="529"/>
      <c r="L296" s="637">
        <f>-L203</f>
        <v>-85471120.579999998</v>
      </c>
      <c r="N296" s="637">
        <f>-N203</f>
        <v>-57016539</v>
      </c>
      <c r="O296" s="635"/>
      <c r="P296" s="637">
        <v>-48319101</v>
      </c>
      <c r="R296" s="647"/>
    </row>
    <row r="297" spans="1:21" s="521" customFormat="1">
      <c r="A297" s="571"/>
      <c r="B297" s="537" t="s">
        <v>1289</v>
      </c>
      <c r="C297" s="540"/>
      <c r="D297" s="540"/>
      <c r="J297" s="529"/>
      <c r="L297" s="635">
        <f>+L294+L296</f>
        <v>661252934.37859094</v>
      </c>
      <c r="N297" s="635">
        <f>+N294+N296</f>
        <v>603743722</v>
      </c>
      <c r="O297" s="635"/>
      <c r="P297" s="635">
        <f>+P294+P296</f>
        <v>536373624</v>
      </c>
      <c r="R297" s="646">
        <f>P297/$P$302</f>
        <v>0.98395728807801497</v>
      </c>
      <c r="S297" s="521">
        <f>$S$302*R297</f>
        <v>603522968.50450599</v>
      </c>
    </row>
    <row r="298" spans="1:21" s="521" customFormat="1">
      <c r="A298" s="571"/>
      <c r="B298" s="521" t="s">
        <v>1290</v>
      </c>
      <c r="C298" s="540"/>
      <c r="D298" s="540"/>
      <c r="J298" s="529"/>
      <c r="L298" s="635">
        <f>N298+90000</f>
        <v>1065263</v>
      </c>
      <c r="N298" s="635">
        <f>P298+90000</f>
        <v>975263</v>
      </c>
      <c r="O298" s="635"/>
      <c r="P298" s="635">
        <v>885263</v>
      </c>
      <c r="R298" s="646">
        <f>P298/$P$302</f>
        <v>1.62398175775289E-3</v>
      </c>
    </row>
    <row r="299" spans="1:21" s="521" customFormat="1">
      <c r="A299" s="571"/>
      <c r="B299" s="521" t="s">
        <v>1291</v>
      </c>
      <c r="C299" s="540"/>
      <c r="D299" s="540"/>
      <c r="J299" s="529"/>
      <c r="L299" s="635">
        <f>N299+400000</f>
        <v>4198660</v>
      </c>
      <c r="N299" s="635">
        <f>P299+400000</f>
        <v>3798660</v>
      </c>
      <c r="O299" s="635"/>
      <c r="P299" s="635">
        <v>3398660</v>
      </c>
      <c r="R299" s="646">
        <f>P299/$P$302</f>
        <v>6.23471424966867E-3</v>
      </c>
    </row>
    <row r="300" spans="1:21" s="521" customFormat="1">
      <c r="A300" s="571"/>
      <c r="B300" s="521" t="s">
        <v>1292</v>
      </c>
      <c r="C300" s="540"/>
      <c r="D300" s="540"/>
      <c r="J300" s="529"/>
      <c r="L300" s="635">
        <f>N300+450000</f>
        <v>4701937</v>
      </c>
      <c r="N300" s="635">
        <f>P300+450000</f>
        <v>4251937</v>
      </c>
      <c r="O300" s="635"/>
      <c r="P300" s="635">
        <v>3801937</v>
      </c>
      <c r="R300" s="646">
        <f>P300/$P$302</f>
        <v>6.9745107749061598E-3</v>
      </c>
    </row>
    <row r="301" spans="1:21" s="521" customFormat="1">
      <c r="A301" s="571"/>
      <c r="B301" s="521" t="s">
        <v>759</v>
      </c>
      <c r="C301" s="540"/>
      <c r="D301" s="540"/>
      <c r="J301" s="529"/>
      <c r="L301" s="635">
        <f>'Note 5 ''2025'!G18</f>
        <v>534052.48</v>
      </c>
      <c r="N301" s="635">
        <f>'Note 5'!H18</f>
        <v>593391.68000000005</v>
      </c>
      <c r="O301" s="635"/>
      <c r="P301" s="635">
        <f>'Note 5'!I18</f>
        <v>659324</v>
      </c>
      <c r="R301" s="646">
        <f>P301/$P$302</f>
        <v>1.2095051396575601E-3</v>
      </c>
    </row>
    <row r="302" spans="1:21" s="521" customFormat="1">
      <c r="A302" s="571"/>
      <c r="C302" s="540"/>
      <c r="D302" s="540"/>
      <c r="J302" s="529"/>
      <c r="L302" s="638">
        <f>SUM(L297:L301)</f>
        <v>671752846.85859096</v>
      </c>
      <c r="N302" s="638">
        <f>SUM(N297:N301)</f>
        <v>613362973.67999995</v>
      </c>
      <c r="O302" s="635"/>
      <c r="P302" s="638">
        <f>SUM(P297:P301)</f>
        <v>545118808</v>
      </c>
      <c r="R302" s="647"/>
      <c r="S302" s="521">
        <v>613362974</v>
      </c>
      <c r="T302" s="521">
        <f>-S302+N302</f>
        <v>-0.32000005245208701</v>
      </c>
    </row>
    <row r="303" spans="1:21" s="521" customFormat="1" ht="7.5" customHeight="1">
      <c r="A303" s="571"/>
      <c r="C303" s="540"/>
      <c r="D303" s="540"/>
      <c r="J303" s="529"/>
      <c r="L303" s="635"/>
      <c r="N303" s="635"/>
      <c r="O303" s="635"/>
      <c r="P303" s="635"/>
      <c r="R303" s="647"/>
    </row>
    <row r="304" spans="1:21" s="521" customFormat="1" ht="7.5" customHeight="1">
      <c r="A304" s="571"/>
      <c r="C304" s="540"/>
      <c r="D304" s="540"/>
      <c r="J304" s="529"/>
      <c r="L304" s="635"/>
      <c r="N304" s="635"/>
      <c r="O304" s="635"/>
      <c r="P304" s="635"/>
      <c r="R304" s="647"/>
    </row>
    <row r="305" spans="1:21" s="521" customFormat="1" ht="13.5" customHeight="1">
      <c r="A305" s="543">
        <v>14</v>
      </c>
      <c r="B305" s="537" t="s">
        <v>260</v>
      </c>
      <c r="C305" s="540"/>
      <c r="D305" s="540"/>
      <c r="J305" s="529"/>
      <c r="L305" s="635"/>
      <c r="N305" s="635"/>
      <c r="O305" s="635"/>
      <c r="P305" s="635"/>
      <c r="R305" s="647"/>
    </row>
    <row r="306" spans="1:21" s="521" customFormat="1" ht="6.75" customHeight="1">
      <c r="A306" s="571"/>
      <c r="C306" s="540"/>
      <c r="D306" s="540"/>
      <c r="J306" s="529"/>
      <c r="L306" s="635"/>
      <c r="N306" s="635"/>
      <c r="O306" s="635"/>
      <c r="P306" s="635"/>
      <c r="R306" s="647"/>
    </row>
    <row r="307" spans="1:21" s="521" customFormat="1">
      <c r="A307" s="571"/>
      <c r="B307" s="521" t="s">
        <v>1293</v>
      </c>
      <c r="C307" s="540"/>
      <c r="D307" s="540"/>
      <c r="J307" s="529"/>
      <c r="L307" s="635">
        <f>$U$318*R307</f>
        <v>21406211.286905602</v>
      </c>
      <c r="N307" s="635">
        <v>19938353</v>
      </c>
      <c r="O307" s="635"/>
      <c r="P307" s="635">
        <v>19025146</v>
      </c>
      <c r="R307" s="646">
        <f>N307/$N$318</f>
        <v>0.65594047583678705</v>
      </c>
    </row>
    <row r="308" spans="1:21" s="521" customFormat="1">
      <c r="A308" s="571"/>
      <c r="B308" s="521" t="s">
        <v>1294</v>
      </c>
      <c r="C308" s="540"/>
      <c r="D308" s="540"/>
      <c r="J308" s="529"/>
      <c r="L308" s="635">
        <f t="shared" ref="L308:L316" si="0">$U$318*R308</f>
        <v>2542776.25132153</v>
      </c>
      <c r="N308" s="635">
        <v>2368414</v>
      </c>
      <c r="O308" s="635"/>
      <c r="P308" s="635">
        <v>2047207</v>
      </c>
      <c r="R308" s="646">
        <f t="shared" ref="R308:R317" si="1">N308/$N$318</f>
        <v>7.7917098074174296E-2</v>
      </c>
    </row>
    <row r="309" spans="1:21" s="521" customFormat="1">
      <c r="A309" s="571"/>
      <c r="B309" s="521" t="s">
        <v>1295</v>
      </c>
      <c r="C309" s="540"/>
      <c r="D309" s="540"/>
      <c r="J309" s="529"/>
      <c r="L309" s="635">
        <f t="shared" si="0"/>
        <v>478474.78441066801</v>
      </c>
      <c r="N309" s="635">
        <v>445665</v>
      </c>
      <c r="O309" s="635"/>
      <c r="P309" s="635">
        <v>393663</v>
      </c>
      <c r="R309" s="646">
        <f t="shared" si="1"/>
        <v>1.46616780314704E-2</v>
      </c>
    </row>
    <row r="310" spans="1:21" s="521" customFormat="1">
      <c r="A310" s="571"/>
      <c r="B310" s="521" t="s">
        <v>1296</v>
      </c>
      <c r="C310" s="540"/>
      <c r="D310" s="540"/>
      <c r="J310" s="529"/>
      <c r="L310" s="635">
        <f t="shared" si="0"/>
        <v>1370668.9727966301</v>
      </c>
      <c r="N310" s="635">
        <v>1276680</v>
      </c>
      <c r="O310" s="635"/>
      <c r="P310" s="635">
        <v>1138876</v>
      </c>
      <c r="R310" s="646">
        <f t="shared" si="1"/>
        <v>4.2000765393777E-2</v>
      </c>
    </row>
    <row r="311" spans="1:21" s="521" customFormat="1">
      <c r="A311" s="571"/>
      <c r="B311" s="521" t="s">
        <v>685</v>
      </c>
      <c r="C311" s="540"/>
      <c r="D311" s="540"/>
      <c r="J311" s="529"/>
      <c r="L311" s="635">
        <f t="shared" si="0"/>
        <v>743055.50966527895</v>
      </c>
      <c r="N311" s="635">
        <v>692103</v>
      </c>
      <c r="O311" s="635"/>
      <c r="P311" s="635">
        <v>611399</v>
      </c>
      <c r="R311" s="646">
        <f t="shared" si="1"/>
        <v>2.2769100895548799E-2</v>
      </c>
    </row>
    <row r="312" spans="1:21" s="521" customFormat="1">
      <c r="A312" s="571"/>
      <c r="B312" s="521" t="s">
        <v>1297</v>
      </c>
      <c r="C312" s="540"/>
      <c r="D312" s="540"/>
      <c r="J312" s="529"/>
      <c r="L312" s="635">
        <f t="shared" si="0"/>
        <v>897369.03599764605</v>
      </c>
      <c r="N312" s="635">
        <v>835835</v>
      </c>
      <c r="O312" s="635"/>
      <c r="P312" s="635">
        <v>769858</v>
      </c>
      <c r="R312" s="646">
        <f t="shared" si="1"/>
        <v>2.7497657786530301E-2</v>
      </c>
    </row>
    <row r="313" spans="1:21" s="521" customFormat="1">
      <c r="A313" s="571"/>
      <c r="B313" s="521" t="s">
        <v>1298</v>
      </c>
      <c r="C313" s="540"/>
      <c r="D313" s="540"/>
      <c r="J313" s="529"/>
      <c r="L313" s="635">
        <f t="shared" si="0"/>
        <v>107361.98364481601</v>
      </c>
      <c r="N313" s="635">
        <v>100000</v>
      </c>
      <c r="O313" s="635"/>
      <c r="P313" s="635">
        <v>100000</v>
      </c>
      <c r="R313" s="646">
        <f t="shared" si="1"/>
        <v>3.2898428262193298E-3</v>
      </c>
    </row>
    <row r="314" spans="1:21" s="521" customFormat="1">
      <c r="A314" s="571"/>
      <c r="B314" s="521" t="s">
        <v>747</v>
      </c>
      <c r="C314" s="540"/>
      <c r="D314" s="540"/>
      <c r="J314" s="529"/>
      <c r="L314" s="635">
        <f t="shared" si="0"/>
        <v>3734542.58267162</v>
      </c>
      <c r="N314" s="635">
        <v>3478459</v>
      </c>
      <c r="O314" s="635"/>
      <c r="P314" s="635">
        <v>3018447</v>
      </c>
      <c r="R314" s="646">
        <f t="shared" si="1"/>
        <v>0.114435833874481</v>
      </c>
    </row>
    <row r="315" spans="1:21" s="521" customFormat="1">
      <c r="A315" s="571"/>
      <c r="B315" s="521" t="s">
        <v>1299</v>
      </c>
      <c r="C315" s="540"/>
      <c r="D315" s="540"/>
      <c r="J315" s="529"/>
      <c r="L315" s="635">
        <f t="shared" si="0"/>
        <v>19274.6969237538</v>
      </c>
      <c r="N315" s="635">
        <v>17953</v>
      </c>
      <c r="O315" s="635"/>
      <c r="P315" s="635">
        <v>16688</v>
      </c>
      <c r="R315" s="646">
        <f t="shared" si="1"/>
        <v>5.9062548259115595E-4</v>
      </c>
    </row>
    <row r="316" spans="1:21" s="521" customFormat="1">
      <c r="A316" s="571"/>
      <c r="B316" s="521" t="s">
        <v>1300</v>
      </c>
      <c r="C316" s="540"/>
      <c r="D316" s="540"/>
      <c r="J316" s="529"/>
      <c r="L316" s="635">
        <f t="shared" si="0"/>
        <v>1175375.3773070399</v>
      </c>
      <c r="N316" s="635">
        <v>1094778</v>
      </c>
      <c r="O316" s="635"/>
      <c r="P316" s="635">
        <v>1026130</v>
      </c>
      <c r="R316" s="646">
        <f t="shared" si="1"/>
        <v>3.6016475496027503E-2</v>
      </c>
    </row>
    <row r="317" spans="1:21" s="521" customFormat="1">
      <c r="A317" s="571"/>
      <c r="B317" s="521" t="s">
        <v>759</v>
      </c>
      <c r="C317" s="540"/>
      <c r="D317" s="540"/>
      <c r="J317" s="529"/>
      <c r="L317" s="635">
        <f>'Note 5 ''2025'!G19</f>
        <v>133513.12</v>
      </c>
      <c r="N317" s="635">
        <f>'Note 5'!H19</f>
        <v>148347.92000000001</v>
      </c>
      <c r="O317" s="635"/>
      <c r="P317" s="635">
        <f>'Note 5'!I19</f>
        <v>164831</v>
      </c>
      <c r="R317" s="646">
        <f t="shared" si="1"/>
        <v>4.8804134039655903E-3</v>
      </c>
    </row>
    <row r="318" spans="1:21" s="521" customFormat="1">
      <c r="A318" s="571"/>
      <c r="C318" s="540"/>
      <c r="D318" s="540"/>
      <c r="J318" s="529"/>
      <c r="L318" s="638">
        <f>SUM(L307:L317)</f>
        <v>32608623.60164459</v>
      </c>
      <c r="N318" s="638">
        <f>SUM(N307:N317)+1</f>
        <v>30396588.920000002</v>
      </c>
      <c r="O318" s="635"/>
      <c r="P318" s="638">
        <f>SUM(P307:P317)+1</f>
        <v>28312246</v>
      </c>
      <c r="R318" s="648">
        <f>SUM(R307:R317)</f>
        <v>0.99999996710157202</v>
      </c>
      <c r="S318" s="521">
        <f>N318-P318</f>
        <v>2084342.92</v>
      </c>
      <c r="T318" s="627">
        <f>S318/P318</f>
        <v>7.3619836448157505E-2</v>
      </c>
      <c r="U318" s="521">
        <f>N318*(1+T318)</f>
        <v>32634380.8248723</v>
      </c>
    </row>
    <row r="319" spans="1:21" s="521" customFormat="1" ht="7.5" customHeight="1">
      <c r="A319" s="571"/>
      <c r="C319" s="540"/>
      <c r="D319" s="540"/>
      <c r="J319" s="529"/>
      <c r="L319" s="635"/>
      <c r="N319" s="635"/>
      <c r="O319" s="635"/>
      <c r="P319" s="635"/>
      <c r="R319" s="647"/>
    </row>
    <row r="320" spans="1:21" s="521" customFormat="1" ht="7.5" customHeight="1">
      <c r="A320" s="571"/>
      <c r="C320" s="540"/>
      <c r="D320" s="540"/>
      <c r="J320" s="529"/>
      <c r="L320" s="635"/>
      <c r="N320" s="635"/>
      <c r="O320" s="635"/>
      <c r="P320" s="635"/>
      <c r="R320" s="647"/>
    </row>
    <row r="321" spans="1:18" s="521" customFormat="1" ht="7.5" customHeight="1">
      <c r="A321" s="571"/>
      <c r="C321" s="540"/>
      <c r="D321" s="540"/>
      <c r="J321" s="529"/>
      <c r="L321" s="635"/>
      <c r="N321" s="635"/>
      <c r="O321" s="635"/>
      <c r="P321" s="635"/>
      <c r="R321" s="647"/>
    </row>
    <row r="322" spans="1:18" s="521" customFormat="1" ht="7.5" customHeight="1">
      <c r="A322" s="571"/>
      <c r="C322" s="540"/>
      <c r="D322" s="540"/>
      <c r="J322" s="529"/>
      <c r="L322" s="635"/>
      <c r="N322" s="635"/>
      <c r="O322" s="635"/>
      <c r="P322" s="635"/>
      <c r="R322" s="647"/>
    </row>
    <row r="323" spans="1:18" s="521" customFormat="1" ht="7.5" customHeight="1">
      <c r="A323" s="571"/>
      <c r="C323" s="540"/>
      <c r="D323" s="540"/>
      <c r="J323" s="529"/>
      <c r="L323" s="635"/>
      <c r="N323" s="635"/>
      <c r="O323" s="635"/>
      <c r="P323" s="635"/>
      <c r="R323" s="647"/>
    </row>
    <row r="324" spans="1:18" s="521" customFormat="1" ht="7.5" customHeight="1">
      <c r="A324" s="571"/>
      <c r="C324" s="540"/>
      <c r="D324" s="540"/>
      <c r="J324" s="529"/>
      <c r="L324" s="635"/>
      <c r="N324" s="635"/>
      <c r="O324" s="635"/>
      <c r="P324" s="635"/>
      <c r="R324" s="647"/>
    </row>
    <row r="325" spans="1:18" s="521" customFormat="1" ht="7.5" customHeight="1">
      <c r="A325" s="571"/>
      <c r="C325" s="540"/>
      <c r="D325" s="540"/>
      <c r="J325" s="529"/>
      <c r="L325" s="635"/>
      <c r="N325" s="635"/>
      <c r="O325" s="635"/>
      <c r="P325" s="635"/>
      <c r="R325" s="647"/>
    </row>
    <row r="326" spans="1:18" s="521" customFormat="1" ht="7.5" customHeight="1">
      <c r="A326" s="571"/>
      <c r="C326" s="540"/>
      <c r="D326" s="540"/>
      <c r="J326" s="529"/>
      <c r="L326" s="635"/>
      <c r="N326" s="635"/>
      <c r="O326" s="635"/>
      <c r="P326" s="635"/>
      <c r="R326" s="647"/>
    </row>
    <row r="327" spans="1:18" s="521" customFormat="1" ht="7.5" customHeight="1">
      <c r="A327" s="571"/>
      <c r="C327" s="540"/>
      <c r="D327" s="540"/>
      <c r="J327" s="529"/>
      <c r="L327" s="635"/>
      <c r="N327" s="635"/>
      <c r="O327" s="635"/>
      <c r="P327" s="635"/>
      <c r="R327" s="647"/>
    </row>
    <row r="328" spans="1:18" s="521" customFormat="1" ht="7.5" customHeight="1">
      <c r="A328" s="571"/>
      <c r="C328" s="540"/>
      <c r="D328" s="540"/>
      <c r="J328" s="529"/>
      <c r="L328" s="635"/>
      <c r="N328" s="635"/>
      <c r="O328" s="635"/>
      <c r="P328" s="635"/>
      <c r="R328" s="647"/>
    </row>
    <row r="329" spans="1:18" s="521" customFormat="1" ht="7.5" customHeight="1">
      <c r="A329" s="571"/>
      <c r="C329" s="540"/>
      <c r="D329" s="540"/>
      <c r="J329" s="529"/>
      <c r="L329" s="635"/>
      <c r="N329" s="635"/>
      <c r="O329" s="635"/>
      <c r="P329" s="635"/>
      <c r="R329" s="647"/>
    </row>
    <row r="330" spans="1:18" s="521" customFormat="1" ht="7.5" customHeight="1">
      <c r="A330" s="571"/>
      <c r="C330" s="540"/>
      <c r="D330" s="540"/>
      <c r="J330" s="529"/>
      <c r="L330" s="635"/>
      <c r="N330" s="635"/>
      <c r="O330" s="635"/>
      <c r="P330" s="635"/>
      <c r="R330" s="647"/>
    </row>
    <row r="331" spans="1:18" s="521" customFormat="1" ht="13.5" customHeight="1">
      <c r="A331" s="543">
        <v>15</v>
      </c>
      <c r="B331" s="537" t="s">
        <v>1301</v>
      </c>
      <c r="C331" s="540"/>
      <c r="D331" s="540"/>
      <c r="J331" s="529"/>
      <c r="L331" s="635"/>
      <c r="N331" s="635"/>
      <c r="O331" s="635"/>
      <c r="P331" s="635"/>
      <c r="R331" s="647"/>
    </row>
    <row r="332" spans="1:18" s="521" customFormat="1" ht="13.5" customHeight="1">
      <c r="A332" s="571"/>
      <c r="C332" s="540"/>
      <c r="D332" s="540"/>
      <c r="J332" s="529"/>
      <c r="L332" s="635"/>
      <c r="N332" s="635"/>
      <c r="O332" s="635"/>
      <c r="P332" s="635"/>
      <c r="R332" s="647"/>
    </row>
    <row r="333" spans="1:18" s="521" customFormat="1">
      <c r="A333" s="571"/>
      <c r="B333" s="521" t="s">
        <v>1302</v>
      </c>
      <c r="C333" s="540"/>
      <c r="D333" s="540"/>
      <c r="J333" s="529"/>
      <c r="L333" s="660">
        <v>502206</v>
      </c>
      <c r="N333" s="660">
        <v>451261</v>
      </c>
      <c r="O333" s="635"/>
      <c r="P333" s="660">
        <v>8700</v>
      </c>
      <c r="R333" s="647"/>
    </row>
    <row r="334" spans="1:18" s="521" customFormat="1">
      <c r="A334" s="571"/>
      <c r="B334" s="521" t="s">
        <v>1303</v>
      </c>
      <c r="C334" s="540"/>
      <c r="D334" s="540"/>
      <c r="J334" s="529"/>
      <c r="L334" s="661">
        <f>Loan!I25</f>
        <v>414943.67</v>
      </c>
      <c r="N334" s="661">
        <f>Loan!I13</f>
        <v>272947.40000000002</v>
      </c>
      <c r="O334" s="635"/>
      <c r="P334" s="661">
        <v>0</v>
      </c>
      <c r="R334" s="647"/>
    </row>
    <row r="335" spans="1:18" s="521" customFormat="1">
      <c r="A335" s="571"/>
      <c r="B335" s="521" t="s">
        <v>1304</v>
      </c>
      <c r="C335" s="540"/>
      <c r="D335" s="540"/>
      <c r="J335" s="529"/>
      <c r="L335" s="662">
        <f>Loan!U25</f>
        <v>410795.03</v>
      </c>
      <c r="N335" s="662">
        <f>Loan!U13</f>
        <v>337631.91</v>
      </c>
      <c r="P335" s="664">
        <v>0</v>
      </c>
      <c r="R335" s="647"/>
    </row>
    <row r="336" spans="1:18" s="521" customFormat="1" ht="13.5" customHeight="1">
      <c r="A336" s="571"/>
      <c r="C336" s="540"/>
      <c r="D336" s="540"/>
      <c r="J336" s="529"/>
      <c r="R336" s="647"/>
    </row>
    <row r="337" spans="1:18" s="521" customFormat="1" ht="13.5" customHeight="1">
      <c r="A337" s="571"/>
      <c r="C337" s="540"/>
      <c r="D337" s="540"/>
      <c r="J337" s="529"/>
      <c r="L337" s="638">
        <f>SUM(L333:L335)</f>
        <v>1327944.7</v>
      </c>
      <c r="N337" s="638">
        <f>SUM(N333:N335)</f>
        <v>1061840.31</v>
      </c>
      <c r="O337" s="635"/>
      <c r="P337" s="638">
        <f>SUM(P333:P335)</f>
        <v>8700</v>
      </c>
      <c r="R337" s="647"/>
    </row>
    <row r="338" spans="1:18" s="521" customFormat="1" ht="13.5" customHeight="1">
      <c r="A338" s="571"/>
      <c r="C338" s="540"/>
      <c r="D338" s="540"/>
      <c r="J338" s="529"/>
      <c r="N338" s="635"/>
      <c r="O338" s="635"/>
      <c r="P338" s="635"/>
      <c r="R338" s="647"/>
    </row>
    <row r="339" spans="1:18" s="521" customFormat="1" ht="15" customHeight="1">
      <c r="A339" s="526">
        <f>A331+1</f>
        <v>16</v>
      </c>
      <c r="B339" s="529" t="s">
        <v>980</v>
      </c>
      <c r="C339" s="540"/>
      <c r="D339" s="540"/>
      <c r="I339" s="541"/>
      <c r="J339" s="542"/>
      <c r="K339" s="541"/>
      <c r="L339" s="541"/>
      <c r="M339" s="541"/>
      <c r="N339" s="541"/>
      <c r="O339" s="541"/>
      <c r="P339" s="541"/>
      <c r="Q339" s="541"/>
      <c r="R339" s="522"/>
    </row>
    <row r="340" spans="1:18" s="521" customFormat="1" ht="10" customHeight="1">
      <c r="A340" s="526"/>
      <c r="B340" s="529"/>
      <c r="C340" s="540"/>
      <c r="D340" s="540"/>
      <c r="I340" s="541"/>
      <c r="J340" s="542"/>
      <c r="K340" s="541"/>
      <c r="L340" s="541"/>
      <c r="M340" s="541"/>
      <c r="N340" s="541"/>
      <c r="O340" s="541"/>
      <c r="P340" s="541"/>
      <c r="Q340" s="541"/>
      <c r="R340" s="666"/>
    </row>
    <row r="341" spans="1:18" s="521" customFormat="1" ht="15" customHeight="1">
      <c r="A341" s="571"/>
      <c r="B341" s="649">
        <f>A339+0.1</f>
        <v>16.100000000000001</v>
      </c>
      <c r="C341" s="1472" t="s">
        <v>1305</v>
      </c>
      <c r="D341" s="1472"/>
      <c r="E341" s="1472"/>
      <c r="F341" s="1472"/>
      <c r="G341" s="1472"/>
      <c r="H341" s="1472"/>
      <c r="I341" s="1472"/>
      <c r="J341" s="1472"/>
      <c r="K341" s="1472"/>
      <c r="L341" s="1472"/>
      <c r="M341" s="1472"/>
      <c r="N341" s="1472"/>
      <c r="O341" s="542"/>
      <c r="P341" s="542"/>
      <c r="Q341" s="542"/>
      <c r="R341" s="542"/>
    </row>
    <row r="342" spans="1:18" s="521" customFormat="1" ht="6.75" hidden="1" customHeight="1">
      <c r="A342" s="571"/>
      <c r="B342" s="650"/>
      <c r="C342" s="1473"/>
      <c r="D342" s="1473"/>
      <c r="E342" s="1473"/>
      <c r="F342" s="1473"/>
      <c r="G342" s="1473"/>
      <c r="H342" s="1473"/>
      <c r="I342" s="1473"/>
      <c r="J342" s="1473"/>
      <c r="K342" s="1473"/>
      <c r="L342" s="1473"/>
      <c r="M342" s="1473"/>
      <c r="N342" s="1473"/>
      <c r="O342" s="1473"/>
      <c r="P342" s="1473"/>
      <c r="Q342" s="1473"/>
    </row>
    <row r="343" spans="1:18" s="521" customFormat="1" ht="15" customHeight="1">
      <c r="A343" s="571"/>
      <c r="B343" s="651">
        <f>B341+0.1</f>
        <v>16.2</v>
      </c>
      <c r="C343" s="1472" t="s">
        <v>1306</v>
      </c>
      <c r="D343" s="1472"/>
      <c r="E343" s="1472"/>
      <c r="F343" s="1472"/>
      <c r="G343" s="1472"/>
      <c r="H343" s="1472"/>
      <c r="I343" s="1472"/>
      <c r="J343" s="1472"/>
      <c r="K343" s="1472"/>
      <c r="L343" s="1472"/>
      <c r="M343" s="1472"/>
      <c r="N343" s="1472"/>
      <c r="O343" s="542"/>
      <c r="P343" s="542"/>
      <c r="Q343" s="542"/>
      <c r="R343" s="542"/>
    </row>
    <row r="344" spans="1:18" s="521" customFormat="1" ht="15" hidden="1" customHeight="1">
      <c r="A344" s="571"/>
      <c r="B344" s="652"/>
      <c r="C344" s="542"/>
      <c r="D344" s="542"/>
      <c r="E344" s="542"/>
      <c r="F344" s="542"/>
      <c r="G344" s="542"/>
      <c r="H344" s="542"/>
      <c r="I344" s="542"/>
      <c r="J344" s="542"/>
      <c r="K344" s="542"/>
      <c r="L344" s="542"/>
      <c r="M344" s="542"/>
      <c r="N344" s="542"/>
      <c r="O344" s="542"/>
      <c r="P344" s="542"/>
      <c r="Q344" s="542"/>
      <c r="R344" s="542"/>
    </row>
    <row r="345" spans="1:18" s="521" customFormat="1" ht="15" hidden="1" customHeight="1">
      <c r="A345" s="526"/>
      <c r="B345" s="529"/>
      <c r="H345" s="598"/>
      <c r="J345" s="526"/>
      <c r="K345" s="663"/>
      <c r="L345" s="663"/>
      <c r="M345" s="663"/>
      <c r="N345" s="663"/>
      <c r="O345" s="663"/>
      <c r="P345" s="663"/>
      <c r="Q345" s="663"/>
      <c r="R345" s="524"/>
    </row>
    <row r="346" spans="1:18" s="521" customFormat="1" ht="15" customHeight="1">
      <c r="A346" s="526"/>
      <c r="B346" s="529"/>
      <c r="H346" s="598"/>
      <c r="J346" s="526"/>
      <c r="K346" s="663"/>
      <c r="L346" s="663"/>
      <c r="M346" s="663"/>
      <c r="N346" s="663"/>
      <c r="O346" s="663"/>
      <c r="P346" s="663"/>
      <c r="Q346" s="663"/>
      <c r="R346" s="524"/>
    </row>
    <row r="347" spans="1:18" s="523" customFormat="1" ht="14.15" customHeight="1">
      <c r="A347" s="526">
        <v>17</v>
      </c>
      <c r="B347" s="529" t="s">
        <v>1307</v>
      </c>
      <c r="C347" s="525"/>
      <c r="D347" s="525"/>
      <c r="E347" s="525"/>
      <c r="F347" s="525"/>
      <c r="G347" s="525"/>
      <c r="H347" s="525"/>
      <c r="I347" s="525"/>
      <c r="J347" s="525"/>
      <c r="K347" s="525"/>
      <c r="L347" s="525"/>
      <c r="M347" s="525"/>
      <c r="N347" s="525"/>
      <c r="O347" s="525"/>
      <c r="P347" s="525"/>
      <c r="Q347" s="525"/>
      <c r="R347" s="593"/>
    </row>
    <row r="348" spans="1:18" s="523" customFormat="1" ht="15" customHeight="1">
      <c r="A348" s="524"/>
      <c r="B348" s="525"/>
      <c r="C348" s="525"/>
      <c r="D348" s="525"/>
      <c r="E348" s="525"/>
      <c r="F348" s="525"/>
      <c r="G348" s="525"/>
      <c r="H348" s="525"/>
      <c r="I348" s="525"/>
      <c r="J348" s="525"/>
      <c r="K348" s="525"/>
      <c r="L348" s="525"/>
      <c r="M348" s="525"/>
      <c r="N348" s="525"/>
      <c r="O348" s="525"/>
      <c r="P348" s="525"/>
      <c r="Q348" s="525"/>
      <c r="R348" s="593"/>
    </row>
    <row r="349" spans="1:18" s="523" customFormat="1" ht="31" customHeight="1">
      <c r="A349" s="524"/>
      <c r="B349" s="653">
        <f>+A347+0.1</f>
        <v>17.100000000000001</v>
      </c>
      <c r="C349" s="1469" t="s">
        <v>1308</v>
      </c>
      <c r="D349" s="1469"/>
      <c r="E349" s="1469"/>
      <c r="F349" s="1469"/>
      <c r="G349" s="1469"/>
      <c r="H349" s="1469"/>
      <c r="I349" s="1469"/>
      <c r="J349" s="1469"/>
      <c r="K349" s="1469"/>
      <c r="L349" s="1469"/>
      <c r="M349" s="1469"/>
      <c r="N349" s="1469"/>
      <c r="O349" s="532"/>
      <c r="P349" s="532"/>
      <c r="Q349" s="532"/>
      <c r="R349" s="532"/>
    </row>
    <row r="350" spans="1:18" s="523" customFormat="1" ht="7" customHeight="1">
      <c r="A350" s="524"/>
      <c r="B350" s="653"/>
      <c r="C350" s="535"/>
      <c r="D350" s="535"/>
      <c r="E350" s="535"/>
      <c r="F350" s="535"/>
      <c r="G350" s="535"/>
      <c r="H350" s="535"/>
      <c r="I350" s="535"/>
      <c r="J350" s="535"/>
      <c r="K350" s="535"/>
      <c r="L350" s="535"/>
      <c r="M350" s="535"/>
      <c r="N350" s="535"/>
      <c r="O350" s="535"/>
      <c r="P350" s="535"/>
      <c r="Q350" s="535"/>
      <c r="R350" s="535"/>
    </row>
    <row r="351" spans="1:18" ht="15.75" customHeight="1">
      <c r="B351" s="653">
        <f>+B349+0.1</f>
        <v>17.2</v>
      </c>
      <c r="C351" s="1469" t="s">
        <v>1309</v>
      </c>
      <c r="D351" s="1469"/>
      <c r="E351" s="1469"/>
      <c r="F351" s="1469"/>
      <c r="G351" s="1469"/>
      <c r="H351" s="1469"/>
      <c r="I351" s="1469"/>
      <c r="J351" s="1469"/>
      <c r="K351" s="1469"/>
      <c r="L351" s="1469"/>
      <c r="M351" s="1469"/>
      <c r="N351" s="1469"/>
      <c r="O351" s="1469"/>
      <c r="P351" s="532"/>
      <c r="Q351" s="532"/>
      <c r="R351" s="532"/>
    </row>
    <row r="352" spans="1:18" ht="9" hidden="1" customHeight="1">
      <c r="B352" s="570"/>
      <c r="C352" s="541"/>
      <c r="D352" s="541"/>
      <c r="E352" s="541"/>
      <c r="F352" s="541"/>
      <c r="G352" s="541"/>
      <c r="H352" s="541"/>
      <c r="I352" s="541"/>
      <c r="J352" s="541"/>
      <c r="K352" s="541"/>
      <c r="L352" s="541"/>
      <c r="M352" s="541"/>
      <c r="N352" s="541"/>
      <c r="O352" s="541"/>
      <c r="P352" s="541"/>
      <c r="Q352" s="541"/>
      <c r="R352" s="583"/>
    </row>
    <row r="353" spans="1:18" ht="9" hidden="1" customHeight="1">
      <c r="A353" s="543">
        <f>A347+1</f>
        <v>18</v>
      </c>
      <c r="B353" s="539" t="s">
        <v>1310</v>
      </c>
      <c r="C353" s="540"/>
      <c r="D353" s="540"/>
      <c r="E353" s="540"/>
      <c r="F353" s="659"/>
      <c r="G353" s="540"/>
      <c r="H353" s="521"/>
      <c r="I353" s="521"/>
      <c r="J353" s="521"/>
      <c r="K353" s="521"/>
      <c r="L353" s="521"/>
      <c r="M353" s="521"/>
      <c r="N353" s="521"/>
      <c r="O353" s="521"/>
      <c r="P353" s="521"/>
      <c r="Q353" s="521"/>
      <c r="R353" s="543"/>
    </row>
    <row r="354" spans="1:18" ht="9" hidden="1" customHeight="1">
      <c r="A354" s="543"/>
      <c r="B354" s="538"/>
      <c r="C354" s="540"/>
      <c r="D354" s="540"/>
      <c r="E354" s="540"/>
      <c r="F354" s="659"/>
      <c r="G354" s="540"/>
      <c r="H354" s="521"/>
      <c r="I354" s="521"/>
      <c r="J354" s="521"/>
      <c r="K354" s="521"/>
      <c r="L354" s="521"/>
      <c r="M354" s="521"/>
      <c r="N354" s="521"/>
      <c r="O354" s="521"/>
      <c r="P354" s="521"/>
      <c r="Q354" s="521"/>
      <c r="R354" s="543"/>
    </row>
    <row r="355" spans="1:18" hidden="1">
      <c r="A355" s="543"/>
      <c r="B355" s="1465" t="s">
        <v>1311</v>
      </c>
      <c r="C355" s="1465"/>
      <c r="D355" s="1465"/>
      <c r="E355" s="1465"/>
      <c r="F355" s="1465"/>
      <c r="G355" s="1465"/>
      <c r="H355" s="1465"/>
      <c r="I355" s="1465"/>
      <c r="J355" s="1465"/>
      <c r="K355" s="1465"/>
      <c r="L355" s="1465"/>
      <c r="M355" s="1465"/>
      <c r="N355" s="1465"/>
      <c r="O355" s="1465"/>
      <c r="P355" s="1465"/>
      <c r="Q355" s="1465"/>
      <c r="R355" s="1465"/>
    </row>
    <row r="356" spans="1:18">
      <c r="A356" s="654"/>
      <c r="B356" s="655"/>
      <c r="C356" s="656"/>
      <c r="D356" s="656"/>
      <c r="E356" s="541"/>
      <c r="F356" s="541"/>
      <c r="G356" s="541"/>
      <c r="H356" s="541"/>
      <c r="I356" s="541"/>
      <c r="J356" s="541"/>
      <c r="K356" s="541"/>
      <c r="L356" s="541"/>
      <c r="M356" s="541"/>
      <c r="N356" s="541"/>
      <c r="O356" s="541"/>
      <c r="P356" s="657"/>
      <c r="Q356" s="541"/>
      <c r="R356" s="583"/>
    </row>
    <row r="357" spans="1:18">
      <c r="A357" s="657"/>
      <c r="B357" s="570"/>
      <c r="C357" s="541"/>
      <c r="D357" s="541"/>
      <c r="E357" s="541"/>
      <c r="F357" s="541"/>
      <c r="G357" s="541"/>
      <c r="H357" s="541"/>
      <c r="I357" s="541"/>
      <c r="J357" s="541"/>
      <c r="K357" s="541"/>
      <c r="L357" s="541"/>
      <c r="M357" s="541"/>
      <c r="N357" s="541"/>
      <c r="O357" s="541"/>
      <c r="P357" s="657"/>
      <c r="Q357" s="541"/>
      <c r="R357" s="583"/>
    </row>
    <row r="358" spans="1:18">
      <c r="A358" s="657"/>
      <c r="B358" s="570"/>
      <c r="C358" s="541"/>
      <c r="D358" s="541"/>
      <c r="E358" s="541"/>
      <c r="F358" s="541"/>
      <c r="G358" s="541"/>
      <c r="H358" s="541"/>
      <c r="I358" s="541"/>
      <c r="J358" s="541"/>
      <c r="K358" s="541"/>
      <c r="L358" s="541"/>
      <c r="M358" s="541"/>
      <c r="N358" s="541"/>
      <c r="O358" s="541"/>
      <c r="P358" s="657"/>
      <c r="Q358" s="541"/>
      <c r="R358" s="583"/>
    </row>
    <row r="359" spans="1:18">
      <c r="A359" s="657"/>
      <c r="B359" s="570"/>
      <c r="C359" s="541"/>
      <c r="D359" s="541"/>
      <c r="E359" s="541"/>
      <c r="F359" s="541"/>
      <c r="G359" s="541"/>
      <c r="H359" s="541"/>
      <c r="I359" s="541"/>
      <c r="J359" s="541"/>
      <c r="K359" s="541"/>
      <c r="L359" s="541"/>
      <c r="M359" s="541"/>
      <c r="N359" s="541"/>
      <c r="O359" s="541"/>
      <c r="P359" s="657"/>
      <c r="Q359" s="541"/>
      <c r="R359" s="583"/>
    </row>
    <row r="360" spans="1:18">
      <c r="A360" s="657"/>
      <c r="B360" s="570"/>
      <c r="C360" s="541"/>
      <c r="D360" s="541"/>
      <c r="E360" s="541"/>
      <c r="F360" s="541"/>
      <c r="G360" s="541"/>
      <c r="H360" s="541"/>
      <c r="I360" s="541"/>
      <c r="J360" s="541"/>
      <c r="K360" s="541"/>
      <c r="L360" s="541"/>
      <c r="M360" s="541"/>
      <c r="N360" s="541"/>
      <c r="O360" s="541"/>
      <c r="P360" s="657"/>
      <c r="Q360" s="541"/>
      <c r="R360" s="583"/>
    </row>
    <row r="361" spans="1:18">
      <c r="A361" s="657"/>
      <c r="B361" s="570"/>
      <c r="C361" s="541"/>
      <c r="D361" s="541"/>
      <c r="E361" s="541"/>
      <c r="F361" s="541"/>
      <c r="G361" s="541"/>
      <c r="H361" s="541"/>
      <c r="I361" s="541"/>
      <c r="J361" s="541"/>
      <c r="K361" s="541"/>
      <c r="L361" s="541"/>
      <c r="M361" s="541"/>
      <c r="N361" s="541"/>
      <c r="O361" s="541"/>
      <c r="P361" s="657"/>
      <c r="Q361" s="541"/>
      <c r="R361" s="583"/>
    </row>
    <row r="362" spans="1:18">
      <c r="A362" s="657"/>
      <c r="B362" s="570"/>
      <c r="C362" s="541"/>
      <c r="D362" s="541"/>
      <c r="E362" s="541"/>
      <c r="F362" s="541"/>
      <c r="G362" s="541"/>
      <c r="H362" s="541"/>
      <c r="I362" s="541"/>
      <c r="J362" s="541"/>
      <c r="K362" s="541"/>
      <c r="L362" s="541"/>
      <c r="M362" s="541"/>
      <c r="N362" s="541"/>
      <c r="O362" s="541"/>
      <c r="P362" s="657"/>
      <c r="Q362" s="541"/>
      <c r="R362" s="583"/>
    </row>
    <row r="363" spans="1:18">
      <c r="A363" s="657"/>
      <c r="B363" s="570"/>
      <c r="C363" s="541"/>
      <c r="D363" s="541"/>
      <c r="E363" s="541"/>
      <c r="F363" s="541"/>
      <c r="G363" s="541"/>
      <c r="H363" s="541"/>
      <c r="I363" s="541"/>
      <c r="J363" s="541"/>
      <c r="K363" s="541"/>
      <c r="L363" s="541"/>
      <c r="M363" s="541"/>
      <c r="N363" s="541"/>
      <c r="O363" s="541"/>
      <c r="P363" s="657"/>
      <c r="Q363" s="541"/>
      <c r="R363" s="583"/>
    </row>
    <row r="364" spans="1:18">
      <c r="A364" s="657"/>
      <c r="B364" s="570"/>
      <c r="C364" s="541"/>
      <c r="D364" s="541"/>
      <c r="E364" s="541"/>
      <c r="F364" s="541"/>
      <c r="G364" s="541"/>
      <c r="H364" s="541"/>
      <c r="I364" s="541"/>
      <c r="J364" s="541"/>
      <c r="K364" s="541"/>
      <c r="L364" s="541"/>
      <c r="M364" s="541"/>
      <c r="N364" s="541"/>
      <c r="O364" s="541"/>
      <c r="P364" s="657"/>
      <c r="Q364" s="541"/>
      <c r="R364" s="583"/>
    </row>
    <row r="365" spans="1:18">
      <c r="A365" s="657"/>
      <c r="B365" s="570"/>
      <c r="C365" s="541"/>
      <c r="D365" s="541"/>
      <c r="E365" s="541"/>
      <c r="F365" s="541"/>
      <c r="G365" s="541"/>
      <c r="H365" s="541"/>
      <c r="I365" s="541"/>
      <c r="J365" s="541"/>
      <c r="K365" s="541"/>
      <c r="L365" s="541"/>
      <c r="M365" s="541"/>
      <c r="N365" s="541"/>
      <c r="O365" s="541"/>
      <c r="P365" s="657"/>
      <c r="Q365" s="541"/>
      <c r="R365" s="583"/>
    </row>
    <row r="366" spans="1:18">
      <c r="A366" s="657"/>
      <c r="B366" s="570"/>
      <c r="C366" s="541"/>
      <c r="D366" s="541"/>
      <c r="E366" s="541"/>
      <c r="F366" s="541"/>
      <c r="G366" s="541"/>
      <c r="H366" s="541"/>
      <c r="I366" s="541"/>
      <c r="J366" s="541"/>
      <c r="K366" s="541"/>
      <c r="L366" s="541"/>
      <c r="M366" s="541"/>
      <c r="N366" s="541"/>
      <c r="O366" s="541"/>
      <c r="P366" s="657"/>
      <c r="Q366" s="541"/>
      <c r="R366" s="583"/>
    </row>
    <row r="367" spans="1:18">
      <c r="A367" s="657"/>
      <c r="B367" s="570"/>
      <c r="C367" s="541"/>
      <c r="D367" s="541"/>
      <c r="E367" s="541"/>
      <c r="F367" s="541"/>
      <c r="G367" s="541"/>
      <c r="H367" s="541"/>
      <c r="I367" s="541"/>
      <c r="J367" s="541"/>
      <c r="K367" s="541"/>
      <c r="L367" s="541"/>
      <c r="M367" s="541"/>
      <c r="N367" s="541"/>
      <c r="O367" s="541"/>
      <c r="P367" s="657"/>
      <c r="Q367" s="541"/>
      <c r="R367" s="583"/>
    </row>
    <row r="368" spans="1:18">
      <c r="A368" s="657"/>
      <c r="B368" s="570"/>
      <c r="C368" s="541"/>
      <c r="D368" s="541"/>
      <c r="E368" s="541"/>
      <c r="F368" s="541"/>
      <c r="G368" s="541"/>
      <c r="H368" s="541"/>
      <c r="I368" s="541"/>
      <c r="J368" s="541"/>
      <c r="K368" s="541"/>
      <c r="L368" s="541"/>
      <c r="M368" s="541"/>
      <c r="N368" s="541"/>
      <c r="O368" s="541"/>
      <c r="P368" s="657"/>
      <c r="Q368" s="541"/>
      <c r="R368" s="583"/>
    </row>
    <row r="369" spans="1:18">
      <c r="A369" s="657"/>
      <c r="B369" s="570"/>
      <c r="C369" s="541"/>
      <c r="D369" s="541"/>
      <c r="E369" s="541"/>
      <c r="F369" s="541"/>
      <c r="G369" s="541"/>
      <c r="H369" s="541"/>
      <c r="I369" s="541"/>
      <c r="J369" s="541"/>
      <c r="K369" s="541"/>
      <c r="L369" s="541"/>
      <c r="M369" s="541"/>
      <c r="N369" s="541"/>
      <c r="O369" s="541"/>
      <c r="P369" s="657"/>
      <c r="Q369" s="541"/>
      <c r="R369" s="583"/>
    </row>
    <row r="370" spans="1:18">
      <c r="A370" s="657"/>
      <c r="B370" s="570"/>
      <c r="C370" s="541"/>
      <c r="D370" s="541"/>
      <c r="E370" s="541"/>
      <c r="F370" s="541"/>
      <c r="G370" s="541"/>
      <c r="H370" s="541"/>
      <c r="I370" s="541"/>
      <c r="J370" s="541"/>
      <c r="K370" s="541"/>
      <c r="L370" s="541"/>
      <c r="M370" s="541"/>
      <c r="N370" s="541"/>
      <c r="O370" s="541"/>
      <c r="P370" s="657"/>
      <c r="Q370" s="541"/>
      <c r="R370" s="583"/>
    </row>
    <row r="371" spans="1:18">
      <c r="A371" s="657"/>
      <c r="B371" s="570"/>
      <c r="C371" s="541"/>
      <c r="D371" s="541"/>
      <c r="E371" s="541"/>
      <c r="F371" s="541"/>
      <c r="G371" s="541"/>
      <c r="H371" s="541"/>
      <c r="I371" s="541"/>
      <c r="J371" s="541"/>
      <c r="K371" s="541"/>
      <c r="L371" s="541"/>
      <c r="M371" s="541"/>
      <c r="N371" s="541"/>
      <c r="O371" s="541"/>
      <c r="P371" s="657"/>
      <c r="Q371" s="541"/>
      <c r="R371" s="583"/>
    </row>
    <row r="372" spans="1:18">
      <c r="A372" s="657"/>
      <c r="B372" s="570"/>
      <c r="C372" s="541"/>
      <c r="D372" s="541"/>
      <c r="E372" s="541"/>
      <c r="F372" s="541"/>
      <c r="G372" s="541"/>
      <c r="H372" s="541"/>
      <c r="I372" s="541"/>
      <c r="J372" s="541"/>
      <c r="K372" s="541"/>
      <c r="L372" s="541"/>
      <c r="M372" s="541"/>
      <c r="N372" s="541"/>
      <c r="O372" s="541"/>
      <c r="P372" s="657"/>
      <c r="Q372" s="541"/>
      <c r="R372" s="583"/>
    </row>
    <row r="373" spans="1:18">
      <c r="A373" s="657"/>
      <c r="B373" s="570"/>
      <c r="C373" s="541"/>
      <c r="D373" s="541"/>
      <c r="E373" s="541"/>
      <c r="F373" s="541"/>
      <c r="G373" s="541"/>
      <c r="H373" s="541"/>
      <c r="I373" s="541"/>
      <c r="J373" s="541"/>
      <c r="K373" s="541"/>
      <c r="L373" s="541"/>
      <c r="M373" s="541"/>
      <c r="N373" s="541"/>
      <c r="O373" s="541"/>
      <c r="P373" s="657"/>
      <c r="Q373" s="541"/>
      <c r="R373" s="583"/>
    </row>
    <row r="374" spans="1:18">
      <c r="A374" s="657"/>
      <c r="B374" s="570"/>
      <c r="C374" s="541"/>
      <c r="D374" s="541"/>
      <c r="E374" s="541"/>
      <c r="F374" s="541"/>
      <c r="G374" s="541"/>
      <c r="H374" s="541"/>
      <c r="I374" s="541"/>
      <c r="J374" s="541"/>
      <c r="K374" s="541"/>
      <c r="L374" s="541"/>
      <c r="M374" s="541"/>
      <c r="N374" s="541"/>
      <c r="O374" s="541"/>
      <c r="P374" s="657"/>
      <c r="Q374" s="541"/>
      <c r="R374" s="583"/>
    </row>
    <row r="375" spans="1:18">
      <c r="A375" s="657"/>
      <c r="B375" s="570"/>
      <c r="C375" s="541"/>
      <c r="D375" s="541"/>
      <c r="E375" s="541"/>
      <c r="F375" s="541"/>
      <c r="G375" s="541"/>
      <c r="H375" s="541"/>
      <c r="I375" s="541"/>
      <c r="J375" s="541"/>
      <c r="K375" s="541"/>
      <c r="L375" s="541"/>
      <c r="M375" s="541"/>
      <c r="N375" s="541"/>
      <c r="O375" s="541"/>
      <c r="P375" s="657"/>
      <c r="Q375" s="541"/>
      <c r="R375" s="583"/>
    </row>
    <row r="376" spans="1:18">
      <c r="A376" s="657"/>
      <c r="B376" s="570"/>
      <c r="C376" s="541"/>
      <c r="D376" s="541"/>
      <c r="E376" s="541"/>
      <c r="F376" s="541"/>
      <c r="G376" s="541"/>
      <c r="H376" s="541"/>
      <c r="I376" s="541"/>
      <c r="J376" s="541"/>
      <c r="K376" s="541"/>
      <c r="L376" s="541"/>
      <c r="M376" s="541"/>
      <c r="N376" s="541"/>
      <c r="O376" s="541"/>
      <c r="P376" s="657"/>
      <c r="Q376" s="541"/>
      <c r="R376" s="583"/>
    </row>
    <row r="377" spans="1:18">
      <c r="A377" s="657"/>
      <c r="B377" s="570"/>
      <c r="C377" s="541"/>
      <c r="D377" s="541"/>
      <c r="E377" s="541"/>
      <c r="F377" s="541"/>
      <c r="G377" s="541"/>
      <c r="H377" s="541"/>
      <c r="I377" s="541"/>
      <c r="J377" s="541"/>
      <c r="K377" s="541"/>
      <c r="L377" s="541"/>
      <c r="M377" s="541"/>
      <c r="N377" s="541"/>
      <c r="O377" s="541"/>
      <c r="P377" s="657"/>
      <c r="Q377" s="541"/>
      <c r="R377" s="583"/>
    </row>
    <row r="378" spans="1:18">
      <c r="A378" s="657"/>
      <c r="B378" s="570"/>
      <c r="C378" s="541"/>
      <c r="D378" s="541"/>
      <c r="E378" s="541"/>
      <c r="F378" s="541"/>
      <c r="G378" s="541"/>
      <c r="H378" s="541"/>
      <c r="I378" s="541"/>
      <c r="J378" s="541"/>
      <c r="K378" s="541"/>
      <c r="L378" s="541"/>
      <c r="M378" s="541"/>
      <c r="N378" s="541"/>
      <c r="O378" s="541"/>
      <c r="P378" s="657"/>
      <c r="Q378" s="541"/>
      <c r="R378" s="583"/>
    </row>
    <row r="379" spans="1:18">
      <c r="A379" s="657"/>
      <c r="B379" s="570"/>
      <c r="C379" s="541"/>
      <c r="D379" s="541"/>
      <c r="E379" s="541"/>
      <c r="F379" s="541"/>
      <c r="G379" s="541"/>
      <c r="H379" s="541"/>
      <c r="I379" s="541"/>
      <c r="J379" s="541"/>
      <c r="K379" s="541"/>
      <c r="L379" s="541"/>
      <c r="M379" s="541"/>
      <c r="N379" s="541"/>
      <c r="O379" s="541"/>
      <c r="P379" s="657"/>
      <c r="Q379" s="541"/>
      <c r="R379" s="583"/>
    </row>
    <row r="380" spans="1:18">
      <c r="A380" s="657"/>
      <c r="B380" s="570"/>
      <c r="C380" s="541"/>
      <c r="D380" s="541"/>
      <c r="E380" s="541"/>
      <c r="F380" s="541"/>
      <c r="G380" s="541"/>
      <c r="H380" s="541"/>
      <c r="I380" s="541"/>
      <c r="J380" s="541"/>
      <c r="K380" s="541"/>
      <c r="L380" s="541"/>
      <c r="M380" s="541"/>
      <c r="N380" s="541"/>
      <c r="O380" s="541"/>
      <c r="P380" s="657"/>
      <c r="Q380" s="541"/>
      <c r="R380" s="583"/>
    </row>
    <row r="381" spans="1:18">
      <c r="A381" s="657"/>
      <c r="B381" s="570"/>
      <c r="C381" s="541"/>
      <c r="D381" s="541"/>
      <c r="E381" s="541"/>
      <c r="F381" s="541"/>
      <c r="G381" s="541"/>
      <c r="H381" s="541"/>
      <c r="I381" s="541"/>
      <c r="J381" s="541"/>
      <c r="K381" s="541"/>
      <c r="L381" s="541"/>
      <c r="M381" s="541"/>
      <c r="N381" s="541"/>
      <c r="O381" s="541"/>
      <c r="P381" s="657"/>
      <c r="Q381" s="541"/>
      <c r="R381" s="583"/>
    </row>
    <row r="382" spans="1:18">
      <c r="A382" s="658"/>
      <c r="E382" s="541"/>
      <c r="F382" s="541"/>
      <c r="G382" s="541"/>
      <c r="H382" s="541"/>
      <c r="I382" s="541"/>
      <c r="J382" s="541"/>
      <c r="K382" s="541"/>
      <c r="L382" s="541"/>
      <c r="M382" s="541"/>
      <c r="N382" s="541"/>
      <c r="O382" s="541"/>
      <c r="R382" s="583"/>
    </row>
    <row r="383" spans="1:18">
      <c r="A383" s="658"/>
      <c r="E383" s="541"/>
      <c r="F383" s="541"/>
      <c r="G383" s="541"/>
      <c r="H383" s="541"/>
      <c r="I383" s="541"/>
      <c r="J383" s="541"/>
      <c r="K383" s="541"/>
      <c r="L383" s="541"/>
      <c r="M383" s="541"/>
      <c r="N383" s="541"/>
      <c r="O383" s="541"/>
      <c r="Q383" s="620"/>
      <c r="R383" s="583"/>
    </row>
    <row r="384" spans="1:18">
      <c r="A384" s="525"/>
      <c r="J384" s="526"/>
      <c r="N384" s="665" t="s">
        <v>984</v>
      </c>
      <c r="O384" s="526"/>
      <c r="Q384" s="656"/>
      <c r="R384" s="525"/>
    </row>
    <row r="385" spans="1:18">
      <c r="B385" s="570"/>
      <c r="C385" s="541"/>
      <c r="D385" s="541"/>
      <c r="E385" s="541"/>
      <c r="F385" s="541"/>
      <c r="G385" s="541"/>
      <c r="H385" s="541"/>
      <c r="I385" s="541"/>
      <c r="J385" s="541"/>
      <c r="K385" s="541"/>
      <c r="L385" s="541"/>
      <c r="M385" s="541"/>
      <c r="N385" s="541"/>
      <c r="O385" s="541"/>
      <c r="P385" s="541"/>
      <c r="Q385" s="541"/>
      <c r="R385" s="541"/>
    </row>
    <row r="386" spans="1:18" ht="12.75" customHeight="1">
      <c r="B386" s="570"/>
      <c r="C386" s="541"/>
      <c r="D386" s="541"/>
      <c r="E386" s="541"/>
      <c r="F386" s="541"/>
      <c r="G386" s="541"/>
      <c r="R386" s="541"/>
    </row>
    <row r="387" spans="1:18">
      <c r="A387" s="529"/>
      <c r="B387" s="526"/>
      <c r="E387" s="541"/>
      <c r="F387" s="541"/>
      <c r="G387" s="541"/>
      <c r="H387" s="667"/>
      <c r="I387" s="667"/>
      <c r="J387" s="667"/>
      <c r="K387" s="667"/>
      <c r="L387" s="667"/>
      <c r="M387" s="667"/>
      <c r="N387" s="667"/>
      <c r="O387" s="667"/>
      <c r="P387" s="667"/>
      <c r="Q387" s="667"/>
      <c r="R387" s="541"/>
    </row>
    <row r="388" spans="1:18" ht="4" customHeight="1">
      <c r="B388" s="540"/>
      <c r="C388" s="540"/>
      <c r="D388" s="540"/>
      <c r="E388" s="540"/>
      <c r="F388" s="540"/>
      <c r="G388" s="540"/>
      <c r="H388" s="540"/>
      <c r="I388" s="540"/>
      <c r="J388" s="540"/>
      <c r="K388" s="540"/>
      <c r="L388" s="540"/>
      <c r="M388" s="540"/>
      <c r="N388" s="540"/>
      <c r="O388" s="540"/>
      <c r="P388" s="540"/>
      <c r="Q388" s="540"/>
      <c r="R388" s="668"/>
    </row>
    <row r="389" spans="1:18">
      <c r="B389" s="570"/>
    </row>
    <row r="392" spans="1:18">
      <c r="R392" s="525"/>
    </row>
    <row r="393" spans="1:18" ht="15.75" customHeight="1"/>
    <row r="394" spans="1:18" ht="15.75" customHeight="1"/>
    <row r="395" spans="1:18" ht="15.75" customHeight="1"/>
    <row r="396" spans="1:18" ht="15.75" customHeight="1"/>
    <row r="397" spans="1:18" ht="15.75" customHeight="1"/>
    <row r="398" spans="1:18" ht="15.75" customHeight="1"/>
    <row r="399" spans="1:18" ht="15.75" customHeight="1"/>
    <row r="400" spans="1:18" ht="15.75" customHeight="1"/>
    <row r="401" spans="18:18" ht="15.75" customHeight="1"/>
    <row r="402" spans="18:18" ht="15.75" customHeight="1"/>
    <row r="403" spans="18:18" ht="15.75" customHeight="1"/>
    <row r="404" spans="18:18" ht="15.75" customHeight="1"/>
    <row r="405" spans="18:18" ht="15.75" customHeight="1"/>
    <row r="406" spans="18:18" ht="15.75" customHeight="1"/>
    <row r="407" spans="18:18" ht="15.75" customHeight="1">
      <c r="R407" s="525"/>
    </row>
    <row r="408" spans="18:18" ht="15.75" customHeight="1">
      <c r="R408" s="525"/>
    </row>
    <row r="409" spans="18:18" ht="15.75" customHeight="1">
      <c r="R409" s="525"/>
    </row>
    <row r="410" spans="18:18" ht="15.75" customHeight="1">
      <c r="R410" s="525"/>
    </row>
    <row r="411" spans="18:18" ht="15.75" customHeight="1">
      <c r="R411" s="525"/>
    </row>
    <row r="412" spans="18:18" ht="15.75" customHeight="1">
      <c r="R412" s="525"/>
    </row>
    <row r="413" spans="18:18" ht="15.75" customHeight="1">
      <c r="R413" s="525"/>
    </row>
    <row r="414" spans="18:18" ht="15.75" customHeight="1">
      <c r="R414" s="525"/>
    </row>
    <row r="415" spans="18:18" ht="15.75" customHeight="1">
      <c r="R415" s="525"/>
    </row>
    <row r="416" spans="18:18" ht="15.75" customHeight="1">
      <c r="R416" s="525"/>
    </row>
    <row r="417" spans="18:18" ht="15.75" customHeight="1">
      <c r="R417" s="525"/>
    </row>
    <row r="418" spans="18:18" ht="15.75" customHeight="1">
      <c r="R418" s="525"/>
    </row>
    <row r="419" spans="18:18" ht="15.75" customHeight="1">
      <c r="R419" s="525"/>
    </row>
    <row r="420" spans="18:18" ht="15.75" customHeight="1">
      <c r="R420" s="525"/>
    </row>
    <row r="421" spans="18:18" ht="15.75" customHeight="1">
      <c r="R421" s="525"/>
    </row>
    <row r="422" spans="18:18" ht="15.75" customHeight="1">
      <c r="R422" s="525"/>
    </row>
    <row r="423" spans="18:18" ht="15.75" customHeight="1">
      <c r="R423" s="525"/>
    </row>
    <row r="424" spans="18:18" ht="15.75" customHeight="1">
      <c r="R424" s="525"/>
    </row>
    <row r="425" spans="18:18" ht="15.75" customHeight="1">
      <c r="R425" s="525"/>
    </row>
    <row r="426" spans="18:18" ht="15.75" customHeight="1">
      <c r="R426" s="525"/>
    </row>
    <row r="427" spans="18:18" ht="15.75" customHeight="1">
      <c r="R427" s="525"/>
    </row>
    <row r="428" spans="18:18" ht="15.75" customHeight="1">
      <c r="R428" s="525"/>
    </row>
    <row r="429" spans="18:18" ht="15.75" customHeight="1">
      <c r="R429" s="525"/>
    </row>
    <row r="430" spans="18:18" ht="15.75" customHeight="1">
      <c r="R430" s="525"/>
    </row>
    <row r="431" spans="18:18" ht="15.75" customHeight="1">
      <c r="R431" s="525"/>
    </row>
    <row r="432" spans="18:18" ht="15.75" customHeight="1">
      <c r="R432" s="525"/>
    </row>
    <row r="433" spans="18:18" ht="15.75" customHeight="1">
      <c r="R433" s="525"/>
    </row>
    <row r="434" spans="18:18" ht="15.75" customHeight="1">
      <c r="R434" s="525"/>
    </row>
    <row r="435" spans="18:18" ht="15.75" customHeight="1">
      <c r="R435" s="525"/>
    </row>
    <row r="436" spans="18:18" ht="15.75" customHeight="1">
      <c r="R436" s="525"/>
    </row>
    <row r="437" spans="18:18" ht="15.75" customHeight="1">
      <c r="R437" s="525"/>
    </row>
    <row r="438" spans="18:18" ht="15.75" customHeight="1">
      <c r="R438" s="525"/>
    </row>
    <row r="439" spans="18:18" ht="15.75" customHeight="1">
      <c r="R439" s="525"/>
    </row>
    <row r="440" spans="18:18" ht="15.75" customHeight="1">
      <c r="R440" s="525"/>
    </row>
    <row r="441" spans="18:18" ht="15.75" customHeight="1">
      <c r="R441" s="525"/>
    </row>
    <row r="442" spans="18:18" ht="15.75" customHeight="1">
      <c r="R442" s="525"/>
    </row>
    <row r="443" spans="18:18" ht="15.75" customHeight="1">
      <c r="R443" s="525"/>
    </row>
    <row r="444" spans="18:18" ht="15.75" customHeight="1">
      <c r="R444" s="525"/>
    </row>
    <row r="445" spans="18:18" ht="15.75" customHeight="1">
      <c r="R445" s="525"/>
    </row>
    <row r="446" spans="18:18" ht="15.75" customHeight="1">
      <c r="R446" s="525"/>
    </row>
    <row r="447" spans="18:18" ht="15.75" customHeight="1">
      <c r="R447" s="525"/>
    </row>
    <row r="448" spans="18:18" ht="15.75" customHeight="1">
      <c r="R448" s="525"/>
    </row>
    <row r="449" spans="18:18" ht="15.75" customHeight="1">
      <c r="R449" s="525"/>
    </row>
    <row r="450" spans="18:18" ht="15.75" customHeight="1">
      <c r="R450" s="525"/>
    </row>
    <row r="451" spans="18:18" ht="15.75" customHeight="1">
      <c r="R451" s="525"/>
    </row>
    <row r="452" spans="18:18" ht="15.75" customHeight="1">
      <c r="R452" s="525"/>
    </row>
    <row r="453" spans="18:18" ht="15.75" customHeight="1">
      <c r="R453" s="525"/>
    </row>
    <row r="454" spans="18:18" ht="15.75" customHeight="1">
      <c r="R454" s="525"/>
    </row>
    <row r="455" spans="18:18" ht="15.75" customHeight="1">
      <c r="R455" s="525"/>
    </row>
    <row r="456" spans="18:18" ht="15.75" customHeight="1">
      <c r="R456" s="525"/>
    </row>
    <row r="457" spans="18:18" ht="15.75" customHeight="1">
      <c r="R457" s="525"/>
    </row>
    <row r="458" spans="18:18" ht="15.75" customHeight="1">
      <c r="R458" s="525"/>
    </row>
    <row r="459" spans="18:18" ht="15.75" customHeight="1">
      <c r="R459" s="525"/>
    </row>
    <row r="460" spans="18:18" ht="15.75" customHeight="1">
      <c r="R460" s="525"/>
    </row>
    <row r="461" spans="18:18" ht="15.75" customHeight="1">
      <c r="R461" s="525"/>
    </row>
    <row r="462" spans="18:18" ht="15.75" customHeight="1">
      <c r="R462" s="525"/>
    </row>
    <row r="463" spans="18:18" ht="15.75" customHeight="1">
      <c r="R463" s="525"/>
    </row>
    <row r="464" spans="18:18" ht="15.75" customHeight="1">
      <c r="R464" s="525"/>
    </row>
    <row r="465" spans="18:18" ht="15.75" customHeight="1">
      <c r="R465" s="525"/>
    </row>
    <row r="466" spans="18:18" ht="15.75" customHeight="1">
      <c r="R466" s="525"/>
    </row>
    <row r="467" spans="18:18" ht="15.75" customHeight="1">
      <c r="R467" s="525"/>
    </row>
    <row r="468" spans="18:18" ht="15.75" customHeight="1">
      <c r="R468" s="525"/>
    </row>
    <row r="469" spans="18:18" ht="15.75" customHeight="1">
      <c r="R469" s="525"/>
    </row>
    <row r="470" spans="18:18" ht="15.75" customHeight="1">
      <c r="R470" s="525"/>
    </row>
    <row r="471" spans="18:18" ht="15.75" customHeight="1">
      <c r="R471" s="525"/>
    </row>
    <row r="472" spans="18:18" ht="15.75" customHeight="1">
      <c r="R472" s="525"/>
    </row>
    <row r="473" spans="18:18" ht="15.75" customHeight="1">
      <c r="R473" s="525"/>
    </row>
    <row r="474" spans="18:18" ht="15.75" customHeight="1">
      <c r="R474" s="525"/>
    </row>
    <row r="475" spans="18:18" ht="15.75" customHeight="1">
      <c r="R475" s="525"/>
    </row>
    <row r="476" spans="18:18" ht="15.75" customHeight="1">
      <c r="R476" s="525"/>
    </row>
    <row r="477" spans="18:18" ht="15.75" customHeight="1">
      <c r="R477" s="525"/>
    </row>
    <row r="478" spans="18:18" ht="15.75" customHeight="1">
      <c r="R478" s="525"/>
    </row>
    <row r="479" spans="18:18" ht="15.75" customHeight="1">
      <c r="R479" s="525"/>
    </row>
    <row r="480" spans="18:18" ht="15.75" customHeight="1">
      <c r="R480" s="525"/>
    </row>
    <row r="481" spans="18:18" ht="15.75" customHeight="1">
      <c r="R481" s="525"/>
    </row>
    <row r="482" spans="18:18" ht="15.75" customHeight="1">
      <c r="R482" s="525"/>
    </row>
    <row r="483" spans="18:18" ht="15.75" customHeight="1"/>
    <row r="484" spans="18:18" ht="15.75" customHeight="1"/>
    <row r="485" spans="18:18" ht="15.75" customHeight="1"/>
  </sheetData>
  <mergeCells count="95">
    <mergeCell ref="A1:R1"/>
    <mergeCell ref="A3:Q3"/>
    <mergeCell ref="C9:R9"/>
    <mergeCell ref="C13:R13"/>
    <mergeCell ref="C17:R17"/>
    <mergeCell ref="D19:R19"/>
    <mergeCell ref="D21:R21"/>
    <mergeCell ref="C23:R23"/>
    <mergeCell ref="E48:R48"/>
    <mergeCell ref="C51:R51"/>
    <mergeCell ref="C29:R30"/>
    <mergeCell ref="B54:R54"/>
    <mergeCell ref="C60:R60"/>
    <mergeCell ref="C64:R64"/>
    <mergeCell ref="C65:R65"/>
    <mergeCell ref="C67:R67"/>
    <mergeCell ref="C69:R69"/>
    <mergeCell ref="C70:R70"/>
    <mergeCell ref="C71:R71"/>
    <mergeCell ref="C75:R75"/>
    <mergeCell ref="D83:R83"/>
    <mergeCell ref="D85:R85"/>
    <mergeCell ref="D87:R87"/>
    <mergeCell ref="D89:R89"/>
    <mergeCell ref="D91:R91"/>
    <mergeCell ref="D93:R93"/>
    <mergeCell ref="C105:R105"/>
    <mergeCell ref="C111:R111"/>
    <mergeCell ref="C116:R116"/>
    <mergeCell ref="C118:R118"/>
    <mergeCell ref="C120:R120"/>
    <mergeCell ref="C124:R124"/>
    <mergeCell ref="C126:R126"/>
    <mergeCell ref="C130:R130"/>
    <mergeCell ref="C132:D132"/>
    <mergeCell ref="C133:R133"/>
    <mergeCell ref="C135:E135"/>
    <mergeCell ref="C136:R136"/>
    <mergeCell ref="C138:R138"/>
    <mergeCell ref="C140:K140"/>
    <mergeCell ref="C141:F141"/>
    <mergeCell ref="H141:R141"/>
    <mergeCell ref="C143:R143"/>
    <mergeCell ref="C147:D147"/>
    <mergeCell ref="C149:R149"/>
    <mergeCell ref="C153:R153"/>
    <mergeCell ref="C157:R157"/>
    <mergeCell ref="C158:R158"/>
    <mergeCell ref="C159:R159"/>
    <mergeCell ref="C162:R162"/>
    <mergeCell ref="C164:R164"/>
    <mergeCell ref="C165:R165"/>
    <mergeCell ref="C166:R166"/>
    <mergeCell ref="C168:R168"/>
    <mergeCell ref="C170:R170"/>
    <mergeCell ref="C174:R174"/>
    <mergeCell ref="C178:R178"/>
    <mergeCell ref="C182:R182"/>
    <mergeCell ref="C186:R186"/>
    <mergeCell ref="C187:R187"/>
    <mergeCell ref="E192:J192"/>
    <mergeCell ref="B254:D254"/>
    <mergeCell ref="E254:G254"/>
    <mergeCell ref="H254:I254"/>
    <mergeCell ref="J254:K254"/>
    <mergeCell ref="B255:D255"/>
    <mergeCell ref="E255:G255"/>
    <mergeCell ref="H255:I255"/>
    <mergeCell ref="J255:K255"/>
    <mergeCell ref="B256:D256"/>
    <mergeCell ref="E256:G256"/>
    <mergeCell ref="H256:I256"/>
    <mergeCell ref="J256:K256"/>
    <mergeCell ref="H272:I272"/>
    <mergeCell ref="J272:K272"/>
    <mergeCell ref="B273:D273"/>
    <mergeCell ref="E273:G273"/>
    <mergeCell ref="H273:I273"/>
    <mergeCell ref="J273:K273"/>
    <mergeCell ref="B355:R355"/>
    <mergeCell ref="C37:R38"/>
    <mergeCell ref="C39:R40"/>
    <mergeCell ref="C42:R46"/>
    <mergeCell ref="C101:R103"/>
    <mergeCell ref="C99:R100"/>
    <mergeCell ref="C109:R110"/>
    <mergeCell ref="C188:R189"/>
    <mergeCell ref="B284:N285"/>
    <mergeCell ref="C341:N341"/>
    <mergeCell ref="C342:Q342"/>
    <mergeCell ref="C343:N343"/>
    <mergeCell ref="C349:N349"/>
    <mergeCell ref="C351:O351"/>
    <mergeCell ref="B272:D272"/>
    <mergeCell ref="E272:G272"/>
  </mergeCells>
  <printOptions horizontalCentered="1"/>
  <pageMargins left="0.7" right="0.7" top="0.75" bottom="0.75" header="0.3" footer="0.3"/>
  <pageSetup scale="82" fitToHeight="0"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028D6-5B7C-470B-9AB3-13797D364376}">
  <dimension ref="A1:I68"/>
  <sheetViews>
    <sheetView showGridLines="0" tabSelected="1" zoomScale="95" workbookViewId="0">
      <selection activeCell="C4" sqref="C4"/>
    </sheetView>
  </sheetViews>
  <sheetFormatPr defaultRowHeight="14.5"/>
  <cols>
    <col min="1" max="1" width="2.26953125" customWidth="1"/>
    <col min="2" max="2" width="23.90625" bestFit="1" customWidth="1"/>
    <col min="3" max="3" width="33.90625" bestFit="1" customWidth="1"/>
    <col min="4" max="4" width="16.1796875" bestFit="1" customWidth="1"/>
    <col min="5" max="5" width="14.54296875" bestFit="1" customWidth="1"/>
    <col min="7" max="7" width="12.36328125" bestFit="1" customWidth="1"/>
  </cols>
  <sheetData>
    <row r="1" spans="2:9" ht="18.5">
      <c r="B1" s="1589"/>
      <c r="C1" s="1590" t="s">
        <v>951</v>
      </c>
      <c r="D1" s="1587"/>
      <c r="E1" s="1587"/>
      <c r="F1" s="1587"/>
      <c r="G1" s="1587"/>
    </row>
    <row r="2" spans="2:9" ht="18.5">
      <c r="B2" s="1589"/>
      <c r="C2" s="1590" t="s">
        <v>1888</v>
      </c>
      <c r="D2" s="1587"/>
      <c r="E2" s="1587"/>
      <c r="F2" s="1587"/>
      <c r="G2" s="1587"/>
    </row>
    <row r="3" spans="2:9">
      <c r="B3" s="1598" t="s">
        <v>6</v>
      </c>
      <c r="C3" s="1598" t="s">
        <v>1889</v>
      </c>
      <c r="D3" s="1598" t="s">
        <v>1890</v>
      </c>
      <c r="E3" s="1591"/>
      <c r="F3" s="1587"/>
      <c r="G3" s="1587"/>
    </row>
    <row r="4" spans="2:9">
      <c r="B4" s="1599" t="s">
        <v>1891</v>
      </c>
      <c r="C4" s="1599">
        <f>'Note 5 ''2025'!C11</f>
        <v>11585617</v>
      </c>
      <c r="D4" s="1586"/>
      <c r="E4" s="1592"/>
      <c r="F4" s="1587"/>
      <c r="G4" s="1587"/>
      <c r="H4" s="1587"/>
      <c r="I4" s="1587"/>
    </row>
    <row r="5" spans="2:9">
      <c r="B5" s="1586" t="s">
        <v>1877</v>
      </c>
      <c r="C5" s="1585"/>
      <c r="D5" s="1586">
        <f>'Note 5 ''2025'!I11</f>
        <v>5577526.5999999996</v>
      </c>
      <c r="E5" s="1593"/>
      <c r="F5" s="1587"/>
      <c r="G5" s="1584"/>
      <c r="H5" s="1587"/>
      <c r="I5" s="1587"/>
    </row>
    <row r="6" spans="2:9">
      <c r="B6" s="1586" t="s">
        <v>1892</v>
      </c>
      <c r="C6" s="1586">
        <f>NOTES!L203</f>
        <v>85471120.579999998</v>
      </c>
      <c r="D6" s="1586"/>
      <c r="E6" s="1592"/>
      <c r="F6" s="1587"/>
      <c r="G6" s="1587"/>
      <c r="H6" s="1587"/>
      <c r="I6" s="1587"/>
    </row>
    <row r="7" spans="2:9">
      <c r="B7" s="1586" t="s">
        <v>1539</v>
      </c>
      <c r="C7" s="1586">
        <f>SOFP!D21</f>
        <v>77671960</v>
      </c>
      <c r="D7" s="1586"/>
      <c r="E7" s="1592"/>
      <c r="F7" s="1587"/>
      <c r="G7" s="1587"/>
      <c r="H7" s="1587"/>
      <c r="I7" s="1587"/>
    </row>
    <row r="8" spans="2:9" ht="28">
      <c r="B8" s="1586" t="s">
        <v>1893</v>
      </c>
      <c r="C8" s="1586">
        <f>NOTES!L213</f>
        <v>24183426.5286122</v>
      </c>
      <c r="D8" s="1586"/>
      <c r="E8" s="1592"/>
      <c r="F8" s="1587"/>
      <c r="G8" s="1587"/>
    </row>
    <row r="9" spans="2:9">
      <c r="B9" s="1586" t="s">
        <v>1894</v>
      </c>
      <c r="C9" s="1586">
        <f>NOTES!L219</f>
        <v>85418832.572515503</v>
      </c>
      <c r="D9" s="1586"/>
      <c r="E9" s="1592"/>
      <c r="F9" s="1587"/>
      <c r="G9" s="1587"/>
    </row>
    <row r="10" spans="2:9">
      <c r="B10" s="1598" t="s">
        <v>970</v>
      </c>
      <c r="C10" s="1586"/>
      <c r="D10" s="1586">
        <f>NOTES!L227</f>
        <v>152583275.09</v>
      </c>
      <c r="E10" s="1584"/>
      <c r="F10" s="1587"/>
      <c r="G10" s="1587"/>
    </row>
    <row r="11" spans="2:9">
      <c r="B11" s="1598" t="s">
        <v>1031</v>
      </c>
      <c r="C11" s="1586">
        <f>NOTES!L231*-1</f>
        <v>61005626.681853801</v>
      </c>
      <c r="D11" s="1586"/>
      <c r="E11" s="1584"/>
      <c r="F11" s="1587"/>
      <c r="G11" s="1587"/>
    </row>
    <row r="12" spans="2:9" ht="28">
      <c r="B12" s="1598" t="s">
        <v>1901</v>
      </c>
      <c r="C12" s="1586"/>
      <c r="D12" s="1585"/>
      <c r="E12" s="1584"/>
      <c r="F12" s="1587"/>
      <c r="G12" s="1588"/>
    </row>
    <row r="13" spans="2:9" ht="28">
      <c r="B13" s="1586" t="s">
        <v>1895</v>
      </c>
      <c r="C13" s="1586"/>
      <c r="D13" s="1586">
        <f>NOTES!L251+NOTES!L270</f>
        <v>39280372.980000004</v>
      </c>
      <c r="E13" s="1584"/>
      <c r="F13" s="1587"/>
      <c r="G13" s="1587"/>
    </row>
    <row r="14" spans="2:9" ht="28">
      <c r="B14" s="1586" t="s">
        <v>1896</v>
      </c>
      <c r="C14" s="1586"/>
      <c r="D14" s="1586">
        <f>NOTES!L279</f>
        <v>44566141.9459337</v>
      </c>
      <c r="E14" s="1593"/>
      <c r="F14" s="1587"/>
      <c r="G14" s="1587"/>
    </row>
    <row r="15" spans="2:9">
      <c r="B15" s="1586" t="s">
        <v>1897</v>
      </c>
      <c r="C15" s="1586"/>
      <c r="D15" s="1586">
        <f>NOTES!L282</f>
        <v>824458687.28327894</v>
      </c>
      <c r="E15" s="1593"/>
      <c r="F15" s="1587"/>
      <c r="G15" s="1587"/>
    </row>
    <row r="16" spans="2:9">
      <c r="B16" s="1586" t="s">
        <v>1898</v>
      </c>
      <c r="C16" s="1586">
        <f>NOTES!L302</f>
        <v>671752846.85859096</v>
      </c>
      <c r="D16" s="1586"/>
      <c r="E16" s="1592"/>
      <c r="F16" s="1587"/>
      <c r="G16" s="1587"/>
    </row>
    <row r="17" spans="1:7">
      <c r="B17" s="1586" t="s">
        <v>744</v>
      </c>
      <c r="C17" s="1586">
        <f>NOTES!L318</f>
        <v>32608623.60164459</v>
      </c>
      <c r="D17" s="1586"/>
      <c r="E17" s="1592"/>
      <c r="F17" s="1587"/>
      <c r="G17" s="1587"/>
    </row>
    <row r="18" spans="1:7">
      <c r="B18" s="1586" t="s">
        <v>991</v>
      </c>
      <c r="C18" s="1586">
        <f>NOTES!L337</f>
        <v>1327944.7</v>
      </c>
      <c r="D18" s="1586"/>
      <c r="E18" s="1592"/>
      <c r="F18" s="1587"/>
      <c r="G18" s="1587"/>
    </row>
    <row r="19" spans="1:7">
      <c r="B19" s="1586" t="s">
        <v>1899</v>
      </c>
      <c r="C19" s="1586">
        <f>'P &amp; L'!J21</f>
        <v>15440005.375995645</v>
      </c>
      <c r="D19" s="1586"/>
      <c r="E19" s="1592"/>
      <c r="F19" s="1587"/>
      <c r="G19" s="1587"/>
    </row>
    <row r="20" spans="1:7">
      <c r="B20" s="1598" t="s">
        <v>1900</v>
      </c>
      <c r="C20" s="1598">
        <f>SUM(C4:C19)</f>
        <v>1066466003.8992127</v>
      </c>
      <c r="D20" s="1598">
        <f>SUM(D4:D19)</f>
        <v>1066466003.8992126</v>
      </c>
      <c r="E20" s="1594">
        <f>D20-C20</f>
        <v>0</v>
      </c>
      <c r="F20" s="1587"/>
      <c r="G20" s="1587"/>
    </row>
    <row r="21" spans="1:7">
      <c r="B21" s="1587"/>
      <c r="C21" s="1587"/>
      <c r="D21" s="1587"/>
      <c r="E21" s="1587"/>
      <c r="F21" s="1587"/>
      <c r="G21" s="1587"/>
    </row>
    <row r="22" spans="1:7">
      <c r="A22" s="1583"/>
      <c r="B22" s="1587"/>
      <c r="C22" s="1587"/>
      <c r="D22" s="1587"/>
      <c r="E22" s="1595"/>
      <c r="F22" s="1596"/>
      <c r="G22" s="1587"/>
    </row>
    <row r="23" spans="1:7">
      <c r="A23" s="1583"/>
      <c r="B23" s="1587"/>
      <c r="C23" s="1587"/>
      <c r="D23" s="1587"/>
      <c r="E23" s="1597"/>
      <c r="F23" s="1596"/>
      <c r="G23" s="1587"/>
    </row>
    <row r="24" spans="1:7">
      <c r="A24" s="1583"/>
      <c r="B24" s="1587"/>
      <c r="C24" s="1587"/>
      <c r="D24" s="1587"/>
      <c r="E24" s="1597"/>
      <c r="F24" s="1596"/>
      <c r="G24" s="1587"/>
    </row>
    <row r="25" spans="1:7">
      <c r="A25" s="1583"/>
      <c r="B25" s="1587"/>
      <c r="C25" s="1587"/>
      <c r="D25" s="1587"/>
      <c r="E25" s="1597"/>
      <c r="F25" s="1596"/>
      <c r="G25" s="1587"/>
    </row>
    <row r="26" spans="1:7">
      <c r="A26" s="1583"/>
      <c r="B26" s="1587"/>
      <c r="C26" s="1587"/>
      <c r="D26" s="1587"/>
      <c r="E26" s="1597"/>
      <c r="F26" s="1596"/>
      <c r="G26" s="1587"/>
    </row>
    <row r="27" spans="1:7">
      <c r="A27" s="1583"/>
      <c r="B27" s="1587"/>
      <c r="C27" s="1587"/>
      <c r="D27" s="1587"/>
      <c r="E27" s="1597"/>
      <c r="F27" s="1596"/>
      <c r="G27" s="1587"/>
    </row>
    <row r="28" spans="1:7">
      <c r="A28" s="1583"/>
      <c r="B28" s="1587"/>
      <c r="C28" s="1587"/>
      <c r="D28" s="1587"/>
      <c r="E28" s="1597"/>
      <c r="F28" s="1596"/>
      <c r="G28" s="1587"/>
    </row>
    <row r="29" spans="1:7">
      <c r="A29" s="1583"/>
      <c r="B29" s="1587"/>
      <c r="C29" s="1587"/>
      <c r="D29" s="1587"/>
      <c r="E29" s="1597"/>
      <c r="F29" s="1596"/>
      <c r="G29" s="1587"/>
    </row>
    <row r="30" spans="1:7">
      <c r="A30" s="1583"/>
      <c r="B30" s="1587"/>
      <c r="C30" s="1587"/>
      <c r="D30" s="1587"/>
      <c r="E30" s="1597"/>
      <c r="F30" s="1596"/>
      <c r="G30" s="1587"/>
    </row>
    <row r="31" spans="1:7">
      <c r="A31" s="1583"/>
      <c r="B31" s="1587"/>
      <c r="C31" s="1587"/>
      <c r="D31" s="1587"/>
      <c r="E31" s="1597"/>
      <c r="F31" s="1596"/>
      <c r="G31" s="1587"/>
    </row>
    <row r="32" spans="1:7">
      <c r="A32" s="1583"/>
      <c r="B32" s="1587"/>
      <c r="C32" s="1587"/>
      <c r="D32" s="1587"/>
      <c r="E32" s="1597"/>
      <c r="F32" s="1596"/>
      <c r="G32" s="1587"/>
    </row>
    <row r="33" spans="1:7">
      <c r="A33" s="1583"/>
      <c r="B33" s="1587"/>
      <c r="C33" s="1587"/>
      <c r="D33" s="1587"/>
      <c r="E33" s="1597"/>
      <c r="F33" s="1596"/>
      <c r="G33" s="1587"/>
    </row>
    <row r="34" spans="1:7">
      <c r="A34" s="1583"/>
      <c r="B34" s="1587"/>
      <c r="C34" s="1587"/>
      <c r="D34" s="1587"/>
      <c r="E34" s="1597"/>
      <c r="F34" s="1596"/>
      <c r="G34" s="1587"/>
    </row>
    <row r="35" spans="1:7">
      <c r="A35" s="1583"/>
      <c r="B35" s="1587"/>
      <c r="C35" s="1587"/>
      <c r="D35" s="1587"/>
      <c r="E35" s="1597"/>
      <c r="F35" s="1596"/>
      <c r="G35" s="1587"/>
    </row>
    <row r="36" spans="1:7">
      <c r="A36" s="1583"/>
      <c r="B36" s="1587"/>
      <c r="C36" s="1587"/>
      <c r="D36" s="1587"/>
      <c r="E36" s="1597"/>
      <c r="F36" s="1596"/>
      <c r="G36" s="1587"/>
    </row>
    <row r="37" spans="1:7">
      <c r="A37" s="1583"/>
      <c r="B37" s="1587"/>
      <c r="C37" s="1587"/>
      <c r="D37" s="1587"/>
      <c r="E37" s="1597"/>
      <c r="F37" s="1596"/>
      <c r="G37" s="1587"/>
    </row>
    <row r="38" spans="1:7">
      <c r="A38" s="1583"/>
      <c r="B38" s="1587"/>
      <c r="C38" s="1587"/>
      <c r="D38" s="1587"/>
      <c r="E38" s="1595"/>
      <c r="F38" s="1596"/>
      <c r="G38" s="1587"/>
    </row>
    <row r="39" spans="1:7">
      <c r="B39" s="1587"/>
      <c r="C39" s="1587"/>
      <c r="D39" s="1587"/>
      <c r="E39" s="1587"/>
      <c r="F39" s="1587"/>
      <c r="G39" s="1587"/>
    </row>
    <row r="40" spans="1:7">
      <c r="B40" s="1587"/>
      <c r="C40" s="1587"/>
      <c r="D40" s="1587"/>
      <c r="E40" s="1587"/>
      <c r="F40" s="1587"/>
      <c r="G40" s="1587"/>
    </row>
    <row r="41" spans="1:7">
      <c r="B41" s="1587"/>
      <c r="C41" s="1587"/>
      <c r="D41" s="1587"/>
      <c r="E41" s="1587"/>
      <c r="F41" s="1587"/>
      <c r="G41" s="1587"/>
    </row>
    <row r="42" spans="1:7">
      <c r="B42" s="1587"/>
      <c r="C42" s="1587"/>
      <c r="D42" s="1587"/>
      <c r="E42" s="1587"/>
      <c r="F42" s="1587"/>
      <c r="G42" s="1587"/>
    </row>
    <row r="43" spans="1:7">
      <c r="B43" s="1587"/>
      <c r="C43" s="1587"/>
      <c r="D43" s="1587"/>
      <c r="E43" s="1587"/>
      <c r="F43" s="1587"/>
      <c r="G43" s="1587"/>
    </row>
    <row r="44" spans="1:7">
      <c r="B44" s="1587"/>
      <c r="C44" s="1587"/>
      <c r="D44" s="1587"/>
      <c r="E44" s="1587"/>
      <c r="F44" s="1587"/>
      <c r="G44" s="1587"/>
    </row>
    <row r="45" spans="1:7">
      <c r="B45" s="1587"/>
      <c r="C45" s="1587"/>
      <c r="D45" s="1587"/>
      <c r="E45" s="1587"/>
      <c r="F45" s="1587"/>
      <c r="G45" s="1587"/>
    </row>
    <row r="46" spans="1:7">
      <c r="B46" s="1587"/>
      <c r="C46" s="1587"/>
      <c r="D46" s="1587"/>
      <c r="E46" s="1587"/>
      <c r="F46" s="1587"/>
      <c r="G46" s="1587"/>
    </row>
    <row r="47" spans="1:7">
      <c r="B47" s="1587"/>
      <c r="C47" s="1587"/>
      <c r="D47" s="1587"/>
      <c r="E47" s="1587"/>
      <c r="F47" s="1587"/>
      <c r="G47" s="1587"/>
    </row>
    <row r="48" spans="1:7">
      <c r="B48" s="1587"/>
      <c r="C48" s="1587"/>
      <c r="D48" s="1587"/>
      <c r="E48" s="1587"/>
      <c r="F48" s="1587"/>
      <c r="G48" s="1587"/>
    </row>
    <row r="49" spans="2:7">
      <c r="B49" s="1587"/>
      <c r="C49" s="1587"/>
      <c r="D49" s="1587"/>
      <c r="E49" s="1587"/>
      <c r="F49" s="1587"/>
      <c r="G49" s="1587"/>
    </row>
    <row r="50" spans="2:7">
      <c r="B50" s="1587"/>
      <c r="C50" s="1587"/>
      <c r="D50" s="1587"/>
      <c r="E50" s="1587"/>
      <c r="F50" s="1587"/>
      <c r="G50" s="1587"/>
    </row>
    <row r="51" spans="2:7">
      <c r="B51" s="1587"/>
      <c r="C51" s="1587"/>
      <c r="D51" s="1587"/>
      <c r="E51" s="1587"/>
      <c r="F51" s="1587"/>
      <c r="G51" s="1587"/>
    </row>
    <row r="52" spans="2:7">
      <c r="B52" s="1587"/>
      <c r="C52" s="1587"/>
      <c r="D52" s="1587"/>
      <c r="E52" s="1587"/>
      <c r="F52" s="1587"/>
      <c r="G52" s="1587"/>
    </row>
    <row r="53" spans="2:7">
      <c r="B53" s="1587"/>
      <c r="C53" s="1587"/>
      <c r="D53" s="1587"/>
      <c r="E53" s="1587"/>
      <c r="F53" s="1587"/>
      <c r="G53" s="1587"/>
    </row>
    <row r="54" spans="2:7">
      <c r="B54" s="1587"/>
      <c r="C54" s="1587"/>
      <c r="D54" s="1587"/>
      <c r="E54" s="1587"/>
      <c r="F54" s="1587"/>
      <c r="G54" s="1587"/>
    </row>
    <row r="55" spans="2:7">
      <c r="B55" s="1587"/>
      <c r="C55" s="1587"/>
      <c r="D55" s="1587"/>
      <c r="E55" s="1587"/>
      <c r="F55" s="1587"/>
      <c r="G55" s="1587"/>
    </row>
    <row r="56" spans="2:7">
      <c r="B56" s="1587"/>
      <c r="C56" s="1587"/>
      <c r="D56" s="1587"/>
      <c r="E56" s="1587"/>
      <c r="F56" s="1587"/>
      <c r="G56" s="1587"/>
    </row>
    <row r="57" spans="2:7">
      <c r="B57" s="1587"/>
      <c r="C57" s="1587"/>
      <c r="D57" s="1587"/>
      <c r="E57" s="1587"/>
      <c r="F57" s="1587"/>
      <c r="G57" s="1587"/>
    </row>
    <row r="58" spans="2:7">
      <c r="B58" s="1587"/>
      <c r="C58" s="1587"/>
      <c r="D58" s="1587"/>
      <c r="E58" s="1587"/>
      <c r="F58" s="1587"/>
      <c r="G58" s="1587"/>
    </row>
    <row r="59" spans="2:7">
      <c r="B59" s="1587"/>
      <c r="C59" s="1587"/>
      <c r="D59" s="1587"/>
      <c r="E59" s="1587"/>
      <c r="F59" s="1587"/>
      <c r="G59" s="1587"/>
    </row>
    <row r="60" spans="2:7">
      <c r="B60" s="1587"/>
      <c r="C60" s="1587"/>
      <c r="D60" s="1587"/>
      <c r="E60" s="1587"/>
      <c r="F60" s="1587"/>
      <c r="G60" s="1587"/>
    </row>
    <row r="61" spans="2:7">
      <c r="B61" s="1587"/>
      <c r="C61" s="1587"/>
      <c r="D61" s="1587"/>
      <c r="E61" s="1587"/>
      <c r="F61" s="1587"/>
      <c r="G61" s="1587"/>
    </row>
    <row r="62" spans="2:7">
      <c r="B62" s="1587"/>
      <c r="C62" s="1587"/>
      <c r="D62" s="1587"/>
      <c r="E62" s="1587"/>
      <c r="F62" s="1587"/>
      <c r="G62" s="1587"/>
    </row>
    <row r="63" spans="2:7">
      <c r="B63" s="1587"/>
      <c r="C63" s="1587"/>
      <c r="D63" s="1587"/>
      <c r="E63" s="1587"/>
      <c r="F63" s="1587"/>
      <c r="G63" s="1587"/>
    </row>
    <row r="64" spans="2:7">
      <c r="B64" s="1587"/>
      <c r="C64" s="1587"/>
      <c r="D64" s="1587"/>
      <c r="E64" s="1587"/>
      <c r="F64" s="1587"/>
      <c r="G64" s="1587"/>
    </row>
    <row r="65" spans="2:7">
      <c r="B65" s="1587"/>
      <c r="C65" s="1587"/>
      <c r="D65" s="1587"/>
      <c r="E65" s="1587"/>
      <c r="F65" s="1587"/>
      <c r="G65" s="1587"/>
    </row>
    <row r="66" spans="2:7">
      <c r="B66" s="1587"/>
      <c r="C66" s="1587"/>
      <c r="D66" s="1587"/>
      <c r="E66" s="1587"/>
      <c r="F66" s="1587"/>
      <c r="G66" s="1587"/>
    </row>
    <row r="67" spans="2:7">
      <c r="B67" s="1587"/>
      <c r="C67" s="1587"/>
      <c r="D67" s="1587"/>
      <c r="E67" s="1587"/>
      <c r="F67" s="1587"/>
      <c r="G67" s="1587"/>
    </row>
    <row r="68" spans="2:7">
      <c r="B68" s="1587"/>
      <c r="C68" s="1587"/>
      <c r="D68" s="1587"/>
      <c r="E68" s="1587"/>
      <c r="F68" s="1587"/>
      <c r="G68" s="158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249977111117893"/>
    <pageSetUpPr fitToPage="1"/>
  </sheetPr>
  <dimension ref="A1:V67"/>
  <sheetViews>
    <sheetView showGridLines="0" topLeftCell="E8" zoomScale="85" zoomScaleNormal="85" workbookViewId="0">
      <selection activeCell="J20" sqref="J20"/>
    </sheetView>
  </sheetViews>
  <sheetFormatPr defaultColWidth="9" defaultRowHeight="14.5"/>
  <cols>
    <col min="1" max="1" width="14.81640625" customWidth="1"/>
    <col min="2" max="2" width="13.1796875" customWidth="1"/>
    <col min="3" max="3" width="11.26953125" customWidth="1"/>
    <col min="4" max="4" width="12.54296875" customWidth="1"/>
    <col min="5" max="5" width="13.1796875" customWidth="1"/>
    <col min="6" max="11" width="11.54296875" customWidth="1"/>
    <col min="13" max="13" width="13.453125" customWidth="1"/>
    <col min="14" max="14" width="14" customWidth="1"/>
    <col min="15" max="15" width="10.7265625" customWidth="1"/>
    <col min="16" max="16" width="11.54296875" customWidth="1"/>
    <col min="17" max="17" width="13" customWidth="1"/>
    <col min="18" max="18" width="10.54296875" customWidth="1"/>
    <col min="19" max="19" width="10.81640625" customWidth="1"/>
    <col min="22" max="22" width="10.54296875" customWidth="1"/>
  </cols>
  <sheetData>
    <row r="1" spans="1:22" ht="18.5">
      <c r="A1" s="504" t="s">
        <v>1312</v>
      </c>
      <c r="B1" s="505"/>
      <c r="C1" s="505"/>
      <c r="D1" s="505"/>
      <c r="E1" s="505"/>
    </row>
    <row r="2" spans="1:22">
      <c r="A2" s="506" t="s">
        <v>1313</v>
      </c>
      <c r="M2" s="506" t="s">
        <v>1314</v>
      </c>
    </row>
    <row r="3" spans="1:22">
      <c r="A3" s="507">
        <v>7500000</v>
      </c>
      <c r="M3" s="506">
        <v>7000000</v>
      </c>
    </row>
    <row r="4" spans="1:22">
      <c r="A4" s="508">
        <v>7.0000000000000007E-2</v>
      </c>
      <c r="M4" s="508">
        <v>0.09</v>
      </c>
    </row>
    <row r="5" spans="1:22">
      <c r="A5" s="509" t="s">
        <v>1315</v>
      </c>
      <c r="B5" s="509" t="s">
        <v>1316</v>
      </c>
      <c r="C5" s="509" t="s">
        <v>1317</v>
      </c>
      <c r="D5" s="509" t="s">
        <v>1318</v>
      </c>
      <c r="E5" s="509" t="s">
        <v>1319</v>
      </c>
      <c r="F5" s="1502" t="s">
        <v>1320</v>
      </c>
      <c r="G5" s="1503"/>
      <c r="I5" s="1503" t="s">
        <v>1321</v>
      </c>
      <c r="J5" s="1503"/>
      <c r="M5" s="509" t="s">
        <v>1315</v>
      </c>
      <c r="N5" s="509" t="s">
        <v>1316</v>
      </c>
      <c r="O5" s="509" t="s">
        <v>1317</v>
      </c>
      <c r="P5" s="509" t="s">
        <v>1318</v>
      </c>
      <c r="Q5" s="509" t="s">
        <v>1319</v>
      </c>
      <c r="R5" s="1502" t="s">
        <v>1320</v>
      </c>
      <c r="S5" s="1503"/>
      <c r="U5" s="1503" t="s">
        <v>1321</v>
      </c>
      <c r="V5" s="1503"/>
    </row>
    <row r="6" spans="1:22">
      <c r="A6" s="510">
        <v>45457</v>
      </c>
      <c r="B6" s="511">
        <v>0</v>
      </c>
      <c r="C6" s="511">
        <v>0</v>
      </c>
      <c r="D6" s="511">
        <v>0</v>
      </c>
      <c r="E6" s="511">
        <v>7500000</v>
      </c>
      <c r="M6" s="510">
        <v>45448</v>
      </c>
      <c r="N6" s="511">
        <v>0</v>
      </c>
      <c r="O6" s="511">
        <v>0</v>
      </c>
      <c r="P6" s="511">
        <v>0</v>
      </c>
      <c r="Q6" s="511">
        <v>7000000</v>
      </c>
    </row>
    <row r="7" spans="1:22">
      <c r="A7" s="510">
        <v>45474</v>
      </c>
      <c r="B7" s="511">
        <v>149385.25</v>
      </c>
      <c r="C7" s="511">
        <v>125000</v>
      </c>
      <c r="D7" s="511">
        <v>24385.25</v>
      </c>
      <c r="E7" s="511">
        <f>+E6-C7</f>
        <v>7375000</v>
      </c>
      <c r="M7" s="510">
        <v>45478</v>
      </c>
      <c r="N7" s="511">
        <f>+O7+P7</f>
        <v>246083.34</v>
      </c>
      <c r="O7" s="511">
        <v>194444</v>
      </c>
      <c r="P7" s="511">
        <v>51639.34</v>
      </c>
      <c r="Q7" s="511">
        <f>+Q6-O7</f>
        <v>6805556</v>
      </c>
    </row>
    <row r="8" spans="1:22">
      <c r="A8" s="510">
        <v>45505</v>
      </c>
      <c r="B8" s="511">
        <v>168726.09</v>
      </c>
      <c r="C8" s="511">
        <v>125000</v>
      </c>
      <c r="D8" s="511">
        <v>43726.09</v>
      </c>
      <c r="E8" s="511">
        <f>+E7-C8</f>
        <v>7250000</v>
      </c>
      <c r="M8" s="510">
        <v>45509</v>
      </c>
      <c r="N8" s="511">
        <f t="shared" ref="N8:N42" si="0">+O8+P8</f>
        <v>246322.42</v>
      </c>
      <c r="O8" s="511">
        <v>194444</v>
      </c>
      <c r="P8" s="511">
        <v>51878.42</v>
      </c>
      <c r="Q8" s="511">
        <f>+Q7-O8</f>
        <v>6611112</v>
      </c>
    </row>
    <row r="9" spans="1:22">
      <c r="A9" s="510">
        <v>45536</v>
      </c>
      <c r="B9" s="511">
        <f>+C9+D9</f>
        <v>167984.97</v>
      </c>
      <c r="C9" s="511">
        <v>125000</v>
      </c>
      <c r="D9" s="511">
        <v>42984.97</v>
      </c>
      <c r="E9" s="511">
        <f>+E8-C9</f>
        <v>7125000</v>
      </c>
      <c r="M9" s="510">
        <v>45540</v>
      </c>
      <c r="N9" s="511">
        <f t="shared" si="0"/>
        <v>244840.18</v>
      </c>
      <c r="O9" s="511">
        <v>194444</v>
      </c>
      <c r="P9" s="511">
        <v>50396.18</v>
      </c>
      <c r="Q9" s="511">
        <f>+Q8-O9</f>
        <v>6416668</v>
      </c>
    </row>
    <row r="10" spans="1:22">
      <c r="A10" s="510">
        <v>45566</v>
      </c>
      <c r="B10" s="511">
        <f>+C10+D10</f>
        <v>165881.15</v>
      </c>
      <c r="C10" s="511">
        <v>125000</v>
      </c>
      <c r="D10" s="511">
        <v>40881.15</v>
      </c>
      <c r="E10" s="511">
        <f t="shared" ref="E10:E66" si="1">+E9-C10</f>
        <v>7000000</v>
      </c>
      <c r="M10" s="510">
        <v>45570</v>
      </c>
      <c r="N10" s="511">
        <f t="shared" si="0"/>
        <v>241780.08</v>
      </c>
      <c r="O10" s="511">
        <v>194444</v>
      </c>
      <c r="P10" s="511">
        <v>47336.08</v>
      </c>
      <c r="Q10" s="511">
        <f t="shared" ref="Q10:Q42" si="2">+Q9-O10</f>
        <v>6222224</v>
      </c>
    </row>
    <row r="11" spans="1:22">
      <c r="A11" s="510">
        <v>45597</v>
      </c>
      <c r="B11" s="511">
        <f t="shared" ref="B11:B66" si="3">+C11+D11</f>
        <v>166502.73000000001</v>
      </c>
      <c r="C11" s="511">
        <v>125000</v>
      </c>
      <c r="D11" s="512">
        <v>41502.730000000003</v>
      </c>
      <c r="E11" s="511">
        <f t="shared" si="1"/>
        <v>6875000</v>
      </c>
      <c r="I11" s="1503" t="s">
        <v>1322</v>
      </c>
      <c r="J11" s="1503"/>
      <c r="M11" s="510">
        <v>45601</v>
      </c>
      <c r="N11" s="511">
        <f t="shared" si="0"/>
        <v>241875.71</v>
      </c>
      <c r="O11" s="511">
        <v>194444</v>
      </c>
      <c r="P11" s="512">
        <v>47431.71</v>
      </c>
      <c r="Q11" s="511">
        <f t="shared" si="2"/>
        <v>6027780</v>
      </c>
      <c r="U11" s="1503" t="s">
        <v>1322</v>
      </c>
      <c r="V11" s="1503"/>
    </row>
    <row r="12" spans="1:22">
      <c r="A12" s="510">
        <v>45627</v>
      </c>
      <c r="B12" s="511">
        <f t="shared" si="3"/>
        <v>164446.72</v>
      </c>
      <c r="C12" s="511">
        <v>125000</v>
      </c>
      <c r="D12" s="511">
        <v>39446.720000000001</v>
      </c>
      <c r="E12" s="511">
        <f t="shared" si="1"/>
        <v>6750000</v>
      </c>
      <c r="I12" t="s">
        <v>1318</v>
      </c>
      <c r="J12" t="s">
        <v>1317</v>
      </c>
      <c r="M12" s="510">
        <v>45631</v>
      </c>
      <c r="N12" s="511">
        <f t="shared" si="0"/>
        <v>238911.23</v>
      </c>
      <c r="O12" s="511">
        <v>194444</v>
      </c>
      <c r="P12" s="511">
        <v>44467.23</v>
      </c>
      <c r="Q12" s="511">
        <f t="shared" si="2"/>
        <v>5833336</v>
      </c>
      <c r="U12" t="s">
        <v>1318</v>
      </c>
      <c r="V12" t="s">
        <v>1317</v>
      </c>
    </row>
    <row r="13" spans="1:22">
      <c r="A13" s="513">
        <v>45658</v>
      </c>
      <c r="B13" s="514">
        <f t="shared" si="3"/>
        <v>165020.49</v>
      </c>
      <c r="C13" s="514">
        <v>125000</v>
      </c>
      <c r="D13" s="514">
        <v>40020.49</v>
      </c>
      <c r="E13" s="514">
        <f t="shared" si="1"/>
        <v>6625000</v>
      </c>
      <c r="H13" s="392"/>
      <c r="I13" s="392">
        <f>SUM(D7:D13)</f>
        <v>272947.40000000002</v>
      </c>
      <c r="J13" s="392">
        <f>SUM(C7:C13)</f>
        <v>875000</v>
      </c>
      <c r="M13" s="513">
        <v>45662</v>
      </c>
      <c r="N13" s="514">
        <f t="shared" si="0"/>
        <v>238926.95</v>
      </c>
      <c r="O13" s="514">
        <v>194444</v>
      </c>
      <c r="P13" s="514">
        <v>44482.95</v>
      </c>
      <c r="Q13" s="514">
        <f t="shared" si="2"/>
        <v>5638892</v>
      </c>
      <c r="U13" s="392">
        <f>SUM(P7:P13)</f>
        <v>337631.91</v>
      </c>
      <c r="V13" s="392">
        <f>SUM(O7:O13)</f>
        <v>1361108</v>
      </c>
    </row>
    <row r="14" spans="1:22">
      <c r="A14" s="510">
        <v>45689</v>
      </c>
      <c r="B14" s="511">
        <f t="shared" si="3"/>
        <v>164388.99</v>
      </c>
      <c r="C14" s="511">
        <v>125000</v>
      </c>
      <c r="D14" s="511">
        <v>39388.99</v>
      </c>
      <c r="E14" s="511">
        <f t="shared" si="1"/>
        <v>6500000</v>
      </c>
      <c r="M14" s="510">
        <v>45693</v>
      </c>
      <c r="N14" s="511">
        <f t="shared" si="0"/>
        <v>237546.76</v>
      </c>
      <c r="O14" s="511">
        <v>194444</v>
      </c>
      <c r="P14" s="511">
        <v>43102.76</v>
      </c>
      <c r="Q14" s="511">
        <f t="shared" si="2"/>
        <v>5444448</v>
      </c>
    </row>
    <row r="15" spans="1:22">
      <c r="A15" s="510">
        <v>45717</v>
      </c>
      <c r="B15" s="511">
        <f t="shared" si="3"/>
        <v>159904.10999999999</v>
      </c>
      <c r="C15" s="511">
        <v>125000</v>
      </c>
      <c r="D15" s="512">
        <v>34904.11</v>
      </c>
      <c r="E15" s="511">
        <f t="shared" si="1"/>
        <v>6375000</v>
      </c>
      <c r="M15" s="510">
        <v>45721</v>
      </c>
      <c r="N15" s="511">
        <f t="shared" si="0"/>
        <v>232033.07</v>
      </c>
      <c r="O15" s="511">
        <v>194444</v>
      </c>
      <c r="P15" s="512">
        <v>37589.07</v>
      </c>
      <c r="Q15" s="511">
        <f t="shared" si="2"/>
        <v>5250004</v>
      </c>
    </row>
    <row r="16" spans="1:22">
      <c r="A16" s="510">
        <v>45748</v>
      </c>
      <c r="B16" s="511">
        <f t="shared" si="3"/>
        <v>162900.68</v>
      </c>
      <c r="C16" s="511">
        <v>125000</v>
      </c>
      <c r="D16" s="511">
        <v>37900.68</v>
      </c>
      <c r="E16" s="511">
        <f t="shared" si="1"/>
        <v>6250000</v>
      </c>
      <c r="M16" s="510">
        <v>45752</v>
      </c>
      <c r="N16" s="511">
        <f t="shared" si="0"/>
        <v>234574.17</v>
      </c>
      <c r="O16" s="511">
        <v>194444</v>
      </c>
      <c r="P16" s="511">
        <v>40130.17</v>
      </c>
      <c r="Q16" s="511">
        <f t="shared" si="2"/>
        <v>5055560</v>
      </c>
    </row>
    <row r="17" spans="1:22">
      <c r="A17" s="510">
        <v>45778</v>
      </c>
      <c r="B17" s="511">
        <f t="shared" si="3"/>
        <v>160958.79999999999</v>
      </c>
      <c r="C17" s="511">
        <v>125000</v>
      </c>
      <c r="D17" s="511">
        <v>35958.800000000003</v>
      </c>
      <c r="E17" s="511">
        <f t="shared" si="1"/>
        <v>6125000</v>
      </c>
      <c r="M17" s="510">
        <v>45782</v>
      </c>
      <c r="N17" s="511">
        <f t="shared" si="0"/>
        <v>231841.29</v>
      </c>
      <c r="O17" s="511">
        <v>194444</v>
      </c>
      <c r="P17" s="511">
        <v>37397.29</v>
      </c>
      <c r="Q17" s="511">
        <f t="shared" si="2"/>
        <v>4861116</v>
      </c>
    </row>
    <row r="18" spans="1:22">
      <c r="A18" s="510">
        <v>45809</v>
      </c>
      <c r="B18" s="511">
        <f t="shared" si="3"/>
        <v>161414.38</v>
      </c>
      <c r="C18" s="511">
        <v>125000</v>
      </c>
      <c r="D18" s="511">
        <v>36414.379999999997</v>
      </c>
      <c r="E18" s="511">
        <f t="shared" si="1"/>
        <v>6000000</v>
      </c>
      <c r="M18" s="510">
        <v>45813</v>
      </c>
      <c r="N18" s="511">
        <f t="shared" si="0"/>
        <v>231601.57</v>
      </c>
      <c r="O18" s="511">
        <v>194444</v>
      </c>
      <c r="P18" s="511">
        <v>37157.57</v>
      </c>
      <c r="Q18" s="511">
        <f t="shared" si="2"/>
        <v>4666672</v>
      </c>
    </row>
    <row r="19" spans="1:22">
      <c r="A19" s="510">
        <v>45839</v>
      </c>
      <c r="B19" s="511">
        <f t="shared" si="3"/>
        <v>159520.54999999999</v>
      </c>
      <c r="C19" s="511">
        <v>125000</v>
      </c>
      <c r="D19" s="511">
        <v>34520.550000000003</v>
      </c>
      <c r="E19" s="511">
        <f t="shared" si="1"/>
        <v>5875000</v>
      </c>
      <c r="M19" s="510">
        <v>45843</v>
      </c>
      <c r="N19" s="511">
        <f t="shared" si="0"/>
        <v>228964.59</v>
      </c>
      <c r="O19" s="511">
        <v>194444</v>
      </c>
      <c r="P19" s="511">
        <v>34520.589999999997</v>
      </c>
      <c r="Q19" s="511">
        <f t="shared" si="2"/>
        <v>4472228</v>
      </c>
    </row>
    <row r="20" spans="1:22">
      <c r="A20" s="510">
        <v>45870</v>
      </c>
      <c r="B20" s="511">
        <f t="shared" si="3"/>
        <v>159928.07999999999</v>
      </c>
      <c r="C20" s="511">
        <v>125000</v>
      </c>
      <c r="D20" s="511">
        <v>34928.080000000002</v>
      </c>
      <c r="E20" s="511">
        <f t="shared" si="1"/>
        <v>5750000</v>
      </c>
      <c r="M20" s="510">
        <v>45874</v>
      </c>
      <c r="N20" s="511">
        <f t="shared" si="0"/>
        <v>228628.98</v>
      </c>
      <c r="O20" s="511">
        <v>194444</v>
      </c>
      <c r="P20" s="511">
        <v>34184.980000000003</v>
      </c>
      <c r="Q20" s="511">
        <f t="shared" si="2"/>
        <v>4277784</v>
      </c>
    </row>
    <row r="21" spans="1:22">
      <c r="A21" s="510">
        <v>45901</v>
      </c>
      <c r="B21" s="511">
        <f t="shared" si="3"/>
        <v>159184.93</v>
      </c>
      <c r="C21" s="511">
        <v>125000</v>
      </c>
      <c r="D21" s="511">
        <v>34184.93</v>
      </c>
      <c r="E21" s="511">
        <f t="shared" si="1"/>
        <v>5625000</v>
      </c>
      <c r="M21" s="510">
        <v>45905</v>
      </c>
      <c r="N21" s="511">
        <f t="shared" si="0"/>
        <v>227142.68</v>
      </c>
      <c r="O21" s="511">
        <v>194444</v>
      </c>
      <c r="P21" s="511">
        <v>32698.68</v>
      </c>
      <c r="Q21" s="511">
        <f t="shared" si="2"/>
        <v>4083340</v>
      </c>
    </row>
    <row r="22" spans="1:22">
      <c r="A22" s="510">
        <v>45931</v>
      </c>
      <c r="B22" s="511">
        <f t="shared" si="3"/>
        <v>157363.01</v>
      </c>
      <c r="C22" s="511">
        <v>125000</v>
      </c>
      <c r="D22" s="511">
        <v>32363.01</v>
      </c>
      <c r="E22" s="511">
        <f t="shared" si="1"/>
        <v>5500000</v>
      </c>
      <c r="M22" s="510">
        <v>45935</v>
      </c>
      <c r="N22" s="511">
        <f t="shared" si="0"/>
        <v>224649.53</v>
      </c>
      <c r="O22" s="511">
        <v>194444</v>
      </c>
      <c r="P22" s="511">
        <v>30205.53</v>
      </c>
      <c r="Q22" s="511">
        <f t="shared" si="2"/>
        <v>3888896</v>
      </c>
    </row>
    <row r="23" spans="1:22">
      <c r="A23" s="510">
        <v>45962</v>
      </c>
      <c r="B23" s="511">
        <f t="shared" si="3"/>
        <v>157698.63</v>
      </c>
      <c r="C23" s="511">
        <v>125000</v>
      </c>
      <c r="D23" s="511">
        <v>32698.63</v>
      </c>
      <c r="E23" s="511">
        <f t="shared" si="1"/>
        <v>5375000</v>
      </c>
      <c r="F23" s="1502" t="s">
        <v>1322</v>
      </c>
      <c r="G23" s="1503"/>
      <c r="I23" s="1503" t="s">
        <v>1323</v>
      </c>
      <c r="J23" s="1503"/>
      <c r="M23" s="510">
        <v>45966</v>
      </c>
      <c r="N23" s="511">
        <f t="shared" si="0"/>
        <v>224170.08</v>
      </c>
      <c r="O23" s="511">
        <v>194444</v>
      </c>
      <c r="P23" s="511">
        <v>29726.080000000002</v>
      </c>
      <c r="Q23" s="511">
        <f t="shared" si="2"/>
        <v>3694452</v>
      </c>
      <c r="R23" s="1502" t="s">
        <v>1322</v>
      </c>
      <c r="S23" s="1503"/>
      <c r="U23" s="1503" t="s">
        <v>1323</v>
      </c>
      <c r="V23" s="1503"/>
    </row>
    <row r="24" spans="1:22">
      <c r="A24" s="510">
        <v>45992</v>
      </c>
      <c r="B24" s="511">
        <f t="shared" si="3"/>
        <v>155469.18</v>
      </c>
      <c r="C24" s="511">
        <v>125000</v>
      </c>
      <c r="D24" s="511">
        <v>30469.18</v>
      </c>
      <c r="E24" s="511">
        <f t="shared" si="1"/>
        <v>5250000</v>
      </c>
      <c r="F24" t="s">
        <v>1317</v>
      </c>
      <c r="G24" t="s">
        <v>1318</v>
      </c>
      <c r="I24" t="s">
        <v>1318</v>
      </c>
      <c r="J24" t="s">
        <v>1317</v>
      </c>
      <c r="M24" s="510">
        <v>45996</v>
      </c>
      <c r="N24" s="511">
        <f t="shared" si="0"/>
        <v>221772.82</v>
      </c>
      <c r="O24" s="511">
        <v>194444</v>
      </c>
      <c r="P24" s="512">
        <v>27328.82</v>
      </c>
      <c r="Q24" s="511">
        <f t="shared" si="2"/>
        <v>3500008</v>
      </c>
      <c r="R24" t="s">
        <v>1317</v>
      </c>
      <c r="S24" t="s">
        <v>1318</v>
      </c>
      <c r="U24" t="s">
        <v>1318</v>
      </c>
      <c r="V24" t="s">
        <v>1317</v>
      </c>
    </row>
    <row r="25" spans="1:22">
      <c r="A25" s="513">
        <v>46023</v>
      </c>
      <c r="B25" s="514">
        <f t="shared" si="3"/>
        <v>156212.32999999999</v>
      </c>
      <c r="C25" s="514">
        <v>125000</v>
      </c>
      <c r="D25" s="514">
        <v>31212.33</v>
      </c>
      <c r="E25" s="514">
        <f t="shared" si="1"/>
        <v>5125000</v>
      </c>
      <c r="F25" s="392">
        <f>+E13-E25</f>
        <v>1500000</v>
      </c>
      <c r="G25" s="392">
        <f>SUM(D14:D25)</f>
        <v>414943.67</v>
      </c>
      <c r="H25" t="s">
        <v>1324</v>
      </c>
      <c r="I25" s="392">
        <f>SUM(D14:D25)</f>
        <v>414943.67</v>
      </c>
      <c r="J25" s="392">
        <f>SUM(C14:C25)</f>
        <v>1500000</v>
      </c>
      <c r="M25" s="513">
        <v>46027</v>
      </c>
      <c r="N25" s="514">
        <f t="shared" si="0"/>
        <v>221197.49</v>
      </c>
      <c r="O25" s="514">
        <v>194444</v>
      </c>
      <c r="P25" s="514">
        <v>26753.49</v>
      </c>
      <c r="Q25" s="514">
        <f t="shared" si="2"/>
        <v>3305564</v>
      </c>
      <c r="R25" s="392">
        <f>+Q13-Q25</f>
        <v>2333328</v>
      </c>
      <c r="S25" s="392">
        <f>SUM(P14:P25)</f>
        <v>410795.03</v>
      </c>
      <c r="T25" t="s">
        <v>1324</v>
      </c>
      <c r="U25" s="392">
        <f>SUM(P14:P25)</f>
        <v>410795.03</v>
      </c>
      <c r="V25" s="392">
        <f>SUM(O14:O25)</f>
        <v>2333328</v>
      </c>
    </row>
    <row r="26" spans="1:22">
      <c r="A26" s="510">
        <v>46054</v>
      </c>
      <c r="B26" s="511">
        <f t="shared" si="3"/>
        <v>155469.18</v>
      </c>
      <c r="C26" s="511">
        <v>125000</v>
      </c>
      <c r="D26" s="511">
        <v>30469.18</v>
      </c>
      <c r="E26" s="511">
        <f t="shared" si="1"/>
        <v>5000000</v>
      </c>
      <c r="F26" s="392">
        <f>+E25</f>
        <v>5125000</v>
      </c>
      <c r="G26" s="392">
        <f>SUM(D26:D66)</f>
        <v>627389.65</v>
      </c>
      <c r="H26" t="s">
        <v>1325</v>
      </c>
      <c r="I26" s="392"/>
      <c r="J26" s="392"/>
      <c r="M26" s="510">
        <v>46058</v>
      </c>
      <c r="N26" s="511">
        <f t="shared" si="0"/>
        <v>219711.19</v>
      </c>
      <c r="O26" s="511">
        <v>194444</v>
      </c>
      <c r="P26" s="519">
        <v>25267.19</v>
      </c>
      <c r="Q26" s="511">
        <f t="shared" si="2"/>
        <v>3111120</v>
      </c>
      <c r="R26" s="392">
        <f>+Q25</f>
        <v>3305564</v>
      </c>
      <c r="S26" s="392">
        <f>SUM(P26:P42)</f>
        <v>222419.33</v>
      </c>
      <c r="T26" t="s">
        <v>1325</v>
      </c>
    </row>
    <row r="27" spans="1:22">
      <c r="A27" s="510">
        <v>46082</v>
      </c>
      <c r="B27" s="511">
        <f t="shared" si="3"/>
        <v>151849.32</v>
      </c>
      <c r="C27" s="511">
        <v>125000</v>
      </c>
      <c r="D27" s="511">
        <v>26849.32</v>
      </c>
      <c r="E27" s="511">
        <f t="shared" si="1"/>
        <v>4875000</v>
      </c>
      <c r="F27" s="516"/>
      <c r="G27" s="517"/>
      <c r="H27" s="517"/>
      <c r="I27" s="517"/>
      <c r="J27" s="517"/>
      <c r="K27" s="517"/>
      <c r="M27" s="510">
        <v>46086</v>
      </c>
      <c r="N27" s="511">
        <f t="shared" si="0"/>
        <v>215923.51</v>
      </c>
      <c r="O27" s="511">
        <v>194444</v>
      </c>
      <c r="P27" s="511">
        <v>21479.51</v>
      </c>
      <c r="Q27" s="511">
        <f t="shared" si="2"/>
        <v>2916676</v>
      </c>
    </row>
    <row r="28" spans="1:22">
      <c r="A28" s="510">
        <v>46113</v>
      </c>
      <c r="B28" s="511">
        <f t="shared" si="3"/>
        <v>153982.88</v>
      </c>
      <c r="C28" s="511">
        <v>125000</v>
      </c>
      <c r="D28" s="511">
        <v>28982.880000000001</v>
      </c>
      <c r="E28" s="511">
        <f t="shared" si="1"/>
        <v>4750000</v>
      </c>
      <c r="G28" s="392"/>
      <c r="H28" s="392"/>
      <c r="I28" s="392"/>
      <c r="J28" s="392"/>
      <c r="M28" s="510">
        <v>46117</v>
      </c>
      <c r="N28" s="511">
        <f t="shared" si="0"/>
        <v>216738.59</v>
      </c>
      <c r="O28" s="511">
        <v>194444</v>
      </c>
      <c r="P28" s="511">
        <v>22294.59</v>
      </c>
      <c r="Q28" s="511">
        <f t="shared" si="2"/>
        <v>2722232</v>
      </c>
    </row>
    <row r="29" spans="1:22">
      <c r="A29" s="510">
        <v>46143</v>
      </c>
      <c r="B29" s="511">
        <f t="shared" si="3"/>
        <v>152328.76999999999</v>
      </c>
      <c r="C29" s="511">
        <v>125000</v>
      </c>
      <c r="D29" s="511">
        <v>27328.77</v>
      </c>
      <c r="E29" s="511">
        <f t="shared" si="1"/>
        <v>4625000</v>
      </c>
      <c r="J29" s="392"/>
      <c r="M29" s="510">
        <v>46147</v>
      </c>
      <c r="N29" s="511">
        <f t="shared" si="0"/>
        <v>214581.06</v>
      </c>
      <c r="O29" s="511">
        <v>194444</v>
      </c>
      <c r="P29" s="511">
        <v>20137.060000000001</v>
      </c>
      <c r="Q29" s="511">
        <f t="shared" si="2"/>
        <v>2527788</v>
      </c>
    </row>
    <row r="30" spans="1:22">
      <c r="A30" s="510">
        <v>46174</v>
      </c>
      <c r="B30" s="511">
        <f t="shared" si="3"/>
        <v>152498.57999999999</v>
      </c>
      <c r="C30" s="511">
        <v>125000</v>
      </c>
      <c r="D30" s="511">
        <v>27498.58</v>
      </c>
      <c r="E30" s="511">
        <f t="shared" si="1"/>
        <v>4500000</v>
      </c>
      <c r="J30" s="392"/>
      <c r="M30" s="510">
        <v>46178</v>
      </c>
      <c r="N30" s="511">
        <f t="shared" si="0"/>
        <v>213766</v>
      </c>
      <c r="O30" s="511">
        <v>194444</v>
      </c>
      <c r="P30" s="511">
        <v>19322</v>
      </c>
      <c r="Q30" s="511">
        <f t="shared" si="2"/>
        <v>2333344</v>
      </c>
    </row>
    <row r="31" spans="1:22">
      <c r="A31" s="510">
        <v>46204</v>
      </c>
      <c r="B31" s="511">
        <f t="shared" si="3"/>
        <v>150890.41</v>
      </c>
      <c r="C31" s="511">
        <v>125000</v>
      </c>
      <c r="D31" s="511">
        <v>25890.41</v>
      </c>
      <c r="E31" s="511">
        <f t="shared" si="1"/>
        <v>4375000</v>
      </c>
      <c r="M31" s="510">
        <v>46208</v>
      </c>
      <c r="N31" s="511">
        <f t="shared" si="0"/>
        <v>211704.35</v>
      </c>
      <c r="O31" s="511">
        <v>194444</v>
      </c>
      <c r="P31" s="511">
        <v>17260.349999999999</v>
      </c>
      <c r="Q31" s="511">
        <f t="shared" si="2"/>
        <v>2138900</v>
      </c>
    </row>
    <row r="32" spans="1:22">
      <c r="A32" s="510">
        <v>46235</v>
      </c>
      <c r="B32" s="511">
        <f t="shared" si="3"/>
        <v>151010.26999999999</v>
      </c>
      <c r="C32" s="511">
        <v>125000</v>
      </c>
      <c r="D32" s="511">
        <v>26010.27</v>
      </c>
      <c r="E32" s="511">
        <f t="shared" si="1"/>
        <v>4250000</v>
      </c>
      <c r="M32" s="510">
        <v>46239</v>
      </c>
      <c r="N32" s="511">
        <f t="shared" si="0"/>
        <v>210793.4</v>
      </c>
      <c r="O32" s="511">
        <v>194444</v>
      </c>
      <c r="P32" s="511">
        <v>16349.4</v>
      </c>
      <c r="Q32" s="511">
        <f t="shared" si="2"/>
        <v>1944456</v>
      </c>
    </row>
    <row r="33" spans="1:20">
      <c r="A33" s="510">
        <v>46266</v>
      </c>
      <c r="B33" s="511">
        <f t="shared" si="3"/>
        <v>150267.12</v>
      </c>
      <c r="C33" s="511">
        <v>125000</v>
      </c>
      <c r="D33" s="515">
        <v>25267.119999999999</v>
      </c>
      <c r="E33" s="511">
        <f t="shared" si="1"/>
        <v>4125000</v>
      </c>
      <c r="M33" s="510">
        <v>46270</v>
      </c>
      <c r="N33" s="511">
        <f t="shared" si="0"/>
        <v>209307.1</v>
      </c>
      <c r="O33" s="511">
        <v>194444</v>
      </c>
      <c r="P33" s="511">
        <v>14863.1</v>
      </c>
      <c r="Q33" s="511">
        <f t="shared" si="2"/>
        <v>1750012</v>
      </c>
    </row>
    <row r="34" spans="1:20">
      <c r="A34" s="510">
        <v>46296</v>
      </c>
      <c r="B34" s="511">
        <f t="shared" si="3"/>
        <v>148732.88</v>
      </c>
      <c r="C34" s="511">
        <v>125000</v>
      </c>
      <c r="D34" s="511">
        <v>23732.880000000001</v>
      </c>
      <c r="E34" s="511">
        <f t="shared" si="1"/>
        <v>4000000</v>
      </c>
      <c r="M34" s="510">
        <v>46300</v>
      </c>
      <c r="N34" s="511">
        <f t="shared" si="0"/>
        <v>207389.29</v>
      </c>
      <c r="O34" s="511">
        <v>194444</v>
      </c>
      <c r="P34" s="515">
        <v>12945.29</v>
      </c>
      <c r="Q34" s="511">
        <f t="shared" si="2"/>
        <v>1555568</v>
      </c>
    </row>
    <row r="35" spans="1:20">
      <c r="A35" s="510">
        <v>46327</v>
      </c>
      <c r="B35" s="511">
        <f t="shared" si="3"/>
        <v>148780.82</v>
      </c>
      <c r="C35" s="511">
        <v>125000</v>
      </c>
      <c r="D35" s="511">
        <v>23780.82</v>
      </c>
      <c r="E35" s="511">
        <f t="shared" si="1"/>
        <v>3875000</v>
      </c>
      <c r="F35" s="1502" t="s">
        <v>1323</v>
      </c>
      <c r="G35" s="1503"/>
      <c r="I35" s="1503"/>
      <c r="J35" s="1503"/>
      <c r="M35" s="510">
        <v>46331</v>
      </c>
      <c r="N35" s="511">
        <f t="shared" si="0"/>
        <v>206334.51</v>
      </c>
      <c r="O35" s="511">
        <v>194444</v>
      </c>
      <c r="P35" s="511">
        <v>11890.51</v>
      </c>
      <c r="Q35" s="511">
        <f t="shared" si="2"/>
        <v>1361124</v>
      </c>
      <c r="R35" s="1502" t="s">
        <v>1323</v>
      </c>
      <c r="S35" s="1503"/>
    </row>
    <row r="36" spans="1:20">
      <c r="A36" s="510">
        <v>46357</v>
      </c>
      <c r="B36" s="511">
        <f t="shared" si="3"/>
        <v>147294.51999999999</v>
      </c>
      <c r="C36" s="511">
        <v>125000</v>
      </c>
      <c r="D36" s="511">
        <v>22294.52</v>
      </c>
      <c r="E36" s="511">
        <f t="shared" si="1"/>
        <v>3750000</v>
      </c>
      <c r="F36" t="s">
        <v>1317</v>
      </c>
      <c r="G36" t="s">
        <v>1318</v>
      </c>
      <c r="M36" s="510">
        <v>46361</v>
      </c>
      <c r="N36" s="511">
        <f t="shared" si="0"/>
        <v>204512.59</v>
      </c>
      <c r="O36" s="511">
        <v>194444</v>
      </c>
      <c r="P36" s="511">
        <v>10068.59</v>
      </c>
      <c r="Q36" s="511">
        <f t="shared" si="2"/>
        <v>1166680</v>
      </c>
      <c r="R36" t="s">
        <v>1317</v>
      </c>
      <c r="S36" t="s">
        <v>1318</v>
      </c>
    </row>
    <row r="37" spans="1:20">
      <c r="A37" s="513">
        <v>46388</v>
      </c>
      <c r="B37" s="514">
        <f t="shared" si="3"/>
        <v>147294.51999999999</v>
      </c>
      <c r="C37" s="514">
        <v>125000</v>
      </c>
      <c r="D37" s="514">
        <v>22294.52</v>
      </c>
      <c r="E37" s="514">
        <f t="shared" si="1"/>
        <v>3625000</v>
      </c>
      <c r="F37" s="392">
        <f>+E25-E37</f>
        <v>1500000</v>
      </c>
      <c r="G37" s="392">
        <f>SUM(D26:D37)</f>
        <v>310399.27</v>
      </c>
      <c r="H37" t="s">
        <v>1324</v>
      </c>
      <c r="M37" s="513">
        <v>46392</v>
      </c>
      <c r="N37" s="514">
        <f t="shared" si="0"/>
        <v>203361.91</v>
      </c>
      <c r="O37" s="514">
        <v>194444</v>
      </c>
      <c r="P37" s="514">
        <v>8917.91</v>
      </c>
      <c r="Q37" s="514">
        <f t="shared" si="2"/>
        <v>972236</v>
      </c>
      <c r="R37" s="392">
        <f>+Q25-Q37</f>
        <v>2333328</v>
      </c>
      <c r="S37" s="392">
        <f>SUM(P26:P37)</f>
        <v>200795.5</v>
      </c>
      <c r="T37" t="s">
        <v>1324</v>
      </c>
    </row>
    <row r="38" spans="1:20">
      <c r="A38" s="510">
        <v>46419</v>
      </c>
      <c r="B38" s="511">
        <f t="shared" si="3"/>
        <v>146651.37</v>
      </c>
      <c r="C38" s="511">
        <v>125000</v>
      </c>
      <c r="D38" s="511">
        <v>21651.37</v>
      </c>
      <c r="E38" s="511">
        <f t="shared" si="1"/>
        <v>3500000</v>
      </c>
      <c r="F38" s="392">
        <f>+E37</f>
        <v>3625000</v>
      </c>
      <c r="G38" s="392">
        <f>SUM(D38:D66)</f>
        <v>316990.38</v>
      </c>
      <c r="H38" t="s">
        <v>1325</v>
      </c>
      <c r="M38" s="510">
        <v>46423</v>
      </c>
      <c r="N38" s="511">
        <f t="shared" si="0"/>
        <v>201875.61</v>
      </c>
      <c r="O38" s="511">
        <v>194444</v>
      </c>
      <c r="P38" s="511">
        <v>7431.61</v>
      </c>
      <c r="Q38" s="511">
        <f t="shared" si="2"/>
        <v>777792</v>
      </c>
      <c r="R38" s="392">
        <f>+Q37</f>
        <v>972236</v>
      </c>
      <c r="S38" s="392">
        <f>SUM(P38:P42)</f>
        <v>21623.83</v>
      </c>
      <c r="T38" t="s">
        <v>1325</v>
      </c>
    </row>
    <row r="39" spans="1:20">
      <c r="A39" s="510">
        <v>46447</v>
      </c>
      <c r="B39" s="511">
        <f t="shared" si="3"/>
        <v>143794.51999999999</v>
      </c>
      <c r="C39" s="511">
        <v>125000</v>
      </c>
      <c r="D39" s="511">
        <v>18794.52</v>
      </c>
      <c r="E39" s="511">
        <f t="shared" si="1"/>
        <v>3375000</v>
      </c>
      <c r="M39" s="510">
        <v>46451</v>
      </c>
      <c r="N39" s="511">
        <f t="shared" si="0"/>
        <v>199813.96</v>
      </c>
      <c r="O39" s="511">
        <v>194444</v>
      </c>
      <c r="P39" s="511">
        <v>5369.96</v>
      </c>
      <c r="Q39" s="511">
        <f t="shared" si="2"/>
        <v>583348</v>
      </c>
    </row>
    <row r="40" spans="1:20">
      <c r="A40" s="510">
        <v>46478</v>
      </c>
      <c r="B40" s="511">
        <f t="shared" si="3"/>
        <v>145065.07</v>
      </c>
      <c r="C40" s="511">
        <v>125000</v>
      </c>
      <c r="D40" s="511">
        <v>20065.07</v>
      </c>
      <c r="E40" s="511">
        <f t="shared" si="1"/>
        <v>3250000</v>
      </c>
      <c r="M40" s="510">
        <v>46482</v>
      </c>
      <c r="N40" s="511">
        <f t="shared" si="0"/>
        <v>198903.02</v>
      </c>
      <c r="O40" s="511">
        <v>194444</v>
      </c>
      <c r="P40" s="511">
        <v>4459.0200000000004</v>
      </c>
      <c r="Q40" s="511">
        <f t="shared" si="2"/>
        <v>388904</v>
      </c>
    </row>
    <row r="41" spans="1:20">
      <c r="A41" s="510">
        <v>46508</v>
      </c>
      <c r="B41" s="511">
        <f t="shared" si="3"/>
        <v>143698.63</v>
      </c>
      <c r="C41" s="511">
        <v>125000</v>
      </c>
      <c r="D41" s="511">
        <v>18698.63</v>
      </c>
      <c r="E41" s="511">
        <f t="shared" si="1"/>
        <v>3125000</v>
      </c>
      <c r="M41" s="510">
        <v>46512</v>
      </c>
      <c r="N41" s="511">
        <f t="shared" si="0"/>
        <v>197320.82</v>
      </c>
      <c r="O41" s="511">
        <v>194444</v>
      </c>
      <c r="P41" s="511">
        <v>2876.82</v>
      </c>
      <c r="Q41" s="511">
        <f t="shared" si="2"/>
        <v>194460</v>
      </c>
    </row>
    <row r="42" spans="1:20">
      <c r="A42" s="510">
        <v>46539</v>
      </c>
      <c r="B42" s="511">
        <f t="shared" si="3"/>
        <v>143578.76999999999</v>
      </c>
      <c r="C42" s="511">
        <v>125000</v>
      </c>
      <c r="D42" s="511">
        <v>18578.77</v>
      </c>
      <c r="E42" s="511">
        <f t="shared" si="1"/>
        <v>3000000</v>
      </c>
      <c r="M42" s="510">
        <v>46543</v>
      </c>
      <c r="N42" s="511">
        <f t="shared" si="0"/>
        <v>195946.42</v>
      </c>
      <c r="O42" s="511">
        <v>194460</v>
      </c>
      <c r="P42" s="511">
        <v>1486.42</v>
      </c>
      <c r="Q42" s="511">
        <f t="shared" si="2"/>
        <v>0</v>
      </c>
    </row>
    <row r="43" spans="1:20">
      <c r="A43" s="510">
        <v>46569</v>
      </c>
      <c r="B43" s="511">
        <f t="shared" si="3"/>
        <v>142260.26999999999</v>
      </c>
      <c r="C43" s="511">
        <v>125000</v>
      </c>
      <c r="D43" s="511">
        <v>17260.27</v>
      </c>
      <c r="E43" s="511">
        <f t="shared" si="1"/>
        <v>2875000</v>
      </c>
      <c r="N43" s="392">
        <f>SUM(N6:N42)</f>
        <v>7970846.2699999996</v>
      </c>
      <c r="O43" s="392">
        <f>SUM(O6:O42)</f>
        <v>7000000</v>
      </c>
      <c r="P43" s="392">
        <f>SUM(P6:P42)</f>
        <v>970846.27</v>
      </c>
    </row>
    <row r="44" spans="1:20">
      <c r="A44" s="510">
        <v>46600</v>
      </c>
      <c r="B44" s="511">
        <f t="shared" si="3"/>
        <v>142092.47</v>
      </c>
      <c r="C44" s="511">
        <v>125000</v>
      </c>
      <c r="D44" s="511">
        <v>17092.47</v>
      </c>
      <c r="E44" s="511">
        <f t="shared" si="1"/>
        <v>2750000</v>
      </c>
    </row>
    <row r="45" spans="1:20">
      <c r="A45" s="510">
        <v>46631</v>
      </c>
      <c r="B45" s="511">
        <f t="shared" si="3"/>
        <v>141349.32</v>
      </c>
      <c r="C45" s="511">
        <v>125000</v>
      </c>
      <c r="D45" s="511">
        <v>16349.32</v>
      </c>
      <c r="E45" s="511">
        <f t="shared" si="1"/>
        <v>2625000</v>
      </c>
    </row>
    <row r="46" spans="1:20">
      <c r="A46" s="510">
        <v>46661</v>
      </c>
      <c r="B46" s="511">
        <f t="shared" si="3"/>
        <v>140102.74</v>
      </c>
      <c r="C46" s="511">
        <v>125000</v>
      </c>
      <c r="D46" s="511">
        <v>15102.74</v>
      </c>
      <c r="E46" s="511">
        <f t="shared" si="1"/>
        <v>2500000</v>
      </c>
      <c r="I46" s="392"/>
    </row>
    <row r="47" spans="1:20">
      <c r="A47" s="510">
        <v>46692</v>
      </c>
      <c r="B47" s="511">
        <f t="shared" si="3"/>
        <v>139863.01</v>
      </c>
      <c r="C47" s="511">
        <v>125000</v>
      </c>
      <c r="D47" s="511">
        <v>14863.01</v>
      </c>
      <c r="E47" s="511">
        <f t="shared" si="1"/>
        <v>2375000</v>
      </c>
      <c r="I47" s="392"/>
    </row>
    <row r="48" spans="1:20">
      <c r="A48" s="510">
        <v>46722</v>
      </c>
      <c r="B48" s="511">
        <f t="shared" si="3"/>
        <v>138864.38</v>
      </c>
      <c r="C48" s="511">
        <v>125000</v>
      </c>
      <c r="D48" s="511">
        <v>13864.38</v>
      </c>
      <c r="E48" s="511">
        <f t="shared" si="1"/>
        <v>2250000</v>
      </c>
      <c r="I48" s="518"/>
    </row>
    <row r="49" spans="1:5">
      <c r="A49" s="510">
        <v>46753</v>
      </c>
      <c r="B49" s="511">
        <f t="shared" si="3"/>
        <v>138376.71</v>
      </c>
      <c r="C49" s="511">
        <v>125000</v>
      </c>
      <c r="D49" s="511">
        <v>13376.71</v>
      </c>
      <c r="E49" s="511">
        <f t="shared" si="1"/>
        <v>2125000</v>
      </c>
    </row>
    <row r="50" spans="1:5">
      <c r="A50" s="510">
        <v>46784</v>
      </c>
      <c r="B50" s="511">
        <f t="shared" si="3"/>
        <v>137599.04000000001</v>
      </c>
      <c r="C50" s="511">
        <v>125000</v>
      </c>
      <c r="D50" s="511">
        <v>12599.04</v>
      </c>
      <c r="E50" s="511">
        <f t="shared" si="1"/>
        <v>2000000</v>
      </c>
    </row>
    <row r="51" spans="1:5">
      <c r="A51" s="510">
        <v>46813</v>
      </c>
      <c r="B51" s="511">
        <f t="shared" si="3"/>
        <v>136092.9</v>
      </c>
      <c r="C51" s="511">
        <v>125000</v>
      </c>
      <c r="D51" s="511">
        <v>11092.9</v>
      </c>
      <c r="E51" s="511">
        <f t="shared" si="1"/>
        <v>1875000</v>
      </c>
    </row>
    <row r="52" spans="1:5">
      <c r="A52" s="510">
        <v>46844</v>
      </c>
      <c r="B52" s="511">
        <f t="shared" si="3"/>
        <v>136116.79999999999</v>
      </c>
      <c r="C52" s="511">
        <v>125000</v>
      </c>
      <c r="D52" s="511">
        <v>11116.8</v>
      </c>
      <c r="E52" s="511">
        <f t="shared" si="1"/>
        <v>1750000</v>
      </c>
    </row>
    <row r="53" spans="1:5">
      <c r="A53" s="510">
        <v>46874</v>
      </c>
      <c r="B53" s="511">
        <f t="shared" si="3"/>
        <v>135040.98000000001</v>
      </c>
      <c r="C53" s="511">
        <v>125000</v>
      </c>
      <c r="D53" s="511">
        <v>10040.98</v>
      </c>
      <c r="E53" s="511">
        <f t="shared" si="1"/>
        <v>1625000</v>
      </c>
    </row>
    <row r="54" spans="1:5">
      <c r="A54" s="510">
        <v>46905</v>
      </c>
      <c r="B54" s="511">
        <f t="shared" si="3"/>
        <v>134634.56</v>
      </c>
      <c r="C54" s="511">
        <v>125000</v>
      </c>
      <c r="D54" s="511">
        <v>9634.56</v>
      </c>
      <c r="E54" s="511">
        <f t="shared" si="1"/>
        <v>1500000</v>
      </c>
    </row>
    <row r="55" spans="1:5">
      <c r="A55" s="510">
        <v>46935</v>
      </c>
      <c r="B55" s="511">
        <f t="shared" si="3"/>
        <v>133606.56</v>
      </c>
      <c r="C55" s="511">
        <v>125000</v>
      </c>
      <c r="D55" s="511">
        <v>8606.56</v>
      </c>
      <c r="E55" s="511">
        <f t="shared" si="1"/>
        <v>1375000</v>
      </c>
    </row>
    <row r="56" spans="1:5">
      <c r="A56" s="510">
        <v>46966</v>
      </c>
      <c r="B56" s="511">
        <f t="shared" si="3"/>
        <v>133152.32000000001</v>
      </c>
      <c r="C56" s="511">
        <v>125000</v>
      </c>
      <c r="D56" s="511">
        <v>8152.32</v>
      </c>
      <c r="E56" s="511">
        <f t="shared" si="1"/>
        <v>1250000</v>
      </c>
    </row>
    <row r="57" spans="1:5">
      <c r="A57" s="510">
        <v>46997</v>
      </c>
      <c r="B57" s="511">
        <f t="shared" si="3"/>
        <v>132411.20000000001</v>
      </c>
      <c r="C57" s="511">
        <v>125000</v>
      </c>
      <c r="D57" s="511">
        <v>7411.2</v>
      </c>
      <c r="E57" s="511">
        <f t="shared" si="1"/>
        <v>1125000</v>
      </c>
    </row>
    <row r="58" spans="1:5">
      <c r="A58" s="510">
        <v>47027</v>
      </c>
      <c r="B58" s="511">
        <f t="shared" si="3"/>
        <v>131454.92000000001</v>
      </c>
      <c r="C58" s="511">
        <v>125000</v>
      </c>
      <c r="D58" s="511">
        <v>6454.92</v>
      </c>
      <c r="E58" s="511">
        <f t="shared" si="1"/>
        <v>1000000</v>
      </c>
    </row>
    <row r="59" spans="1:5">
      <c r="A59" s="510">
        <v>47058</v>
      </c>
      <c r="B59" s="511">
        <f t="shared" si="3"/>
        <v>130928.96000000001</v>
      </c>
      <c r="C59" s="511">
        <v>125000</v>
      </c>
      <c r="D59" s="511">
        <v>5928.96</v>
      </c>
      <c r="E59" s="511">
        <f t="shared" si="1"/>
        <v>875000</v>
      </c>
    </row>
    <row r="60" spans="1:5">
      <c r="A60" s="510">
        <v>47088</v>
      </c>
      <c r="B60" s="511">
        <f t="shared" si="3"/>
        <v>130020.49</v>
      </c>
      <c r="C60" s="511">
        <v>125000</v>
      </c>
      <c r="D60" s="511">
        <v>5020.49</v>
      </c>
      <c r="E60" s="511">
        <f t="shared" si="1"/>
        <v>750000</v>
      </c>
    </row>
    <row r="61" spans="1:5">
      <c r="A61" s="510">
        <v>47119</v>
      </c>
      <c r="B61" s="511">
        <f t="shared" si="3"/>
        <v>129446.72</v>
      </c>
      <c r="C61" s="511">
        <v>125000</v>
      </c>
      <c r="D61" s="511">
        <v>4446.72</v>
      </c>
      <c r="E61" s="511">
        <f t="shared" si="1"/>
        <v>625000</v>
      </c>
    </row>
    <row r="62" spans="1:5">
      <c r="A62" s="510">
        <v>47150</v>
      </c>
      <c r="B62" s="511">
        <f t="shared" si="3"/>
        <v>128715.75</v>
      </c>
      <c r="C62" s="511">
        <v>125000</v>
      </c>
      <c r="D62" s="511">
        <v>3715.75</v>
      </c>
      <c r="E62" s="511">
        <f t="shared" si="1"/>
        <v>500000</v>
      </c>
    </row>
    <row r="63" spans="1:5">
      <c r="A63" s="510">
        <v>47178</v>
      </c>
      <c r="B63" s="511">
        <f t="shared" si="3"/>
        <v>127684.93</v>
      </c>
      <c r="C63" s="511">
        <v>125000</v>
      </c>
      <c r="D63" s="511">
        <v>2684.93</v>
      </c>
      <c r="E63" s="511">
        <f t="shared" si="1"/>
        <v>375000</v>
      </c>
    </row>
    <row r="64" spans="1:5">
      <c r="A64" s="510">
        <v>47209</v>
      </c>
      <c r="B64" s="511">
        <f t="shared" si="3"/>
        <v>127229.45</v>
      </c>
      <c r="C64" s="511">
        <v>125000</v>
      </c>
      <c r="D64" s="511">
        <v>2229.4499999999998</v>
      </c>
      <c r="E64" s="511">
        <f t="shared" si="1"/>
        <v>250000</v>
      </c>
    </row>
    <row r="65" spans="1:5">
      <c r="A65" s="510">
        <v>47239</v>
      </c>
      <c r="B65" s="511">
        <f t="shared" si="3"/>
        <v>126438.36</v>
      </c>
      <c r="C65" s="511">
        <v>125000</v>
      </c>
      <c r="D65" s="511">
        <v>1438.36</v>
      </c>
      <c r="E65" s="511">
        <f t="shared" si="1"/>
        <v>125000</v>
      </c>
    </row>
    <row r="66" spans="1:5">
      <c r="A66" s="510">
        <v>47269</v>
      </c>
      <c r="B66" s="511">
        <f t="shared" si="3"/>
        <v>125719.18</v>
      </c>
      <c r="C66" s="511">
        <v>125000</v>
      </c>
      <c r="D66" s="511">
        <v>719.18</v>
      </c>
      <c r="E66" s="511">
        <f t="shared" si="1"/>
        <v>0</v>
      </c>
    </row>
    <row r="67" spans="1:5">
      <c r="B67" s="392">
        <f>SUM(B6:B66)</f>
        <v>8815280.7200000007</v>
      </c>
      <c r="C67" s="392">
        <f>SUM(C6:C66)</f>
        <v>7500000</v>
      </c>
      <c r="D67" s="392">
        <f>SUM(D6:D66)</f>
        <v>1315280.72</v>
      </c>
    </row>
  </sheetData>
  <mergeCells count="13">
    <mergeCell ref="F5:G5"/>
    <mergeCell ref="I5:J5"/>
    <mergeCell ref="R5:S5"/>
    <mergeCell ref="U5:V5"/>
    <mergeCell ref="I11:J11"/>
    <mergeCell ref="U11:V11"/>
    <mergeCell ref="F23:G23"/>
    <mergeCell ref="I23:J23"/>
    <mergeCell ref="R23:S23"/>
    <mergeCell ref="U23:V23"/>
    <mergeCell ref="F35:G35"/>
    <mergeCell ref="I35:J35"/>
    <mergeCell ref="R35:S35"/>
  </mergeCells>
  <pageMargins left="0.7" right="0.7" top="0.75" bottom="0.75" header="0.3" footer="0.3"/>
  <pageSetup paperSize="9" scale="30" fitToHeight="0"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5" tint="-0.249977111117893"/>
    <pageSetUpPr fitToPage="1"/>
  </sheetPr>
  <dimension ref="A1:J22"/>
  <sheetViews>
    <sheetView showGridLines="0" view="pageBreakPreview" zoomScale="85" zoomScaleNormal="100" workbookViewId="0">
      <selection activeCell="J20" sqref="J20"/>
    </sheetView>
  </sheetViews>
  <sheetFormatPr defaultColWidth="9" defaultRowHeight="14.5"/>
  <cols>
    <col min="1" max="1" width="4" style="477" customWidth="1"/>
    <col min="2" max="2" width="39.81640625" style="477" customWidth="1"/>
    <col min="3" max="3" width="17.54296875" style="477" customWidth="1"/>
    <col min="4" max="4" width="9.1796875" style="477" customWidth="1"/>
    <col min="5" max="5" width="17.54296875" style="477" customWidth="1"/>
    <col min="6" max="6" width="7.453125" style="477" customWidth="1"/>
    <col min="7" max="7" width="15.54296875" style="477" customWidth="1"/>
    <col min="8" max="8" width="12.81640625" style="477" customWidth="1"/>
    <col min="9" max="10" width="17.26953125" style="477" customWidth="1"/>
    <col min="11" max="16384" width="9" style="477"/>
  </cols>
  <sheetData>
    <row r="1" spans="1:10" ht="17">
      <c r="A1" s="478">
        <v>5</v>
      </c>
      <c r="B1" s="479" t="s">
        <v>65</v>
      </c>
    </row>
    <row r="2" spans="1:10" ht="6.75" customHeight="1"/>
    <row r="3" spans="1:10" ht="17">
      <c r="B3" s="1459" t="s">
        <v>1168</v>
      </c>
      <c r="C3" s="1456" t="s">
        <v>693</v>
      </c>
      <c r="D3" s="1457"/>
      <c r="E3" s="1458"/>
      <c r="F3" s="1462" t="s">
        <v>1169</v>
      </c>
      <c r="G3" s="1456" t="s">
        <v>1170</v>
      </c>
      <c r="H3" s="1457"/>
      <c r="I3" s="1458"/>
      <c r="J3" s="1453" t="s">
        <v>1326</v>
      </c>
    </row>
    <row r="4" spans="1:10">
      <c r="B4" s="1460"/>
      <c r="C4" s="1504" t="s">
        <v>1327</v>
      </c>
      <c r="D4" s="1462" t="s">
        <v>1173</v>
      </c>
      <c r="E4" s="1462" t="s">
        <v>1328</v>
      </c>
      <c r="F4" s="1464"/>
      <c r="G4" s="1462" t="s">
        <v>1327</v>
      </c>
      <c r="H4" s="1462" t="s">
        <v>1175</v>
      </c>
      <c r="I4" s="1462" t="s">
        <v>1328</v>
      </c>
      <c r="J4" s="1454"/>
    </row>
    <row r="5" spans="1:10" ht="35.25" customHeight="1">
      <c r="B5" s="1461"/>
      <c r="C5" s="1505"/>
      <c r="D5" s="1463"/>
      <c r="E5" s="1463"/>
      <c r="F5" s="1463"/>
      <c r="G5" s="1463"/>
      <c r="H5" s="1463"/>
      <c r="I5" s="1463"/>
      <c r="J5" s="1455"/>
    </row>
    <row r="6" spans="1:10" ht="17">
      <c r="B6" s="480" t="s">
        <v>1176</v>
      </c>
      <c r="C6" s="480">
        <v>1503162</v>
      </c>
      <c r="D6" s="480">
        <v>0</v>
      </c>
      <c r="E6" s="492">
        <f>+C6+D6</f>
        <v>1503162</v>
      </c>
      <c r="F6" s="493">
        <v>0.1</v>
      </c>
      <c r="G6" s="494">
        <v>615560</v>
      </c>
      <c r="H6" s="480">
        <f>(E6-G6)*0.1</f>
        <v>88760.2</v>
      </c>
      <c r="I6" s="492">
        <f>+G6+H6</f>
        <v>704320.2</v>
      </c>
      <c r="J6" s="501">
        <f>+E6-I6</f>
        <v>798841.8</v>
      </c>
    </row>
    <row r="7" spans="1:10" ht="17">
      <c r="B7" s="480" t="s">
        <v>1177</v>
      </c>
      <c r="C7" s="480">
        <v>9469948</v>
      </c>
      <c r="D7" s="480"/>
      <c r="E7" s="492">
        <f>+C7+D7</f>
        <v>9469948</v>
      </c>
      <c r="F7" s="493">
        <v>0.1</v>
      </c>
      <c r="G7" s="494">
        <v>3329263</v>
      </c>
      <c r="H7" s="480">
        <f>(E7-G7)*0.1</f>
        <v>614068.5</v>
      </c>
      <c r="I7" s="492">
        <f>+G7+H7</f>
        <v>3943331.5</v>
      </c>
      <c r="J7" s="501">
        <f>+E7-I7</f>
        <v>5526616.5</v>
      </c>
    </row>
    <row r="8" spans="1:10" ht="17">
      <c r="B8" s="480" t="s">
        <v>1127</v>
      </c>
      <c r="C8" s="480">
        <v>354122</v>
      </c>
      <c r="D8" s="481">
        <v>0</v>
      </c>
      <c r="E8" s="492">
        <f>+C8+D8</f>
        <v>354122</v>
      </c>
      <c r="F8" s="493">
        <v>0.1</v>
      </c>
      <c r="G8" s="481">
        <v>117578</v>
      </c>
      <c r="H8" s="480">
        <f>(E8-G8)*0.1</f>
        <v>23654.400000000001</v>
      </c>
      <c r="I8" s="492">
        <f>+G8+H8</f>
        <v>141232.4</v>
      </c>
      <c r="J8" s="501">
        <f>+E8-I8</f>
        <v>212889.60000000001</v>
      </c>
    </row>
    <row r="9" spans="1:10" ht="17">
      <c r="B9" s="480" t="s">
        <v>1178</v>
      </c>
      <c r="C9" s="480">
        <v>192550</v>
      </c>
      <c r="D9" s="481"/>
      <c r="E9" s="492">
        <f>+C9+D9</f>
        <v>192550</v>
      </c>
      <c r="F9" s="493">
        <v>0.1</v>
      </c>
      <c r="G9" s="481">
        <v>78860</v>
      </c>
      <c r="H9" s="480">
        <f>(E9-G9)*0.1</f>
        <v>11369</v>
      </c>
      <c r="I9" s="492">
        <f>+G9+H9</f>
        <v>90229</v>
      </c>
      <c r="J9" s="501">
        <f>+E9-I9</f>
        <v>102321</v>
      </c>
    </row>
    <row r="10" spans="1:10" ht="17">
      <c r="B10" s="482" t="s">
        <v>1179</v>
      </c>
      <c r="C10" s="483">
        <v>65835</v>
      </c>
      <c r="D10" s="481">
        <v>0</v>
      </c>
      <c r="E10" s="492">
        <f>+C10+D10</f>
        <v>65835</v>
      </c>
      <c r="F10" s="493">
        <v>0.1</v>
      </c>
      <c r="G10" s="495">
        <v>26960</v>
      </c>
      <c r="H10" s="480">
        <f>(E10-G10)*0.1</f>
        <v>3887.5</v>
      </c>
      <c r="I10" s="492">
        <f>+G10+H10</f>
        <v>30847.5</v>
      </c>
      <c r="J10" s="501">
        <f>+E10-I10</f>
        <v>34987.5</v>
      </c>
    </row>
    <row r="11" spans="1:10" ht="17">
      <c r="B11" s="484">
        <v>2024</v>
      </c>
      <c r="C11" s="485">
        <f>SUM(C6:C10)</f>
        <v>11585617</v>
      </c>
      <c r="D11" s="486">
        <f>SUM(D6:D10)</f>
        <v>0</v>
      </c>
      <c r="E11" s="485">
        <f>SUM(E6:E10)</f>
        <v>11585617</v>
      </c>
      <c r="F11" s="490"/>
      <c r="G11" s="485">
        <f>SUM(G6:G10)</f>
        <v>4168221</v>
      </c>
      <c r="H11" s="496">
        <f>SUM(H6:H10)</f>
        <v>741739.6</v>
      </c>
      <c r="I11" s="485">
        <f>SUM(I6:I10)</f>
        <v>4909960.5999999996</v>
      </c>
      <c r="J11" s="485">
        <f>SUM(J6:J10)</f>
        <v>6675656.4000000004</v>
      </c>
    </row>
    <row r="12" spans="1:10" ht="9.75" customHeight="1">
      <c r="B12" s="487"/>
      <c r="C12" s="488"/>
      <c r="D12" s="489"/>
      <c r="E12" s="489"/>
      <c r="F12" s="489"/>
      <c r="G12" s="488"/>
      <c r="H12" s="489"/>
      <c r="I12" s="489"/>
      <c r="J12" s="502" t="s">
        <v>1329</v>
      </c>
    </row>
    <row r="13" spans="1:10" ht="17">
      <c r="B13" s="484">
        <v>2023</v>
      </c>
      <c r="C13" s="485">
        <f>+C11</f>
        <v>11585617</v>
      </c>
      <c r="D13" s="490"/>
      <c r="E13" s="490">
        <f>+C13</f>
        <v>11585617</v>
      </c>
      <c r="F13" s="490"/>
      <c r="G13" s="485">
        <v>3344066</v>
      </c>
      <c r="H13" s="490">
        <v>824155</v>
      </c>
      <c r="I13" s="490">
        <f>+G13+H13</f>
        <v>4168221</v>
      </c>
      <c r="J13" s="503">
        <f>+C13-I13</f>
        <v>7417396</v>
      </c>
    </row>
    <row r="15" spans="1:10" ht="17">
      <c r="A15" s="491">
        <v>5.0999999999999996</v>
      </c>
      <c r="B15" s="491" t="s">
        <v>1180</v>
      </c>
      <c r="C15" s="491"/>
      <c r="D15" s="491"/>
      <c r="E15" s="491"/>
      <c r="F15" s="491"/>
      <c r="G15" s="491"/>
      <c r="H15" s="491"/>
      <c r="I15" s="491"/>
    </row>
    <row r="16" spans="1:10" ht="17">
      <c r="A16" s="491"/>
      <c r="B16" s="491"/>
      <c r="C16" s="491"/>
      <c r="D16" s="491"/>
      <c r="E16" s="491"/>
      <c r="F16" s="491"/>
      <c r="G16" s="497">
        <v>2025</v>
      </c>
      <c r="H16" s="497">
        <v>2024</v>
      </c>
      <c r="I16" s="497">
        <v>2023</v>
      </c>
    </row>
    <row r="17" spans="1:9" ht="17">
      <c r="A17" s="491"/>
      <c r="B17" s="491"/>
      <c r="C17" s="491"/>
      <c r="D17" s="491"/>
      <c r="E17" s="491"/>
      <c r="F17" s="491"/>
      <c r="G17" s="498" t="s">
        <v>957</v>
      </c>
      <c r="H17" s="498" t="s">
        <v>957</v>
      </c>
      <c r="I17" s="498" t="s">
        <v>957</v>
      </c>
    </row>
    <row r="18" spans="1:9" ht="18" customHeight="1">
      <c r="A18" s="491"/>
      <c r="B18" s="491"/>
      <c r="C18" s="491" t="s">
        <v>1181</v>
      </c>
      <c r="D18" s="491"/>
      <c r="E18" s="491"/>
      <c r="F18" s="491"/>
      <c r="G18" s="499"/>
      <c r="H18" s="499">
        <f>H11*0.8</f>
        <v>593391.68000000005</v>
      </c>
      <c r="I18" s="499">
        <f>H13*0.8</f>
        <v>659324</v>
      </c>
    </row>
    <row r="19" spans="1:9" ht="17">
      <c r="A19" s="491"/>
      <c r="B19" s="491"/>
      <c r="C19" s="491" t="s">
        <v>1182</v>
      </c>
      <c r="D19" s="491"/>
      <c r="E19" s="491"/>
      <c r="F19" s="491"/>
      <c r="G19" s="499"/>
      <c r="H19" s="499">
        <f>H11*0.2</f>
        <v>148347.92000000001</v>
      </c>
      <c r="I19" s="499">
        <f>H13*0.2</f>
        <v>164831</v>
      </c>
    </row>
    <row r="20" spans="1:9" ht="17">
      <c r="A20" s="491"/>
      <c r="B20" s="491"/>
      <c r="C20" s="491"/>
      <c r="D20" s="491"/>
      <c r="E20" s="491"/>
      <c r="F20" s="491"/>
      <c r="G20" s="500">
        <f>SUM(G18:G19)</f>
        <v>0</v>
      </c>
      <c r="H20" s="500">
        <f>SUM(H18:H19)</f>
        <v>741739.6</v>
      </c>
      <c r="I20" s="500">
        <f>SUM(I18:I19)</f>
        <v>824155</v>
      </c>
    </row>
    <row r="21" spans="1:9" ht="16" customHeight="1">
      <c r="A21" s="491"/>
      <c r="B21" s="491"/>
      <c r="C21" s="491"/>
      <c r="D21" s="491"/>
      <c r="E21" s="491"/>
      <c r="F21" s="491"/>
      <c r="G21" s="491"/>
      <c r="H21" s="491"/>
      <c r="I21" s="491"/>
    </row>
    <row r="22" spans="1:9" ht="17">
      <c r="A22" s="491"/>
      <c r="B22" s="491"/>
      <c r="C22" s="491"/>
      <c r="D22" s="491"/>
      <c r="E22" s="491"/>
      <c r="F22" s="491"/>
      <c r="G22" s="491"/>
      <c r="H22" s="491"/>
      <c r="I22" s="491"/>
    </row>
  </sheetData>
  <mergeCells count="11">
    <mergeCell ref="J3:J5"/>
    <mergeCell ref="C3:E3"/>
    <mergeCell ref="G3:I3"/>
    <mergeCell ref="B3:B5"/>
    <mergeCell ref="C4:C5"/>
    <mergeCell ref="D4:D5"/>
    <mergeCell ref="E4:E5"/>
    <mergeCell ref="F3:F5"/>
    <mergeCell ref="G4:G5"/>
    <mergeCell ref="H4:H5"/>
    <mergeCell ref="I4:I5"/>
  </mergeCells>
  <pageMargins left="0.7" right="0.7" top="0.75" bottom="0.75" header="0.3" footer="0.3"/>
  <pageSetup paperSize="9" scale="82"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5" tint="-0.249977111117893"/>
    <pageSetUpPr fitToPage="1"/>
  </sheetPr>
  <dimension ref="A1:L37"/>
  <sheetViews>
    <sheetView view="pageBreakPreview" zoomScale="120" zoomScaleNormal="100" workbookViewId="0">
      <selection activeCell="B24" sqref="B24"/>
    </sheetView>
  </sheetViews>
  <sheetFormatPr defaultColWidth="9.1796875" defaultRowHeight="13.5"/>
  <cols>
    <col min="1" max="1" width="2.54296875" style="443" customWidth="1"/>
    <col min="2" max="2" width="32.81640625" style="443" customWidth="1"/>
    <col min="3" max="3" width="0.81640625" style="443" customWidth="1"/>
    <col min="4" max="6" width="13.81640625" style="443" customWidth="1"/>
    <col min="7" max="7" width="6.1796875" style="443" customWidth="1"/>
    <col min="8" max="8" width="13.81640625" style="443" customWidth="1"/>
    <col min="9" max="9" width="13.54296875" style="443" customWidth="1"/>
    <col min="10" max="10" width="13.81640625" style="443" customWidth="1"/>
    <col min="11" max="11" width="0.81640625" style="443" customWidth="1"/>
    <col min="12" max="12" width="13.81640625" style="443" customWidth="1"/>
    <col min="13" max="16384" width="9.1796875" style="443"/>
  </cols>
  <sheetData>
    <row r="1" spans="1:12" ht="14">
      <c r="A1" s="1506"/>
      <c r="B1" s="1506"/>
      <c r="C1" s="1506"/>
      <c r="D1" s="1506"/>
      <c r="E1" s="1506"/>
      <c r="F1" s="1506"/>
      <c r="G1" s="1506"/>
      <c r="H1" s="1506"/>
      <c r="I1" s="1506"/>
      <c r="J1" s="1506"/>
      <c r="K1" s="1506"/>
      <c r="L1" s="1506"/>
    </row>
    <row r="2" spans="1:12" ht="14">
      <c r="A2" s="444"/>
      <c r="B2" s="444"/>
      <c r="C2" s="444"/>
      <c r="D2" s="444"/>
      <c r="E2" s="444"/>
      <c r="F2" s="444"/>
      <c r="G2" s="444"/>
      <c r="H2" s="444"/>
      <c r="I2" s="444"/>
      <c r="J2" s="444"/>
      <c r="K2" s="444"/>
      <c r="L2" s="444"/>
    </row>
    <row r="3" spans="1:12" ht="14">
      <c r="A3" s="444"/>
      <c r="B3" s="444"/>
      <c r="C3" s="444"/>
      <c r="D3" s="444"/>
      <c r="E3" s="444"/>
      <c r="F3" s="444"/>
      <c r="G3" s="444"/>
      <c r="H3" s="444"/>
      <c r="I3" s="444"/>
      <c r="J3" s="444"/>
      <c r="K3" s="444"/>
      <c r="L3" s="444"/>
    </row>
    <row r="4" spans="1:12" ht="14">
      <c r="A4" s="1374" t="s">
        <v>1330</v>
      </c>
      <c r="B4" s="445" t="s">
        <v>65</v>
      </c>
      <c r="C4" s="445"/>
    </row>
    <row r="5" spans="1:12" ht="13.5" customHeight="1"/>
    <row r="6" spans="1:12" ht="17.25" customHeight="1">
      <c r="B6" s="1511" t="s">
        <v>1331</v>
      </c>
      <c r="C6" s="446"/>
      <c r="D6" s="1507" t="s">
        <v>1332</v>
      </c>
      <c r="E6" s="1508"/>
      <c r="F6" s="1509"/>
      <c r="G6" s="1514" t="s">
        <v>1333</v>
      </c>
      <c r="H6" s="1507" t="s">
        <v>1334</v>
      </c>
      <c r="I6" s="1508"/>
      <c r="J6" s="1509"/>
      <c r="K6" s="444"/>
      <c r="L6" s="472" t="s">
        <v>1335</v>
      </c>
    </row>
    <row r="7" spans="1:12" ht="16.5" customHeight="1">
      <c r="B7" s="1512"/>
      <c r="C7" s="446"/>
      <c r="D7" s="1514" t="s">
        <v>1336</v>
      </c>
      <c r="E7" s="1516" t="s">
        <v>1133</v>
      </c>
      <c r="F7" s="1514" t="s">
        <v>1337</v>
      </c>
      <c r="G7" s="1514"/>
      <c r="H7" s="1514" t="str">
        <f>D7</f>
        <v>As  at            01-04-2022</v>
      </c>
      <c r="I7" s="1514" t="s">
        <v>1338</v>
      </c>
      <c r="J7" s="1514" t="str">
        <f>F7</f>
        <v>As  at             31-03-2023</v>
      </c>
      <c r="K7" s="447"/>
      <c r="L7" s="1514" t="str">
        <f>J7</f>
        <v>As  at             31-03-2023</v>
      </c>
    </row>
    <row r="8" spans="1:12" ht="12" customHeight="1">
      <c r="B8" s="1513"/>
      <c r="C8" s="446"/>
      <c r="D8" s="1515"/>
      <c r="E8" s="1517"/>
      <c r="F8" s="1515"/>
      <c r="G8" s="1514"/>
      <c r="H8" s="1515"/>
      <c r="I8" s="1515"/>
      <c r="J8" s="1515"/>
      <c r="K8" s="447"/>
      <c r="L8" s="1515"/>
    </row>
    <row r="9" spans="1:12" ht="1.5" hidden="1" customHeight="1">
      <c r="B9" s="448"/>
      <c r="D9" s="449"/>
      <c r="G9" s="455"/>
      <c r="H9" s="456"/>
      <c r="I9" s="456"/>
      <c r="J9" s="473"/>
      <c r="K9" s="457"/>
      <c r="L9" s="474"/>
    </row>
    <row r="10" spans="1:12">
      <c r="G10" s="457"/>
      <c r="H10" s="457"/>
      <c r="I10" s="457"/>
      <c r="J10" s="457"/>
      <c r="K10" s="457"/>
      <c r="L10" s="457"/>
    </row>
    <row r="11" spans="1:12">
      <c r="B11" s="443" t="s">
        <v>1339</v>
      </c>
      <c r="D11" s="450">
        <v>45000000</v>
      </c>
      <c r="E11" s="450"/>
      <c r="F11" s="458">
        <f>+D11+E11</f>
        <v>45000000</v>
      </c>
      <c r="G11" s="459"/>
      <c r="H11" s="459">
        <v>0</v>
      </c>
      <c r="I11" s="459"/>
      <c r="J11" s="459">
        <f>SUM(H11:I11)</f>
        <v>0</v>
      </c>
      <c r="K11" s="459"/>
      <c r="L11" s="459">
        <f>+F11-J11</f>
        <v>45000000</v>
      </c>
    </row>
    <row r="12" spans="1:12">
      <c r="B12" s="443" t="s">
        <v>1340</v>
      </c>
      <c r="D12" s="450">
        <v>47000000</v>
      </c>
      <c r="E12" s="450"/>
      <c r="F12" s="458">
        <f>+D12+E12</f>
        <v>47000000</v>
      </c>
      <c r="G12" s="459"/>
      <c r="H12" s="459">
        <v>0</v>
      </c>
      <c r="I12" s="459"/>
      <c r="J12" s="459">
        <f>SUM(H12:I12)</f>
        <v>0</v>
      </c>
      <c r="K12" s="459"/>
      <c r="L12" s="459">
        <f>+F12-J12</f>
        <v>47000000</v>
      </c>
    </row>
    <row r="13" spans="1:12">
      <c r="B13" s="443" t="s">
        <v>1341</v>
      </c>
      <c r="D13" s="450">
        <v>15000000</v>
      </c>
      <c r="E13" s="450"/>
      <c r="F13" s="458">
        <f>+D13+E13</f>
        <v>15000000</v>
      </c>
      <c r="G13" s="459"/>
      <c r="H13" s="459">
        <v>0</v>
      </c>
      <c r="I13" s="459"/>
      <c r="J13" s="459">
        <f>SUM(H13:I13)</f>
        <v>0</v>
      </c>
      <c r="K13" s="459"/>
      <c r="L13" s="459">
        <f>+F13-J13</f>
        <v>15000000</v>
      </c>
    </row>
    <row r="14" spans="1:12">
      <c r="B14" s="443" t="s">
        <v>1342</v>
      </c>
      <c r="D14" s="450">
        <v>22000000</v>
      </c>
      <c r="E14" s="450"/>
      <c r="F14" s="458">
        <f>+D14+E14</f>
        <v>22000000</v>
      </c>
      <c r="G14" s="459"/>
      <c r="H14" s="459"/>
      <c r="I14" s="459"/>
      <c r="J14" s="459"/>
      <c r="K14" s="459"/>
      <c r="L14" s="459">
        <f>+F14-J14</f>
        <v>22000000</v>
      </c>
    </row>
    <row r="15" spans="1:12">
      <c r="B15" s="443" t="s">
        <v>1343</v>
      </c>
      <c r="D15" s="450">
        <v>9000000</v>
      </c>
      <c r="E15" s="450"/>
      <c r="F15" s="458">
        <f>+D15+E15</f>
        <v>9000000</v>
      </c>
      <c r="G15" s="459"/>
      <c r="H15" s="459"/>
      <c r="I15" s="459"/>
      <c r="J15" s="459"/>
      <c r="K15" s="459"/>
      <c r="L15" s="459">
        <f>+F15-J15</f>
        <v>9000000</v>
      </c>
    </row>
    <row r="17" spans="2:12" ht="3.75" customHeight="1">
      <c r="D17" s="451"/>
      <c r="E17" s="451"/>
      <c r="F17" s="460"/>
      <c r="G17" s="461"/>
      <c r="H17" s="462"/>
      <c r="I17" s="462"/>
      <c r="J17" s="462"/>
      <c r="K17" s="459"/>
      <c r="L17" s="462"/>
    </row>
    <row r="18" spans="2:12" ht="18.75" customHeight="1">
      <c r="B18" s="445" t="s">
        <v>1344</v>
      </c>
      <c r="C18" s="445"/>
      <c r="D18" s="452">
        <f>SUM(D11:D17)</f>
        <v>138000000</v>
      </c>
      <c r="E18" s="452">
        <f>SUM(E11:E15)</f>
        <v>0</v>
      </c>
      <c r="F18" s="463">
        <f>SUM(F11:F15)</f>
        <v>138000000</v>
      </c>
      <c r="G18" s="464"/>
      <c r="H18" s="465">
        <f>SUM(H11:H15)</f>
        <v>0</v>
      </c>
      <c r="I18" s="465">
        <f>SUM(I11:I15)</f>
        <v>0</v>
      </c>
      <c r="J18" s="465">
        <f>SUM(J11:J15)</f>
        <v>0</v>
      </c>
      <c r="K18" s="467"/>
      <c r="L18" s="465">
        <f>SUM(L11:L15)</f>
        <v>138000000</v>
      </c>
    </row>
    <row r="19" spans="2:12" ht="5.25" hidden="1" customHeight="1">
      <c r="B19" s="445"/>
      <c r="C19" s="445"/>
      <c r="D19" s="453"/>
      <c r="E19" s="453"/>
      <c r="F19" s="466"/>
      <c r="G19" s="464"/>
      <c r="H19" s="467"/>
      <c r="I19" s="467"/>
      <c r="J19" s="467"/>
      <c r="K19" s="467"/>
      <c r="L19" s="467"/>
    </row>
    <row r="20" spans="2:12" ht="14">
      <c r="B20" s="445" t="s">
        <v>1345</v>
      </c>
      <c r="C20" s="445"/>
      <c r="D20" s="452">
        <f>D18</f>
        <v>138000000</v>
      </c>
      <c r="E20" s="452">
        <v>0</v>
      </c>
      <c r="F20" s="465">
        <f>F18</f>
        <v>138000000</v>
      </c>
      <c r="G20" s="467"/>
      <c r="H20" s="465"/>
      <c r="I20" s="465"/>
      <c r="J20" s="465"/>
      <c r="K20" s="467"/>
      <c r="L20" s="465">
        <f>L18</f>
        <v>138000000</v>
      </c>
    </row>
    <row r="21" spans="2:12" ht="7.5" customHeight="1"/>
    <row r="22" spans="2:12">
      <c r="D22" s="454"/>
      <c r="E22" s="454"/>
      <c r="F22" s="454"/>
      <c r="H22" s="468"/>
      <c r="I22" s="468"/>
      <c r="J22" s="454"/>
      <c r="K22" s="454"/>
      <c r="L22" s="454"/>
    </row>
    <row r="23" spans="2:12">
      <c r="F23" s="454"/>
      <c r="I23" s="468"/>
      <c r="J23" s="454"/>
      <c r="K23" s="454"/>
    </row>
    <row r="24" spans="2:12">
      <c r="I24" s="475"/>
      <c r="J24" s="454"/>
      <c r="K24" s="454"/>
    </row>
    <row r="25" spans="2:12">
      <c r="J25" s="454"/>
      <c r="K25" s="454"/>
    </row>
    <row r="26" spans="2:12">
      <c r="J26" s="454"/>
      <c r="K26" s="454"/>
    </row>
    <row r="27" spans="2:12" ht="14">
      <c r="D27" s="445"/>
    </row>
    <row r="28" spans="2:12" ht="14">
      <c r="G28" s="445"/>
      <c r="H28" s="444"/>
      <c r="I28" s="444"/>
    </row>
    <row r="29" spans="2:12" ht="14">
      <c r="G29" s="445"/>
      <c r="H29" s="444"/>
      <c r="I29" s="444"/>
      <c r="L29" s="454"/>
    </row>
    <row r="30" spans="2:12" ht="9" customHeight="1">
      <c r="H30" s="469"/>
    </row>
    <row r="31" spans="2:12">
      <c r="H31" s="470"/>
      <c r="I31" s="476"/>
    </row>
    <row r="32" spans="2:12">
      <c r="H32" s="470"/>
      <c r="I32" s="476"/>
    </row>
    <row r="33" spans="8:12" ht="9.75" customHeight="1">
      <c r="H33" s="470"/>
      <c r="I33" s="476"/>
    </row>
    <row r="34" spans="8:12" ht="14">
      <c r="H34" s="471"/>
      <c r="I34" s="471"/>
    </row>
    <row r="35" spans="8:12" ht="14">
      <c r="H35" s="471"/>
      <c r="I35" s="471"/>
    </row>
    <row r="37" spans="8:12" ht="14">
      <c r="J37" s="1510"/>
      <c r="K37" s="1510"/>
      <c r="L37" s="1510"/>
    </row>
  </sheetData>
  <mergeCells count="13">
    <mergeCell ref="A1:L1"/>
    <mergeCell ref="D6:F6"/>
    <mergeCell ref="H6:J6"/>
    <mergeCell ref="J37:L37"/>
    <mergeCell ref="B6:B8"/>
    <mergeCell ref="D7:D8"/>
    <mergeCell ref="E7:E8"/>
    <mergeCell ref="F7:F8"/>
    <mergeCell ref="G6:G8"/>
    <mergeCell ref="H7:H8"/>
    <mergeCell ref="I7:I8"/>
    <mergeCell ref="J7:J8"/>
    <mergeCell ref="L7:L8"/>
  </mergeCells>
  <pageMargins left="0.5" right="0.5" top="0.7" bottom="0.6" header="0.5" footer="0.5"/>
  <pageSetup scale="91" fitToHeight="0"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pageSetUpPr fitToPage="1"/>
  </sheetPr>
  <dimension ref="B4:G10"/>
  <sheetViews>
    <sheetView showGridLines="0" workbookViewId="0">
      <selection activeCell="B1" sqref="B1"/>
    </sheetView>
  </sheetViews>
  <sheetFormatPr defaultColWidth="8.81640625" defaultRowHeight="14.5"/>
  <cols>
    <col min="2" max="2" width="30.81640625" customWidth="1"/>
    <col min="3" max="3" width="2.453125" customWidth="1"/>
    <col min="4" max="4" width="37.453125" customWidth="1"/>
    <col min="5" max="5" width="1.54296875" customWidth="1"/>
    <col min="6" max="6" width="11.453125" customWidth="1"/>
    <col min="7" max="7" width="11.54296875" customWidth="1"/>
  </cols>
  <sheetData>
    <row r="4" spans="2:7" ht="15.5">
      <c r="B4" s="346"/>
      <c r="C4" s="346"/>
      <c r="D4" s="346"/>
      <c r="E4" s="346"/>
      <c r="F4" s="434">
        <v>2019</v>
      </c>
      <c r="G4" s="435"/>
    </row>
    <row r="5" spans="2:7" ht="15.5">
      <c r="B5" s="429" t="s">
        <v>1346</v>
      </c>
      <c r="C5" s="430"/>
      <c r="D5" s="431" t="s">
        <v>1347</v>
      </c>
      <c r="E5" s="430"/>
      <c r="F5" s="436" t="s">
        <v>957</v>
      </c>
      <c r="G5" s="437"/>
    </row>
    <row r="6" spans="2:7" ht="10.5" customHeight="1">
      <c r="B6" s="429"/>
      <c r="C6" s="430"/>
      <c r="D6" s="431"/>
      <c r="E6" s="430"/>
      <c r="F6" s="436"/>
      <c r="G6" s="437"/>
    </row>
    <row r="7" spans="2:7" ht="15.75" customHeight="1">
      <c r="B7" s="432" t="s">
        <v>1348</v>
      </c>
      <c r="C7" s="346"/>
      <c r="D7" s="432" t="s">
        <v>1349</v>
      </c>
      <c r="E7" s="432"/>
      <c r="F7" s="438">
        <f>'Trial Combine 19'!J242</f>
        <v>25401670</v>
      </c>
      <c r="G7" s="439"/>
    </row>
    <row r="8" spans="2:7" ht="15.75" customHeight="1">
      <c r="B8" s="432"/>
      <c r="C8" s="346"/>
      <c r="D8" s="432"/>
      <c r="E8" s="432"/>
      <c r="F8" s="440"/>
      <c r="G8" s="441"/>
    </row>
    <row r="9" spans="2:7" ht="36" customHeight="1">
      <c r="B9" s="1518"/>
      <c r="C9" s="1518"/>
      <c r="D9" s="433"/>
      <c r="E9" s="432"/>
      <c r="F9" s="440"/>
      <c r="G9" s="442"/>
    </row>
    <row r="10" spans="2:7" ht="15.5">
      <c r="B10" s="346"/>
      <c r="C10" s="346"/>
      <c r="D10" s="346"/>
      <c r="E10" s="346"/>
      <c r="F10" s="346"/>
      <c r="G10" s="346"/>
    </row>
  </sheetData>
  <mergeCells count="1">
    <mergeCell ref="B9:C9"/>
  </mergeCells>
  <pageMargins left="0.7" right="0.7" top="0.75" bottom="0.75" header="0.3" footer="0.3"/>
  <pageSetup paperSize="9" scale="73" fitToHeight="0"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2">
    <tabColor theme="3"/>
    <pageSetUpPr fitToPage="1"/>
  </sheetPr>
  <dimension ref="B2:AL46"/>
  <sheetViews>
    <sheetView showGridLines="0" defaultGridColor="0" view="pageBreakPreview" colorId="22" zoomScaleNormal="100" workbookViewId="0">
      <selection activeCell="P10" sqref="P10"/>
    </sheetView>
  </sheetViews>
  <sheetFormatPr defaultColWidth="12.453125" defaultRowHeight="15.5"/>
  <cols>
    <col min="1" max="1" width="3.1796875" style="346" customWidth="1"/>
    <col min="2" max="2" width="12.81640625" style="346" customWidth="1"/>
    <col min="3" max="3" width="7.453125" style="346" customWidth="1"/>
    <col min="4" max="4" width="3.453125" style="346" customWidth="1"/>
    <col min="5" max="5" width="11.54296875" style="346" customWidth="1"/>
    <col min="6" max="6" width="1.453125" style="346" customWidth="1"/>
    <col min="7" max="7" width="11.453125" style="346" hidden="1" customWidth="1"/>
    <col min="8" max="8" width="1.453125" style="346" customWidth="1"/>
    <col min="9" max="9" width="12.453125" style="346" hidden="1" customWidth="1"/>
    <col min="10" max="10" width="1.453125" style="346" customWidth="1"/>
    <col min="11" max="11" width="11.54296875" style="346" customWidth="1"/>
    <col min="12" max="12" width="14.453125" style="346" customWidth="1"/>
    <col min="13" max="13" width="1.453125" style="346" customWidth="1"/>
    <col min="14" max="14" width="5.54296875" style="398" customWidth="1"/>
    <col min="15" max="15" width="1.54296875" style="346" customWidth="1"/>
    <col min="16" max="16" width="14.1796875" style="346" customWidth="1"/>
    <col min="17" max="17" width="1.453125" style="346" customWidth="1"/>
    <col min="18" max="18" width="3" style="346" hidden="1" customWidth="1"/>
    <col min="19" max="19" width="0.54296875" style="346" customWidth="1"/>
    <col min="20" max="20" width="11.81640625" style="346" hidden="1" customWidth="1"/>
    <col min="21" max="21" width="0.81640625" style="346" customWidth="1"/>
    <col min="22" max="22" width="10.453125" style="346" customWidth="1"/>
    <col min="23" max="23" width="1.453125" style="346" customWidth="1"/>
    <col min="24" max="24" width="14.453125" style="346" customWidth="1"/>
    <col min="25" max="25" width="1.453125" style="346" customWidth="1"/>
    <col min="26" max="26" width="14.453125" style="346" customWidth="1"/>
    <col min="27" max="27" width="0.81640625" style="346" customWidth="1"/>
    <col min="28" max="28" width="14.453125" style="346" customWidth="1"/>
    <col min="29" max="29" width="0.81640625" style="346" customWidth="1"/>
    <col min="30" max="30" width="14.453125" style="346" customWidth="1"/>
    <col min="31" max="31" width="1.1796875" style="346" customWidth="1"/>
    <col min="32" max="33" width="14.453125" style="346" customWidth="1"/>
    <col min="34" max="36" width="12.453125" style="346"/>
    <col min="37" max="37" width="12.453125" style="399"/>
    <col min="38" max="16384" width="12.453125" style="346"/>
  </cols>
  <sheetData>
    <row r="2" spans="2:37" ht="15" customHeight="1"/>
    <row r="4" spans="2:37">
      <c r="B4" s="400"/>
      <c r="C4" s="400"/>
      <c r="E4" s="408" t="s">
        <v>693</v>
      </c>
      <c r="F4" s="409"/>
      <c r="G4" s="409"/>
      <c r="H4" s="409"/>
      <c r="I4" s="409"/>
      <c r="J4" s="409"/>
      <c r="K4" s="409"/>
      <c r="L4" s="409"/>
      <c r="N4" s="416"/>
      <c r="P4" s="408" t="s">
        <v>1170</v>
      </c>
      <c r="Q4" s="408"/>
      <c r="R4" s="408"/>
      <c r="S4" s="408"/>
      <c r="T4" s="408"/>
      <c r="U4" s="408"/>
      <c r="V4" s="413"/>
      <c r="W4" s="413"/>
      <c r="X4" s="413"/>
      <c r="Z4" s="401" t="s">
        <v>1350</v>
      </c>
      <c r="AA4" s="401"/>
      <c r="AB4" s="408" t="s">
        <v>1170</v>
      </c>
      <c r="AC4" s="425"/>
      <c r="AD4" s="401" t="s">
        <v>1350</v>
      </c>
      <c r="AE4" s="401"/>
      <c r="AF4" s="401"/>
      <c r="AG4" s="401"/>
    </row>
    <row r="5" spans="2:37" s="397" customFormat="1">
      <c r="B5" s="1523" t="s">
        <v>325</v>
      </c>
      <c r="C5" s="1523"/>
      <c r="E5" s="401" t="s">
        <v>1351</v>
      </c>
      <c r="F5" s="401"/>
      <c r="G5" s="1525" t="s">
        <v>1133</v>
      </c>
      <c r="H5" s="401"/>
      <c r="I5" s="401" t="s">
        <v>1352</v>
      </c>
      <c r="J5" s="401"/>
      <c r="K5" s="401"/>
      <c r="L5" s="401" t="s">
        <v>1353</v>
      </c>
      <c r="N5" s="401" t="s">
        <v>1354</v>
      </c>
      <c r="P5" s="401" t="s">
        <v>1351</v>
      </c>
      <c r="Q5" s="401"/>
      <c r="R5" s="1519" t="s">
        <v>1355</v>
      </c>
      <c r="S5" s="420"/>
      <c r="T5" s="1519" t="s">
        <v>4</v>
      </c>
      <c r="U5" s="420"/>
      <c r="V5" s="401" t="s">
        <v>1356</v>
      </c>
      <c r="W5" s="401"/>
      <c r="X5" s="401" t="s">
        <v>1351</v>
      </c>
      <c r="Z5" s="401" t="s">
        <v>1357</v>
      </c>
      <c r="AA5" s="401"/>
      <c r="AB5" s="417" t="s">
        <v>1356</v>
      </c>
      <c r="AC5" s="401"/>
      <c r="AD5" s="401" t="s">
        <v>1357</v>
      </c>
      <c r="AE5" s="401"/>
      <c r="AF5" s="401"/>
      <c r="AG5" s="401"/>
      <c r="AK5" s="428"/>
    </row>
    <row r="6" spans="2:37" s="397" customFormat="1">
      <c r="E6" s="1375" t="s">
        <v>1358</v>
      </c>
      <c r="F6" s="401"/>
      <c r="G6" s="1526"/>
      <c r="H6" s="401"/>
      <c r="I6" s="415" t="s">
        <v>1359</v>
      </c>
      <c r="J6" s="401"/>
      <c r="K6" s="401"/>
      <c r="L6" s="1375" t="s">
        <v>1360</v>
      </c>
      <c r="N6" s="401" t="s">
        <v>1361</v>
      </c>
      <c r="P6" s="1375" t="s">
        <v>1358</v>
      </c>
      <c r="Q6" s="401"/>
      <c r="R6" s="1520"/>
      <c r="S6" s="420"/>
      <c r="T6" s="1520"/>
      <c r="U6" s="420"/>
      <c r="V6" s="401" t="s">
        <v>1362</v>
      </c>
      <c r="W6" s="401"/>
      <c r="X6" s="1375" t="s">
        <v>1360</v>
      </c>
      <c r="Z6" s="1375" t="s">
        <v>1360</v>
      </c>
      <c r="AA6" s="401"/>
      <c r="AB6" s="415" t="s">
        <v>1362</v>
      </c>
      <c r="AC6" s="401"/>
      <c r="AD6" s="1375" t="s">
        <v>1363</v>
      </c>
      <c r="AE6" s="401"/>
      <c r="AF6" s="401" t="e">
        <f>K24-SOFP!#REF!</f>
        <v>#REF!</v>
      </c>
      <c r="AG6" s="401"/>
      <c r="AK6" s="428"/>
    </row>
    <row r="7" spans="2:37" s="397" customFormat="1" ht="4.5" customHeight="1">
      <c r="B7" s="402"/>
      <c r="C7" s="402"/>
      <c r="E7" s="402"/>
      <c r="G7" s="402"/>
      <c r="L7" s="402"/>
      <c r="N7" s="417"/>
      <c r="P7" s="402"/>
      <c r="V7" s="402"/>
      <c r="X7" s="402"/>
      <c r="Z7" s="402"/>
      <c r="AK7" s="428"/>
    </row>
    <row r="8" spans="2:37" ht="3.75" customHeight="1"/>
    <row r="9" spans="2:37">
      <c r="B9" s="403" t="s">
        <v>1123</v>
      </c>
    </row>
    <row r="10" spans="2:37" ht="7.5" customHeight="1">
      <c r="B10" s="397"/>
    </row>
    <row r="11" spans="2:37" ht="18" customHeight="1">
      <c r="B11" s="346" t="s">
        <v>1364</v>
      </c>
      <c r="E11" s="410">
        <v>0</v>
      </c>
      <c r="F11" s="322"/>
      <c r="G11" s="322">
        <v>0</v>
      </c>
      <c r="H11" s="322"/>
      <c r="I11" s="322">
        <v>0</v>
      </c>
      <c r="J11" s="322"/>
      <c r="K11" s="322">
        <v>700000</v>
      </c>
      <c r="L11" s="322">
        <f>E11+K11</f>
        <v>700000</v>
      </c>
      <c r="M11" s="322"/>
      <c r="N11" s="418">
        <v>30</v>
      </c>
      <c r="O11" s="322"/>
      <c r="P11" s="322">
        <v>0</v>
      </c>
      <c r="Q11" s="322"/>
      <c r="R11" s="322">
        <v>0</v>
      </c>
      <c r="S11" s="322"/>
      <c r="T11" s="322">
        <v>0</v>
      </c>
      <c r="U11" s="322"/>
      <c r="V11" s="422">
        <v>35000</v>
      </c>
      <c r="W11" s="322"/>
      <c r="X11" s="410">
        <v>35000</v>
      </c>
      <c r="Y11" s="322"/>
      <c r="Z11" s="322">
        <f>L11-X11</f>
        <v>665000</v>
      </c>
      <c r="AA11" s="322"/>
      <c r="AB11" s="322">
        <f>Z11*N11%</f>
        <v>199500</v>
      </c>
      <c r="AC11" s="322"/>
      <c r="AD11" s="322">
        <f>Z11-AB11</f>
        <v>465500</v>
      </c>
      <c r="AE11" s="322"/>
      <c r="AF11" s="426">
        <v>276203</v>
      </c>
      <c r="AG11" s="427">
        <f t="shared" ref="AG11:AG17" si="0">X11-AF11</f>
        <v>-241203</v>
      </c>
      <c r="AH11" s="346">
        <f t="shared" ref="AH11:AH17" si="1">E11-P11</f>
        <v>0</v>
      </c>
      <c r="AI11" s="346">
        <f>AH11*0.1</f>
        <v>0</v>
      </c>
    </row>
    <row r="12" spans="2:37" ht="18" customHeight="1">
      <c r="B12" s="346" t="s">
        <v>1365</v>
      </c>
      <c r="E12" s="410">
        <v>0</v>
      </c>
      <c r="F12" s="322"/>
      <c r="G12" s="322">
        <v>0</v>
      </c>
      <c r="H12" s="322"/>
      <c r="I12" s="322">
        <v>0</v>
      </c>
      <c r="J12" s="322"/>
      <c r="K12" s="322">
        <v>112428</v>
      </c>
      <c r="L12" s="322">
        <f t="shared" ref="L12:L17" si="2">E12+K12</f>
        <v>112428</v>
      </c>
      <c r="M12" s="322"/>
      <c r="N12" s="418">
        <v>15</v>
      </c>
      <c r="O12" s="322"/>
      <c r="P12" s="322">
        <v>0</v>
      </c>
      <c r="Q12" s="322"/>
      <c r="R12" s="322">
        <v>0</v>
      </c>
      <c r="S12" s="322"/>
      <c r="T12" s="322">
        <v>0</v>
      </c>
      <c r="U12" s="322"/>
      <c r="V12" s="422">
        <v>4479</v>
      </c>
      <c r="W12" s="322"/>
      <c r="X12" s="410">
        <v>4479</v>
      </c>
      <c r="Y12" s="322"/>
      <c r="Z12" s="322">
        <f t="shared" ref="Z12:Z17" si="3">L12-X12</f>
        <v>107949</v>
      </c>
      <c r="AA12" s="322"/>
      <c r="AB12" s="322">
        <f t="shared" ref="AB12:AB17" si="4">Z12*N12%</f>
        <v>16192.35</v>
      </c>
      <c r="AC12" s="322"/>
      <c r="AD12" s="322">
        <f t="shared" ref="AD12:AD17" si="5">Z12-AB12</f>
        <v>91756.65</v>
      </c>
      <c r="AE12" s="322"/>
      <c r="AF12" s="322">
        <v>246294</v>
      </c>
      <c r="AG12" s="427">
        <f t="shared" si="0"/>
        <v>-241815</v>
      </c>
      <c r="AH12" s="346">
        <f t="shared" si="1"/>
        <v>0</v>
      </c>
      <c r="AI12" s="346">
        <f>AH12*0.1</f>
        <v>0</v>
      </c>
      <c r="AJ12" s="346">
        <f>G12*0.1</f>
        <v>0</v>
      </c>
    </row>
    <row r="13" spans="2:37" ht="18" customHeight="1">
      <c r="B13" s="346" t="s">
        <v>1366</v>
      </c>
      <c r="E13" s="410">
        <v>0</v>
      </c>
      <c r="F13" s="322"/>
      <c r="G13" s="322"/>
      <c r="H13" s="322"/>
      <c r="I13" s="322"/>
      <c r="J13" s="322"/>
      <c r="K13" s="322">
        <f>94175+84293+180890</f>
        <v>359358</v>
      </c>
      <c r="L13" s="322">
        <f t="shared" si="2"/>
        <v>359358</v>
      </c>
      <c r="M13" s="322"/>
      <c r="N13" s="418">
        <v>15</v>
      </c>
      <c r="O13" s="322"/>
      <c r="P13" s="322">
        <v>0</v>
      </c>
      <c r="Q13" s="322"/>
      <c r="R13" s="322"/>
      <c r="S13" s="322"/>
      <c r="T13" s="322"/>
      <c r="U13" s="322"/>
      <c r="V13" s="422">
        <v>61441</v>
      </c>
      <c r="W13" s="322"/>
      <c r="X13" s="410">
        <v>61441</v>
      </c>
      <c r="Y13" s="322"/>
      <c r="Z13" s="322">
        <f t="shared" si="3"/>
        <v>297917</v>
      </c>
      <c r="AA13" s="322"/>
      <c r="AB13" s="322">
        <f t="shared" si="4"/>
        <v>44687.55</v>
      </c>
      <c r="AC13" s="322"/>
      <c r="AD13" s="322">
        <f t="shared" si="5"/>
        <v>253229.45</v>
      </c>
      <c r="AE13" s="322"/>
      <c r="AF13" s="322"/>
      <c r="AG13" s="427"/>
    </row>
    <row r="14" spans="2:37" ht="18" customHeight="1">
      <c r="B14" s="346" t="s">
        <v>1367</v>
      </c>
      <c r="E14" s="410">
        <v>0</v>
      </c>
      <c r="F14" s="322"/>
      <c r="G14" s="322"/>
      <c r="H14" s="322"/>
      <c r="I14" s="322"/>
      <c r="J14" s="322"/>
      <c r="K14" s="322">
        <f>282722+487639+130000+1670980+160000+45000+114618</f>
        <v>2890959</v>
      </c>
      <c r="L14" s="322">
        <f t="shared" si="2"/>
        <v>2890959</v>
      </c>
      <c r="M14" s="322"/>
      <c r="N14" s="418">
        <v>15</v>
      </c>
      <c r="O14" s="322"/>
      <c r="P14" s="322">
        <v>0</v>
      </c>
      <c r="Q14" s="322"/>
      <c r="R14" s="322"/>
      <c r="S14" s="322"/>
      <c r="T14" s="322"/>
      <c r="U14" s="322"/>
      <c r="V14" s="422">
        <v>163328</v>
      </c>
      <c r="W14" s="322"/>
      <c r="X14" s="410">
        <v>163328</v>
      </c>
      <c r="Y14" s="322"/>
      <c r="Z14" s="322">
        <f t="shared" si="3"/>
        <v>2727631</v>
      </c>
      <c r="AA14" s="322"/>
      <c r="AB14" s="322">
        <f t="shared" si="4"/>
        <v>409144.65</v>
      </c>
      <c r="AC14" s="322"/>
      <c r="AD14" s="322">
        <f t="shared" si="5"/>
        <v>2318486.35</v>
      </c>
      <c r="AE14" s="322"/>
      <c r="AF14" s="322"/>
      <c r="AG14" s="427"/>
    </row>
    <row r="15" spans="2:37" ht="18" customHeight="1">
      <c r="B15" s="346" t="s">
        <v>1368</v>
      </c>
      <c r="E15" s="410">
        <v>0</v>
      </c>
      <c r="F15" s="322"/>
      <c r="G15" s="322">
        <v>0</v>
      </c>
      <c r="H15" s="322"/>
      <c r="I15" s="322">
        <v>0</v>
      </c>
      <c r="J15" s="322"/>
      <c r="K15" s="322">
        <f>198500+533500</f>
        <v>732000</v>
      </c>
      <c r="L15" s="322">
        <f t="shared" si="2"/>
        <v>732000</v>
      </c>
      <c r="M15" s="322"/>
      <c r="N15" s="418">
        <v>15</v>
      </c>
      <c r="O15" s="322"/>
      <c r="P15" s="322">
        <v>0</v>
      </c>
      <c r="Q15" s="322"/>
      <c r="R15" s="322">
        <v>0</v>
      </c>
      <c r="S15" s="322"/>
      <c r="T15" s="322">
        <v>0</v>
      </c>
      <c r="U15" s="322"/>
      <c r="V15" s="423">
        <v>27363</v>
      </c>
      <c r="W15" s="322"/>
      <c r="X15" s="410">
        <v>27363</v>
      </c>
      <c r="Z15" s="322">
        <f t="shared" si="3"/>
        <v>704637</v>
      </c>
      <c r="AA15" s="322"/>
      <c r="AB15" s="322">
        <f t="shared" si="4"/>
        <v>105695.55</v>
      </c>
      <c r="AC15" s="322"/>
      <c r="AD15" s="322">
        <f t="shared" si="5"/>
        <v>598941.44999999995</v>
      </c>
      <c r="AE15" s="322"/>
      <c r="AF15" s="322">
        <v>444795</v>
      </c>
      <c r="AG15" s="427">
        <f t="shared" si="0"/>
        <v>-417432</v>
      </c>
      <c r="AH15" s="346">
        <f t="shared" si="1"/>
        <v>0</v>
      </c>
      <c r="AI15" s="346">
        <f>AH15*0.25</f>
        <v>0</v>
      </c>
    </row>
    <row r="16" spans="2:37" ht="18" customHeight="1">
      <c r="B16" s="396" t="s">
        <v>1369</v>
      </c>
      <c r="E16" s="410">
        <v>0</v>
      </c>
      <c r="F16" s="322"/>
      <c r="G16" s="322">
        <v>0</v>
      </c>
      <c r="H16" s="322"/>
      <c r="I16" s="322">
        <v>0</v>
      </c>
      <c r="J16" s="322"/>
      <c r="K16" s="322">
        <v>1068000</v>
      </c>
      <c r="L16" s="322">
        <f t="shared" si="2"/>
        <v>1068000</v>
      </c>
      <c r="M16" s="322"/>
      <c r="N16" s="418">
        <v>15</v>
      </c>
      <c r="O16" s="322"/>
      <c r="P16" s="322">
        <v>0</v>
      </c>
      <c r="Q16" s="322"/>
      <c r="R16" s="322">
        <v>0</v>
      </c>
      <c r="S16" s="322"/>
      <c r="T16" s="322">
        <v>0</v>
      </c>
      <c r="U16" s="322"/>
      <c r="V16" s="422">
        <v>37550</v>
      </c>
      <c r="W16" s="322"/>
      <c r="X16" s="410">
        <v>37550</v>
      </c>
      <c r="Y16" s="322"/>
      <c r="Z16" s="322">
        <f t="shared" si="3"/>
        <v>1030450</v>
      </c>
      <c r="AA16" s="322"/>
      <c r="AB16" s="322">
        <f t="shared" si="4"/>
        <v>154567.5</v>
      </c>
      <c r="AC16" s="322"/>
      <c r="AD16" s="322">
        <f t="shared" si="5"/>
        <v>875882.5</v>
      </c>
      <c r="AE16" s="322"/>
      <c r="AF16" s="322">
        <v>580390</v>
      </c>
      <c r="AG16" s="427">
        <f t="shared" si="0"/>
        <v>-542840</v>
      </c>
      <c r="AH16" s="346">
        <f t="shared" si="1"/>
        <v>0</v>
      </c>
      <c r="AI16" s="346">
        <f>AH16*0.1</f>
        <v>0</v>
      </c>
    </row>
    <row r="17" spans="2:38" ht="22.5" customHeight="1">
      <c r="B17" s="346" t="s">
        <v>1370</v>
      </c>
      <c r="E17" s="410">
        <v>0</v>
      </c>
      <c r="F17" s="322"/>
      <c r="G17" s="322">
        <v>0</v>
      </c>
      <c r="H17" s="322"/>
      <c r="I17" s="322">
        <v>0</v>
      </c>
      <c r="J17" s="322"/>
      <c r="K17" s="322">
        <v>8780816</v>
      </c>
      <c r="L17" s="322">
        <f t="shared" si="2"/>
        <v>8780816</v>
      </c>
      <c r="M17" s="322"/>
      <c r="N17" s="418">
        <v>15</v>
      </c>
      <c r="O17" s="322"/>
      <c r="P17" s="322">
        <v>0</v>
      </c>
      <c r="Q17" s="322"/>
      <c r="R17" s="322">
        <v>0</v>
      </c>
      <c r="S17" s="322"/>
      <c r="T17" s="322">
        <v>0</v>
      </c>
      <c r="U17" s="322"/>
      <c r="V17" s="422">
        <v>532276</v>
      </c>
      <c r="W17" s="322"/>
      <c r="X17" s="410">
        <v>532276</v>
      </c>
      <c r="Y17" s="322"/>
      <c r="Z17" s="322">
        <f t="shared" si="3"/>
        <v>8248540</v>
      </c>
      <c r="AA17" s="322"/>
      <c r="AB17" s="322">
        <f t="shared" si="4"/>
        <v>1237281</v>
      </c>
      <c r="AC17" s="322"/>
      <c r="AD17" s="322">
        <f t="shared" si="5"/>
        <v>7011259</v>
      </c>
      <c r="AE17" s="322"/>
      <c r="AF17" s="322">
        <v>1402849</v>
      </c>
      <c r="AG17" s="427">
        <f t="shared" si="0"/>
        <v>-870573</v>
      </c>
      <c r="AH17" s="346">
        <f t="shared" si="1"/>
        <v>0</v>
      </c>
      <c r="AI17" s="346">
        <f>AH17*0.2</f>
        <v>0</v>
      </c>
      <c r="AJ17" s="346">
        <f>G17*0.2</f>
        <v>0</v>
      </c>
    </row>
    <row r="18" spans="2:38" ht="15" hidden="1" customHeight="1">
      <c r="B18" s="396"/>
      <c r="E18" s="322"/>
      <c r="F18" s="322"/>
      <c r="G18" s="322"/>
      <c r="H18" s="322"/>
      <c r="I18" s="322"/>
      <c r="J18" s="322"/>
      <c r="K18" s="322"/>
      <c r="L18" s="322"/>
      <c r="M18" s="322"/>
      <c r="N18" s="418"/>
      <c r="O18" s="322"/>
      <c r="P18" s="322"/>
      <c r="Q18" s="322"/>
      <c r="R18" s="322"/>
      <c r="S18" s="322"/>
      <c r="T18" s="322"/>
      <c r="U18" s="322"/>
      <c r="V18" s="422"/>
      <c r="W18" s="322"/>
      <c r="X18" s="410"/>
      <c r="Y18" s="322"/>
      <c r="Z18" s="322"/>
      <c r="AA18" s="322"/>
      <c r="AB18" s="322"/>
      <c r="AC18" s="322"/>
      <c r="AD18" s="322"/>
      <c r="AE18" s="322"/>
      <c r="AF18" s="322"/>
      <c r="AG18" s="322"/>
    </row>
    <row r="19" spans="2:38" hidden="1">
      <c r="B19" s="404" t="s">
        <v>1124</v>
      </c>
      <c r="E19" s="322"/>
      <c r="F19" s="322"/>
      <c r="G19" s="322"/>
      <c r="H19" s="322"/>
      <c r="I19" s="322"/>
      <c r="J19" s="322"/>
      <c r="K19" s="322"/>
      <c r="L19" s="322"/>
      <c r="M19" s="322"/>
      <c r="N19" s="418"/>
      <c r="O19" s="322"/>
      <c r="P19" s="322"/>
      <c r="Q19" s="322"/>
      <c r="R19" s="322"/>
      <c r="S19" s="322"/>
      <c r="T19" s="322"/>
      <c r="U19" s="322"/>
      <c r="V19" s="422"/>
      <c r="W19" s="322"/>
      <c r="X19" s="410"/>
      <c r="Y19" s="322"/>
      <c r="Z19" s="322"/>
      <c r="AA19" s="322"/>
      <c r="AB19" s="322"/>
      <c r="AC19" s="322"/>
      <c r="AD19" s="322"/>
      <c r="AE19" s="322"/>
      <c r="AF19" s="322"/>
      <c r="AG19" s="322"/>
    </row>
    <row r="20" spans="2:38" ht="15" hidden="1" customHeight="1">
      <c r="B20" s="404"/>
      <c r="E20" s="322"/>
      <c r="F20" s="322"/>
      <c r="G20" s="322"/>
      <c r="H20" s="322"/>
      <c r="I20" s="322"/>
      <c r="J20" s="322"/>
      <c r="K20" s="322"/>
      <c r="L20" s="322"/>
      <c r="M20" s="322"/>
      <c r="N20" s="418"/>
      <c r="O20" s="322"/>
      <c r="P20" s="322"/>
      <c r="Q20" s="322"/>
      <c r="R20" s="322"/>
      <c r="S20" s="322"/>
      <c r="T20" s="322"/>
      <c r="U20" s="322"/>
      <c r="V20" s="422"/>
      <c r="W20" s="322"/>
      <c r="X20" s="410"/>
      <c r="Y20" s="322"/>
      <c r="Z20" s="322"/>
      <c r="AA20" s="322"/>
      <c r="AB20" s="322"/>
      <c r="AC20" s="322"/>
      <c r="AD20" s="322"/>
      <c r="AE20" s="322"/>
      <c r="AF20" s="322"/>
      <c r="AG20" s="322"/>
    </row>
    <row r="21" spans="2:38" ht="0.75" customHeight="1">
      <c r="B21" s="346" t="s">
        <v>1371</v>
      </c>
      <c r="E21" s="322">
        <v>0</v>
      </c>
      <c r="F21" s="322"/>
      <c r="G21" s="322"/>
      <c r="H21" s="322"/>
      <c r="I21" s="322"/>
      <c r="J21" s="322"/>
      <c r="K21" s="322">
        <v>0</v>
      </c>
      <c r="L21" s="322">
        <v>0</v>
      </c>
      <c r="M21" s="322"/>
      <c r="N21" s="418">
        <v>20</v>
      </c>
      <c r="O21" s="322"/>
      <c r="P21" s="322">
        <f>X41</f>
        <v>0</v>
      </c>
      <c r="Q21" s="322"/>
      <c r="R21" s="322">
        <v>0</v>
      </c>
      <c r="S21" s="322"/>
      <c r="T21" s="322"/>
      <c r="U21" s="322"/>
      <c r="V21" s="422"/>
      <c r="W21" s="322"/>
      <c r="X21" s="410">
        <f>ROUND(P21+R21+V21+T21,0)</f>
        <v>0</v>
      </c>
      <c r="Y21" s="322"/>
      <c r="Z21" s="322">
        <f>ROUND(L21-X21,0)</f>
        <v>0</v>
      </c>
      <c r="AA21" s="322"/>
      <c r="AB21" s="322"/>
      <c r="AC21" s="322"/>
      <c r="AD21" s="322"/>
      <c r="AE21" s="322"/>
      <c r="AF21" s="322"/>
      <c r="AG21" s="322"/>
    </row>
    <row r="22" spans="2:38" ht="0.75" customHeight="1">
      <c r="E22" s="322"/>
      <c r="F22" s="322"/>
      <c r="G22" s="322"/>
      <c r="H22" s="322"/>
      <c r="I22" s="322"/>
      <c r="J22" s="322"/>
      <c r="K22" s="322"/>
      <c r="L22" s="322">
        <v>0</v>
      </c>
      <c r="M22" s="322"/>
      <c r="N22" s="418"/>
      <c r="O22" s="322"/>
      <c r="P22" s="322"/>
      <c r="Q22" s="322"/>
      <c r="R22" s="322"/>
      <c r="S22" s="322"/>
      <c r="T22" s="322"/>
      <c r="U22" s="322"/>
      <c r="V22" s="422"/>
      <c r="W22" s="322"/>
      <c r="X22" s="410"/>
      <c r="Y22" s="322"/>
      <c r="Z22" s="322"/>
      <c r="AA22" s="322"/>
      <c r="AB22" s="322"/>
      <c r="AC22" s="322"/>
      <c r="AD22" s="322"/>
      <c r="AE22" s="322"/>
      <c r="AF22" s="322"/>
      <c r="AG22" s="322"/>
    </row>
    <row r="23" spans="2:38" ht="0.75" customHeight="1">
      <c r="E23" s="322"/>
      <c r="F23" s="322"/>
      <c r="G23" s="322"/>
      <c r="H23" s="322"/>
      <c r="I23" s="322"/>
      <c r="J23" s="322"/>
      <c r="K23" s="322"/>
      <c r="L23" s="322"/>
      <c r="M23" s="322"/>
      <c r="N23" s="418"/>
      <c r="O23" s="322"/>
      <c r="P23" s="322"/>
      <c r="Q23" s="322"/>
      <c r="R23" s="322"/>
      <c r="S23" s="322"/>
      <c r="T23" s="322"/>
      <c r="U23" s="322"/>
      <c r="V23" s="422"/>
      <c r="W23" s="322"/>
      <c r="X23" s="410"/>
      <c r="Y23" s="322"/>
      <c r="Z23" s="322"/>
      <c r="AA23" s="322"/>
      <c r="AB23" s="322"/>
      <c r="AC23" s="322"/>
      <c r="AD23" s="322"/>
      <c r="AE23" s="322"/>
      <c r="AF23" s="322"/>
      <c r="AG23" s="322"/>
    </row>
    <row r="24" spans="2:38" s="397" customFormat="1" ht="15" customHeight="1">
      <c r="B24" s="1375" t="s">
        <v>1372</v>
      </c>
      <c r="C24" s="401" t="s">
        <v>957</v>
      </c>
      <c r="E24" s="411">
        <f>SUM(E11:F21)</f>
        <v>0</v>
      </c>
      <c r="F24" s="411"/>
      <c r="G24" s="411">
        <f>SUM(G11:H21)</f>
        <v>0</v>
      </c>
      <c r="H24" s="411"/>
      <c r="I24" s="411">
        <f>SUM(I11:I21)</f>
        <v>0</v>
      </c>
      <c r="J24" s="411"/>
      <c r="K24" s="411">
        <f>SUM(K11:K23)</f>
        <v>14643561</v>
      </c>
      <c r="L24" s="411">
        <f>SUM(L11:L21)</f>
        <v>14643561</v>
      </c>
      <c r="M24" s="326"/>
      <c r="N24" s="419"/>
      <c r="O24" s="326"/>
      <c r="P24" s="411">
        <f>SUM(P11:P21)</f>
        <v>0</v>
      </c>
      <c r="Q24" s="411"/>
      <c r="R24" s="411">
        <f>SUM(R11:R21)</f>
        <v>0</v>
      </c>
      <c r="S24" s="411"/>
      <c r="T24" s="411">
        <f>SUM(T11:T21)</f>
        <v>0</v>
      </c>
      <c r="U24" s="411"/>
      <c r="V24" s="424">
        <f>SUM(V11:V21)</f>
        <v>861437</v>
      </c>
      <c r="W24" s="411"/>
      <c r="X24" s="411">
        <f>SUM(X11:X21)</f>
        <v>861437</v>
      </c>
      <c r="Y24" s="327"/>
      <c r="Z24" s="411">
        <f>SUM(Z11:Z21)</f>
        <v>13782124</v>
      </c>
      <c r="AA24" s="327"/>
      <c r="AB24" s="411">
        <f>SUM(AB11:AB21)</f>
        <v>2167068.6</v>
      </c>
      <c r="AC24" s="327"/>
      <c r="AD24" s="411">
        <f>SUM(AD11:AD21)</f>
        <v>11615055.4</v>
      </c>
      <c r="AE24" s="327"/>
      <c r="AF24" s="327">
        <f>SUM(AF11:AF23)</f>
        <v>2950531</v>
      </c>
      <c r="AG24" s="327">
        <f>SUM(AG11:AG17)</f>
        <v>-2313863</v>
      </c>
      <c r="AI24" s="397">
        <f>SUM(AI11:AI23)</f>
        <v>0</v>
      </c>
      <c r="AJ24" s="397">
        <f>SUM(AJ11:AJ23)</f>
        <v>0</v>
      </c>
      <c r="AK24" s="428"/>
    </row>
    <row r="25" spans="2:38" ht="20.149999999999999" customHeight="1">
      <c r="B25" s="398"/>
      <c r="C25" s="398"/>
      <c r="E25" s="338"/>
      <c r="F25" s="338"/>
      <c r="G25" s="412"/>
      <c r="H25" s="412"/>
      <c r="I25" s="412"/>
      <c r="J25" s="338"/>
      <c r="K25" s="338"/>
      <c r="L25" s="338"/>
      <c r="M25" s="322"/>
      <c r="N25" s="418"/>
      <c r="O25" s="322"/>
      <c r="P25" s="338"/>
      <c r="Q25" s="338"/>
      <c r="R25" s="338"/>
      <c r="S25" s="338"/>
      <c r="T25" s="338"/>
      <c r="U25" s="338"/>
      <c r="V25" s="338"/>
      <c r="W25" s="338"/>
      <c r="X25" s="338"/>
      <c r="Y25" s="338"/>
      <c r="Z25" s="338"/>
      <c r="AA25" s="338"/>
      <c r="AB25" s="338"/>
      <c r="AC25" s="338"/>
      <c r="AD25" s="338"/>
      <c r="AE25" s="338"/>
      <c r="AF25" s="338"/>
      <c r="AG25" s="338"/>
      <c r="AH25" s="346">
        <f>435806-435949</f>
        <v>-143</v>
      </c>
      <c r="AI25" s="346">
        <f>435877-435806</f>
        <v>71</v>
      </c>
      <c r="AJ25" s="346">
        <f>AI24+AJ24</f>
        <v>0</v>
      </c>
      <c r="AL25" s="346">
        <v>320298</v>
      </c>
    </row>
    <row r="26" spans="2:38" ht="20.149999999999999" customHeight="1">
      <c r="B26" s="400"/>
      <c r="C26" s="400"/>
      <c r="E26" s="413" t="s">
        <v>693</v>
      </c>
      <c r="F26" s="409"/>
      <c r="G26" s="409"/>
      <c r="H26" s="409"/>
      <c r="I26" s="409"/>
      <c r="J26" s="409"/>
      <c r="K26" s="409"/>
      <c r="L26" s="409"/>
      <c r="N26" s="416"/>
      <c r="P26" s="413" t="s">
        <v>1170</v>
      </c>
      <c r="Q26" s="413"/>
      <c r="R26" s="413"/>
      <c r="S26" s="413"/>
      <c r="T26" s="413"/>
      <c r="U26" s="413"/>
      <c r="V26" s="413"/>
      <c r="W26" s="413"/>
      <c r="X26" s="413"/>
      <c r="Z26" s="398" t="s">
        <v>1350</v>
      </c>
      <c r="AA26" s="398"/>
      <c r="AB26" s="398"/>
      <c r="AC26" s="398"/>
      <c r="AD26" s="398"/>
      <c r="AE26" s="398"/>
      <c r="AF26" s="398">
        <v>307413</v>
      </c>
      <c r="AG26" s="398"/>
      <c r="AI26" s="322"/>
      <c r="AL26" s="346">
        <f>V24-AL25</f>
        <v>541139</v>
      </c>
    </row>
    <row r="27" spans="2:38" ht="15.75" customHeight="1">
      <c r="B27" s="1524" t="s">
        <v>325</v>
      </c>
      <c r="C27" s="1524"/>
      <c r="E27" s="398" t="s">
        <v>1351</v>
      </c>
      <c r="F27" s="398"/>
      <c r="G27" s="1527" t="s">
        <v>1373</v>
      </c>
      <c r="H27" s="398"/>
      <c r="I27" s="398" t="s">
        <v>1352</v>
      </c>
      <c r="J27" s="398"/>
      <c r="K27" s="398"/>
      <c r="L27" s="398" t="s">
        <v>1353</v>
      </c>
      <c r="N27" s="398" t="s">
        <v>1354</v>
      </c>
      <c r="P27" s="398" t="s">
        <v>1351</v>
      </c>
      <c r="Q27" s="398"/>
      <c r="R27" s="1521" t="s">
        <v>1355</v>
      </c>
      <c r="S27" s="421"/>
      <c r="T27" s="1521" t="s">
        <v>4</v>
      </c>
      <c r="U27" s="421"/>
      <c r="V27" s="398" t="s">
        <v>1356</v>
      </c>
      <c r="W27" s="398"/>
      <c r="X27" s="398" t="s">
        <v>1351</v>
      </c>
      <c r="Z27" s="398" t="s">
        <v>1357</v>
      </c>
      <c r="AA27" s="398"/>
      <c r="AB27" s="398"/>
      <c r="AC27" s="398"/>
      <c r="AD27" s="398"/>
      <c r="AE27" s="398"/>
      <c r="AF27" s="398">
        <v>12885</v>
      </c>
      <c r="AG27" s="398"/>
    </row>
    <row r="28" spans="2:38">
      <c r="E28" s="1376" t="s">
        <v>1374</v>
      </c>
      <c r="F28" s="398"/>
      <c r="G28" s="1528"/>
      <c r="H28" s="398"/>
      <c r="I28" s="416" t="s">
        <v>1359</v>
      </c>
      <c r="J28" s="398"/>
      <c r="K28" s="398"/>
      <c r="L28" s="1376" t="s">
        <v>1375</v>
      </c>
      <c r="N28" s="398" t="s">
        <v>1361</v>
      </c>
      <c r="P28" s="1376" t="s">
        <v>1374</v>
      </c>
      <c r="Q28" s="398"/>
      <c r="R28" s="1522"/>
      <c r="S28" s="421"/>
      <c r="T28" s="1522"/>
      <c r="U28" s="421"/>
      <c r="V28" s="398" t="s">
        <v>1362</v>
      </c>
      <c r="W28" s="398"/>
      <c r="X28" s="1376" t="s">
        <v>1375</v>
      </c>
      <c r="Z28" s="1376" t="s">
        <v>1375</v>
      </c>
      <c r="AA28" s="398"/>
      <c r="AB28" s="398"/>
      <c r="AC28" s="398"/>
      <c r="AD28" s="398"/>
      <c r="AE28" s="398"/>
      <c r="AF28" s="398">
        <f>SUM(AF26:AF27)</f>
        <v>320298</v>
      </c>
      <c r="AG28" s="398">
        <f>V24-AF28</f>
        <v>541139</v>
      </c>
    </row>
    <row r="29" spans="2:38">
      <c r="B29" s="402"/>
      <c r="C29" s="402"/>
      <c r="D29" s="397"/>
      <c r="E29" s="402"/>
      <c r="F29" s="397"/>
      <c r="G29" s="402"/>
      <c r="H29" s="397"/>
      <c r="I29" s="397"/>
      <c r="J29" s="397"/>
      <c r="K29" s="397"/>
      <c r="L29" s="402"/>
      <c r="M29" s="397"/>
      <c r="N29" s="417"/>
      <c r="O29" s="397"/>
      <c r="P29" s="402"/>
      <c r="Q29" s="397"/>
      <c r="R29" s="397"/>
      <c r="S29" s="397"/>
      <c r="T29" s="397"/>
      <c r="U29" s="397"/>
      <c r="V29" s="402"/>
      <c r="W29" s="397"/>
      <c r="X29" s="402"/>
      <c r="Y29" s="397"/>
      <c r="Z29" s="402"/>
      <c r="AA29" s="397"/>
      <c r="AB29" s="397"/>
      <c r="AC29" s="397"/>
      <c r="AD29" s="397"/>
      <c r="AE29" s="397"/>
      <c r="AF29" s="397"/>
      <c r="AG29" s="397"/>
      <c r="AH29" s="346">
        <f>13628+8547+3152</f>
        <v>25327</v>
      </c>
      <c r="AJ29" s="346" t="s">
        <v>1376</v>
      </c>
      <c r="AK29" s="346">
        <f>AG28</f>
        <v>541139</v>
      </c>
    </row>
    <row r="30" spans="2:38">
      <c r="B30" s="405" t="s">
        <v>1123</v>
      </c>
      <c r="AJ30" s="346" t="s">
        <v>1377</v>
      </c>
      <c r="AK30" s="346">
        <v>638</v>
      </c>
    </row>
    <row r="31" spans="2:38" ht="5.25" customHeight="1">
      <c r="B31" s="397"/>
      <c r="AJ31" s="346" t="s">
        <v>1378</v>
      </c>
      <c r="AK31" s="346">
        <v>479271</v>
      </c>
    </row>
    <row r="32" spans="2:38" ht="18" customHeight="1">
      <c r="B32" s="346" t="s">
        <v>1364</v>
      </c>
      <c r="E32" s="322">
        <v>321951</v>
      </c>
      <c r="F32" s="322"/>
      <c r="G32" s="322">
        <v>0</v>
      </c>
      <c r="H32" s="322"/>
      <c r="I32" s="322">
        <v>0</v>
      </c>
      <c r="J32" s="322"/>
      <c r="K32" s="322"/>
      <c r="L32" s="322">
        <v>321951</v>
      </c>
      <c r="M32" s="322"/>
      <c r="N32" s="418">
        <v>10</v>
      </c>
      <c r="O32" s="322"/>
      <c r="P32" s="322">
        <v>259385</v>
      </c>
      <c r="Q32" s="322"/>
      <c r="R32" s="322">
        <v>0</v>
      </c>
      <c r="S32" s="322"/>
      <c r="T32" s="322">
        <v>0</v>
      </c>
      <c r="U32" s="322"/>
      <c r="V32" s="322">
        <v>6257</v>
      </c>
      <c r="W32" s="322"/>
      <c r="X32" s="322">
        <f t="shared" ref="X32:X37" si="6">P32+V32</f>
        <v>265642</v>
      </c>
      <c r="Y32" s="322"/>
      <c r="Z32" s="322">
        <f t="shared" ref="Z32:Z37" si="7">L32-X32</f>
        <v>56309</v>
      </c>
      <c r="AA32" s="322"/>
      <c r="AB32" s="322"/>
      <c r="AC32" s="322"/>
      <c r="AD32" s="322"/>
      <c r="AE32" s="322"/>
      <c r="AF32" s="322"/>
      <c r="AG32" s="322"/>
      <c r="AJ32" s="346" t="s">
        <v>1379</v>
      </c>
      <c r="AK32" s="346">
        <v>499532</v>
      </c>
    </row>
    <row r="33" spans="2:38" ht="18" customHeight="1">
      <c r="B33" s="346" t="s">
        <v>1365</v>
      </c>
      <c r="E33" s="322">
        <v>720786</v>
      </c>
      <c r="F33" s="322"/>
      <c r="G33" s="322">
        <v>0</v>
      </c>
      <c r="H33" s="322"/>
      <c r="I33" s="322">
        <v>0</v>
      </c>
      <c r="J33" s="322"/>
      <c r="K33" s="322"/>
      <c r="L33" s="322">
        <v>720786</v>
      </c>
      <c r="M33" s="322"/>
      <c r="N33" s="418">
        <v>10</v>
      </c>
      <c r="O33" s="322"/>
      <c r="P33" s="322">
        <v>503541</v>
      </c>
      <c r="Q33" s="322"/>
      <c r="R33" s="322">
        <v>0</v>
      </c>
      <c r="S33" s="322"/>
      <c r="T33" s="322">
        <v>0</v>
      </c>
      <c r="U33" s="322"/>
      <c r="V33" s="322">
        <v>21725</v>
      </c>
      <c r="W33" s="322"/>
      <c r="X33" s="322">
        <f t="shared" si="6"/>
        <v>525266</v>
      </c>
      <c r="Y33" s="322"/>
      <c r="Z33" s="322">
        <f t="shared" si="7"/>
        <v>195520</v>
      </c>
      <c r="AA33" s="322"/>
      <c r="AB33" s="322"/>
      <c r="AC33" s="322"/>
      <c r="AD33" s="322"/>
      <c r="AE33" s="322"/>
      <c r="AF33" s="322"/>
      <c r="AG33" s="322"/>
      <c r="AH33" s="346">
        <f>Z33+Z34+Z35</f>
        <v>265743</v>
      </c>
    </row>
    <row r="34" spans="2:38" ht="18" customHeight="1">
      <c r="B34" s="346" t="s">
        <v>1380</v>
      </c>
      <c r="E34" s="322">
        <v>472830</v>
      </c>
      <c r="F34" s="322"/>
      <c r="G34" s="322">
        <v>0</v>
      </c>
      <c r="H34" s="322"/>
      <c r="I34" s="322">
        <v>0</v>
      </c>
      <c r="J34" s="322"/>
      <c r="K34" s="322"/>
      <c r="L34" s="322">
        <v>472830</v>
      </c>
      <c r="M34" s="322"/>
      <c r="N34" s="418">
        <v>25</v>
      </c>
      <c r="O34" s="322"/>
      <c r="P34" s="322">
        <v>444157</v>
      </c>
      <c r="Q34" s="322"/>
      <c r="R34" s="322">
        <v>0</v>
      </c>
      <c r="S34" s="322"/>
      <c r="T34" s="322">
        <v>0</v>
      </c>
      <c r="U34" s="322"/>
      <c r="V34" s="322">
        <v>7168</v>
      </c>
      <c r="W34" s="322"/>
      <c r="X34" s="322">
        <f t="shared" si="6"/>
        <v>451325</v>
      </c>
      <c r="Y34" s="322"/>
      <c r="Z34" s="322">
        <f t="shared" si="7"/>
        <v>21505</v>
      </c>
      <c r="AA34" s="322"/>
      <c r="AB34" s="322"/>
      <c r="AC34" s="322"/>
      <c r="AD34" s="322"/>
      <c r="AE34" s="322"/>
      <c r="AF34" s="322"/>
      <c r="AG34" s="322"/>
      <c r="AJ34" s="346" t="s">
        <v>1381</v>
      </c>
      <c r="AL34" s="346">
        <f>AG12</f>
        <v>-241815</v>
      </c>
    </row>
    <row r="35" spans="2:38" ht="18" customHeight="1">
      <c r="B35" s="396" t="s">
        <v>1369</v>
      </c>
      <c r="E35" s="322">
        <v>155250</v>
      </c>
      <c r="F35" s="322"/>
      <c r="G35" s="322">
        <v>0</v>
      </c>
      <c r="H35" s="322"/>
      <c r="I35" s="322">
        <v>0</v>
      </c>
      <c r="J35" s="322"/>
      <c r="K35" s="322"/>
      <c r="L35" s="322">
        <v>155250</v>
      </c>
      <c r="M35" s="322"/>
      <c r="N35" s="418">
        <v>10</v>
      </c>
      <c r="O35" s="322"/>
      <c r="P35" s="322">
        <v>101119</v>
      </c>
      <c r="Q35" s="322"/>
      <c r="R35" s="322">
        <v>0</v>
      </c>
      <c r="S35" s="322"/>
      <c r="T35" s="322">
        <v>0</v>
      </c>
      <c r="U35" s="322"/>
      <c r="V35" s="322">
        <v>5413</v>
      </c>
      <c r="W35" s="322"/>
      <c r="X35" s="322">
        <f t="shared" si="6"/>
        <v>106532</v>
      </c>
      <c r="Y35" s="322"/>
      <c r="Z35" s="322">
        <f t="shared" si="7"/>
        <v>48718</v>
      </c>
      <c r="AA35" s="322"/>
      <c r="AB35" s="322"/>
      <c r="AC35" s="322"/>
      <c r="AD35" s="322"/>
      <c r="AE35" s="322"/>
      <c r="AF35" s="322"/>
      <c r="AG35" s="322"/>
      <c r="AJ35" s="346" t="s">
        <v>1382</v>
      </c>
      <c r="AL35" s="346">
        <f>AG17</f>
        <v>-870573</v>
      </c>
    </row>
    <row r="36" spans="2:38" ht="18" customHeight="1">
      <c r="B36" s="346" t="s">
        <v>1371</v>
      </c>
      <c r="E36" s="322">
        <v>3392675</v>
      </c>
      <c r="F36" s="322"/>
      <c r="G36" s="322">
        <v>0</v>
      </c>
      <c r="H36" s="322"/>
      <c r="I36" s="322">
        <v>0</v>
      </c>
      <c r="J36" s="322"/>
      <c r="K36" s="322"/>
      <c r="L36" s="322">
        <v>3392675</v>
      </c>
      <c r="M36" s="322"/>
      <c r="N36" s="418">
        <v>20</v>
      </c>
      <c r="O36" s="322"/>
      <c r="P36" s="322">
        <v>2173692</v>
      </c>
      <c r="Q36" s="322"/>
      <c r="R36" s="322">
        <v>0</v>
      </c>
      <c r="S36" s="322"/>
      <c r="T36" s="322">
        <v>0</v>
      </c>
      <c r="U36" s="322"/>
      <c r="V36" s="322">
        <v>243797</v>
      </c>
      <c r="W36" s="322"/>
      <c r="X36" s="322">
        <f t="shared" si="6"/>
        <v>2417489</v>
      </c>
      <c r="Y36" s="322"/>
      <c r="Z36" s="322">
        <f t="shared" si="7"/>
        <v>975186</v>
      </c>
      <c r="AA36" s="322"/>
      <c r="AB36" s="322"/>
      <c r="AC36" s="322"/>
      <c r="AD36" s="322"/>
      <c r="AE36" s="322"/>
      <c r="AF36" s="322"/>
      <c r="AG36" s="322"/>
    </row>
    <row r="37" spans="2:38" ht="18" customHeight="1">
      <c r="B37" s="346" t="s">
        <v>1383</v>
      </c>
      <c r="E37" s="322">
        <v>73000</v>
      </c>
      <c r="F37" s="322"/>
      <c r="G37" s="322">
        <v>0</v>
      </c>
      <c r="H37" s="322"/>
      <c r="I37" s="322">
        <v>0</v>
      </c>
      <c r="J37" s="322"/>
      <c r="K37" s="322"/>
      <c r="L37" s="322">
        <v>73000</v>
      </c>
      <c r="M37" s="322"/>
      <c r="N37" s="418">
        <v>20</v>
      </c>
      <c r="O37" s="322"/>
      <c r="P37" s="322">
        <v>70109</v>
      </c>
      <c r="Q37" s="322"/>
      <c r="R37" s="322">
        <v>0</v>
      </c>
      <c r="S37" s="322"/>
      <c r="T37" s="322">
        <v>0</v>
      </c>
      <c r="U37" s="322"/>
      <c r="V37" s="322">
        <v>578</v>
      </c>
      <c r="W37" s="322"/>
      <c r="X37" s="322">
        <f t="shared" si="6"/>
        <v>70687</v>
      </c>
      <c r="Y37" s="322"/>
      <c r="Z37" s="322">
        <f t="shared" si="7"/>
        <v>2313</v>
      </c>
      <c r="AA37" s="322"/>
      <c r="AB37" s="322"/>
      <c r="AC37" s="322"/>
      <c r="AD37" s="322"/>
      <c r="AE37" s="322"/>
      <c r="AF37" s="322"/>
      <c r="AG37" s="322"/>
      <c r="AH37" s="346">
        <v>954386</v>
      </c>
      <c r="AK37" s="399">
        <f>SUM(AK29:AK36)</f>
        <v>1520580</v>
      </c>
      <c r="AL37" s="346">
        <f>SUM(AL34:AL36)</f>
        <v>-1112388</v>
      </c>
    </row>
    <row r="38" spans="2:38" ht="15" hidden="1" customHeight="1">
      <c r="E38" s="322"/>
      <c r="F38" s="322"/>
      <c r="G38" s="322"/>
      <c r="H38" s="322"/>
      <c r="I38" s="322"/>
      <c r="J38" s="322"/>
      <c r="K38" s="322"/>
      <c r="L38" s="322"/>
      <c r="M38" s="322"/>
      <c r="N38" s="418"/>
      <c r="O38" s="322"/>
      <c r="P38" s="322"/>
      <c r="Q38" s="322"/>
      <c r="R38" s="322"/>
      <c r="S38" s="322"/>
      <c r="T38" s="322"/>
      <c r="U38" s="322"/>
      <c r="V38" s="322"/>
      <c r="W38" s="322"/>
      <c r="X38" s="322"/>
      <c r="Y38" s="322"/>
      <c r="Z38" s="322"/>
      <c r="AA38" s="322"/>
      <c r="AB38" s="322"/>
      <c r="AC38" s="322"/>
      <c r="AD38" s="322"/>
      <c r="AE38" s="322"/>
      <c r="AF38" s="322"/>
      <c r="AG38" s="322"/>
    </row>
    <row r="39" spans="2:38" hidden="1">
      <c r="B39" s="406"/>
      <c r="E39" s="322"/>
      <c r="F39" s="322"/>
      <c r="G39" s="322"/>
      <c r="H39" s="322"/>
      <c r="I39" s="322"/>
      <c r="J39" s="322"/>
      <c r="K39" s="322"/>
      <c r="L39" s="322"/>
      <c r="M39" s="322"/>
      <c r="N39" s="418"/>
      <c r="O39" s="322"/>
      <c r="P39" s="322"/>
      <c r="Q39" s="322"/>
      <c r="R39" s="322"/>
      <c r="S39" s="322"/>
      <c r="T39" s="322"/>
      <c r="U39" s="322"/>
      <c r="V39" s="322"/>
      <c r="W39" s="322"/>
      <c r="X39" s="322"/>
      <c r="Y39" s="322"/>
      <c r="Z39" s="322"/>
      <c r="AA39" s="322"/>
      <c r="AB39" s="322"/>
      <c r="AC39" s="322"/>
      <c r="AD39" s="322"/>
      <c r="AE39" s="322"/>
      <c r="AF39" s="322"/>
      <c r="AG39" s="322"/>
    </row>
    <row r="40" spans="2:38" ht="15" hidden="1" customHeight="1">
      <c r="B40" s="407"/>
      <c r="E40" s="322"/>
      <c r="F40" s="322"/>
      <c r="G40" s="322"/>
      <c r="H40" s="322"/>
      <c r="I40" s="322"/>
      <c r="J40" s="322"/>
      <c r="K40" s="322"/>
      <c r="L40" s="322"/>
      <c r="M40" s="322"/>
      <c r="N40" s="418"/>
      <c r="O40" s="322"/>
      <c r="P40" s="322"/>
      <c r="Q40" s="322"/>
      <c r="R40" s="322"/>
      <c r="S40" s="322"/>
      <c r="T40" s="322"/>
      <c r="U40" s="322"/>
      <c r="V40" s="322"/>
      <c r="W40" s="322"/>
      <c r="X40" s="322"/>
      <c r="Y40" s="322"/>
      <c r="Z40" s="322"/>
      <c r="AA40" s="322"/>
      <c r="AB40" s="322"/>
      <c r="AC40" s="322"/>
      <c r="AD40" s="322"/>
      <c r="AE40" s="322"/>
      <c r="AF40" s="322"/>
      <c r="AG40" s="322"/>
    </row>
    <row r="41" spans="2:38" hidden="1">
      <c r="E41" s="338"/>
      <c r="F41" s="338"/>
      <c r="G41" s="338"/>
      <c r="H41" s="338"/>
      <c r="I41" s="338"/>
      <c r="J41" s="338"/>
      <c r="K41" s="338"/>
      <c r="L41" s="338"/>
      <c r="M41" s="322"/>
      <c r="N41" s="418"/>
      <c r="O41" s="322"/>
      <c r="P41" s="322"/>
      <c r="Q41" s="322"/>
      <c r="R41" s="322"/>
      <c r="S41" s="322"/>
      <c r="T41" s="322"/>
      <c r="U41" s="322"/>
      <c r="V41" s="322"/>
      <c r="W41" s="322"/>
      <c r="X41" s="322"/>
      <c r="Y41" s="338"/>
      <c r="Z41" s="322"/>
      <c r="AA41" s="322"/>
      <c r="AB41" s="322"/>
      <c r="AC41" s="322"/>
      <c r="AD41" s="322"/>
      <c r="AE41" s="322"/>
      <c r="AF41" s="322"/>
      <c r="AG41" s="322"/>
    </row>
    <row r="42" spans="2:38" ht="12" customHeight="1">
      <c r="E42" s="338"/>
      <c r="F42" s="338"/>
      <c r="G42" s="338"/>
      <c r="H42" s="338"/>
      <c r="I42" s="338"/>
      <c r="J42" s="338"/>
      <c r="K42" s="338"/>
      <c r="L42" s="338"/>
      <c r="M42" s="322"/>
      <c r="N42" s="418"/>
      <c r="O42" s="322"/>
      <c r="P42" s="322"/>
      <c r="Q42" s="322"/>
      <c r="R42" s="322"/>
      <c r="S42" s="322"/>
      <c r="T42" s="322"/>
      <c r="U42" s="322"/>
      <c r="V42" s="322"/>
      <c r="W42" s="322"/>
      <c r="X42" s="322"/>
      <c r="Y42" s="338"/>
      <c r="Z42" s="322"/>
      <c r="AA42" s="322"/>
      <c r="AB42" s="322"/>
      <c r="AC42" s="322"/>
      <c r="AD42" s="322"/>
      <c r="AE42" s="322"/>
      <c r="AF42" s="322"/>
      <c r="AG42" s="322"/>
    </row>
    <row r="43" spans="2:38">
      <c r="B43" s="1376" t="s">
        <v>728</v>
      </c>
      <c r="C43" s="398" t="s">
        <v>957</v>
      </c>
      <c r="E43" s="414">
        <f>SUM(E32:F41)</f>
        <v>5136492</v>
      </c>
      <c r="F43" s="414"/>
      <c r="G43" s="414">
        <f>SUM(G32:G41)</f>
        <v>0</v>
      </c>
      <c r="H43" s="414"/>
      <c r="I43" s="414">
        <f>SUM(I32:I41)</f>
        <v>0</v>
      </c>
      <c r="J43" s="414"/>
      <c r="K43" s="414"/>
      <c r="L43" s="414">
        <f>SUM(L32:L41)</f>
        <v>5136492</v>
      </c>
      <c r="M43" s="322"/>
      <c r="N43" s="418"/>
      <c r="O43" s="322"/>
      <c r="P43" s="414">
        <f>SUM(P32:P41)</f>
        <v>3552003</v>
      </c>
      <c r="Q43" s="414">
        <f>SUM(Q32:Q41)</f>
        <v>0</v>
      </c>
      <c r="R43" s="414">
        <f>SUM(R32:R41)</f>
        <v>0</v>
      </c>
      <c r="S43" s="414"/>
      <c r="T43" s="414">
        <f>SUM(T32:T41)</f>
        <v>0</v>
      </c>
      <c r="U43" s="414"/>
      <c r="V43" s="414">
        <f>SUM(V32:V41)</f>
        <v>284938</v>
      </c>
      <c r="W43" s="414">
        <f>SUM(W32:W41)</f>
        <v>0</v>
      </c>
      <c r="X43" s="414">
        <f>SUM(X32:X41)</f>
        <v>3836941</v>
      </c>
      <c r="Y43" s="338"/>
      <c r="Z43" s="414">
        <f>SUM(Z32:Z41)</f>
        <v>1299551</v>
      </c>
      <c r="AA43" s="338"/>
      <c r="AB43" s="338"/>
      <c r="AC43" s="338"/>
      <c r="AD43" s="338"/>
      <c r="AE43" s="338"/>
      <c r="AF43" s="338"/>
      <c r="AG43" s="338"/>
      <c r="AH43" s="346">
        <f>5278*6</f>
        <v>31668</v>
      </c>
    </row>
    <row r="44" spans="2:38">
      <c r="B44" s="398"/>
      <c r="C44" s="398"/>
      <c r="E44" s="338"/>
      <c r="F44" s="338"/>
      <c r="G44" s="338"/>
      <c r="H44" s="338"/>
      <c r="I44" s="338"/>
      <c r="J44" s="338"/>
      <c r="K44" s="338"/>
      <c r="L44" s="338"/>
      <c r="M44" s="322"/>
      <c r="N44" s="418"/>
      <c r="O44" s="322"/>
      <c r="P44" s="338"/>
      <c r="Q44" s="338"/>
      <c r="R44" s="338"/>
      <c r="S44" s="338"/>
      <c r="T44" s="338"/>
      <c r="U44" s="338"/>
      <c r="V44" s="338"/>
      <c r="W44" s="338"/>
      <c r="X44" s="338"/>
      <c r="Y44" s="338"/>
      <c r="Z44" s="338"/>
      <c r="AA44" s="338"/>
      <c r="AB44" s="338"/>
      <c r="AC44" s="338"/>
      <c r="AD44" s="338"/>
      <c r="AE44" s="338"/>
      <c r="AF44" s="338"/>
      <c r="AG44" s="338"/>
    </row>
    <row r="45" spans="2:38">
      <c r="B45" s="398"/>
      <c r="C45" s="398"/>
      <c r="E45" s="338"/>
      <c r="F45" s="338"/>
      <c r="G45" s="338"/>
      <c r="H45" s="338"/>
      <c r="I45" s="338"/>
      <c r="J45" s="338"/>
      <c r="K45" s="338"/>
      <c r="L45" s="338"/>
      <c r="M45" s="322"/>
      <c r="N45" s="418"/>
      <c r="O45" s="322"/>
      <c r="P45" s="338"/>
      <c r="Q45" s="338"/>
      <c r="R45" s="338"/>
      <c r="S45" s="338"/>
      <c r="T45" s="338"/>
      <c r="U45" s="338"/>
      <c r="V45" s="338"/>
      <c r="W45" s="338"/>
      <c r="X45" s="338"/>
      <c r="Y45" s="338"/>
      <c r="Z45" s="338"/>
      <c r="AA45" s="338"/>
      <c r="AB45" s="338"/>
      <c r="AC45" s="338"/>
      <c r="AD45" s="338"/>
      <c r="AE45" s="338"/>
      <c r="AF45" s="338"/>
      <c r="AG45" s="338"/>
    </row>
    <row r="46" spans="2:38">
      <c r="AH46" s="346">
        <f>5628*6</f>
        <v>33768</v>
      </c>
    </row>
  </sheetData>
  <mergeCells count="8">
    <mergeCell ref="T5:T6"/>
    <mergeCell ref="T27:T28"/>
    <mergeCell ref="B5:C5"/>
    <mergeCell ref="B27:C27"/>
    <mergeCell ref="G5:G6"/>
    <mergeCell ref="G27:G28"/>
    <mergeCell ref="R5:R6"/>
    <mergeCell ref="R27:R28"/>
  </mergeCells>
  <printOptions horizontalCentered="1"/>
  <pageMargins left="0.3" right="0.2" top="0.65" bottom="0.2" header="0.49" footer="0.511811023622047"/>
  <pageSetup scale="79" fitToHeight="0"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Z56"/>
  <sheetViews>
    <sheetView view="pageBreakPreview" topLeftCell="A52" zoomScale="91" zoomScaleNormal="100" workbookViewId="0">
      <selection activeCell="B54" sqref="B54:P54"/>
    </sheetView>
  </sheetViews>
  <sheetFormatPr defaultColWidth="8.81640625" defaultRowHeight="14.5"/>
  <cols>
    <col min="1" max="1" width="4.81640625" customWidth="1"/>
    <col min="2" max="2" width="26.54296875" customWidth="1"/>
    <col min="3" max="3" width="1.453125" customWidth="1"/>
    <col min="4" max="4" width="17" customWidth="1"/>
    <col min="5" max="5" width="2.453125" customWidth="1"/>
    <col min="6" max="6" width="17" customWidth="1"/>
    <col min="7" max="7" width="2" customWidth="1"/>
    <col min="8" max="8" width="17" customWidth="1"/>
    <col min="9" max="9" width="2.453125" customWidth="1"/>
    <col min="10" max="10" width="17" customWidth="1"/>
    <col min="11" max="11" width="1.453125" customWidth="1"/>
    <col min="12" max="12" width="17" customWidth="1"/>
    <col min="13" max="13" width="0.453125" customWidth="1"/>
    <col min="14" max="14" width="17" customWidth="1"/>
    <col min="15" max="15" width="0.453125" customWidth="1"/>
    <col min="16" max="16" width="17" customWidth="1"/>
    <col min="17" max="18" width="0.453125" customWidth="1"/>
    <col min="19" max="19" width="17" customWidth="1"/>
    <col min="20" max="20" width="9.81640625" customWidth="1"/>
  </cols>
  <sheetData>
    <row r="1" spans="1:26">
      <c r="A1" s="355"/>
      <c r="B1" s="355"/>
      <c r="C1" s="355"/>
      <c r="D1" s="355"/>
      <c r="E1" s="355"/>
      <c r="F1" s="355"/>
      <c r="G1" s="355"/>
      <c r="H1" s="355"/>
      <c r="I1" s="355"/>
      <c r="J1" s="355"/>
      <c r="K1" s="355"/>
      <c r="L1" s="355"/>
      <c r="M1" s="355"/>
      <c r="N1" s="355"/>
      <c r="O1" s="355"/>
      <c r="P1" s="355"/>
      <c r="Q1" s="355"/>
      <c r="R1" s="355"/>
      <c r="S1" s="355"/>
    </row>
    <row r="2" spans="1:26">
      <c r="A2" s="356">
        <v>5</v>
      </c>
      <c r="B2" s="357" t="s">
        <v>1384</v>
      </c>
      <c r="C2" s="358"/>
      <c r="D2" s="359">
        <v>2020</v>
      </c>
      <c r="E2" s="355"/>
      <c r="F2" s="380">
        <v>2019</v>
      </c>
      <c r="G2" s="355"/>
      <c r="H2" s="355"/>
      <c r="I2" s="360"/>
      <c r="J2" s="360"/>
      <c r="K2" s="360"/>
      <c r="L2" s="355"/>
      <c r="M2" s="387"/>
      <c r="N2" s="355"/>
      <c r="O2" s="360"/>
      <c r="P2" s="355"/>
      <c r="Q2" s="355"/>
      <c r="R2" s="355"/>
      <c r="S2" s="355"/>
    </row>
    <row r="3" spans="1:26">
      <c r="A3" s="355"/>
      <c r="B3" s="360"/>
      <c r="C3" s="360"/>
      <c r="D3" s="361" t="s">
        <v>957</v>
      </c>
      <c r="E3" s="355"/>
      <c r="F3" s="361" t="s">
        <v>957</v>
      </c>
      <c r="G3" s="355"/>
      <c r="H3" s="355"/>
      <c r="I3" s="360"/>
      <c r="J3" s="360"/>
      <c r="K3" s="360"/>
      <c r="L3" s="355"/>
      <c r="M3" s="388"/>
      <c r="N3" s="355"/>
      <c r="O3" s="360"/>
      <c r="P3" s="355"/>
      <c r="Q3" s="355"/>
      <c r="R3" s="355"/>
      <c r="S3" s="355"/>
    </row>
    <row r="4" spans="1:26">
      <c r="A4" s="355"/>
      <c r="B4" s="355"/>
      <c r="C4" s="360"/>
      <c r="D4" s="355"/>
      <c r="E4" s="355"/>
      <c r="F4" s="355"/>
      <c r="G4" s="355"/>
      <c r="H4" s="355"/>
      <c r="I4" s="360"/>
      <c r="J4" s="360"/>
      <c r="K4" s="360"/>
      <c r="L4" s="384"/>
      <c r="M4" s="389"/>
      <c r="N4" s="355"/>
      <c r="O4" s="360"/>
      <c r="P4" s="355"/>
      <c r="Q4" s="355"/>
      <c r="R4" s="355"/>
      <c r="S4" s="355"/>
    </row>
    <row r="5" spans="1:26">
      <c r="A5" s="362"/>
      <c r="B5" s="360" t="s">
        <v>1385</v>
      </c>
      <c r="C5" s="360"/>
      <c r="D5" s="363">
        <f>S50</f>
        <v>14831979.3135</v>
      </c>
      <c r="E5" s="355"/>
      <c r="F5" s="363">
        <f>S20</f>
        <v>13782124</v>
      </c>
      <c r="G5" s="355"/>
      <c r="H5" s="355"/>
      <c r="I5" s="360"/>
      <c r="J5" s="360"/>
      <c r="K5" s="360"/>
      <c r="L5" s="355"/>
      <c r="M5" s="389"/>
      <c r="N5" s="355"/>
      <c r="O5" s="360"/>
      <c r="P5" s="355"/>
      <c r="Q5" s="355"/>
      <c r="R5" s="355"/>
      <c r="S5" s="355"/>
    </row>
    <row r="6" spans="1:26">
      <c r="A6" s="360"/>
      <c r="B6" s="360"/>
      <c r="C6" s="360"/>
      <c r="D6" s="355"/>
      <c r="E6" s="355"/>
      <c r="F6" s="355"/>
      <c r="G6" s="360"/>
      <c r="H6" s="355"/>
      <c r="I6" s="360"/>
      <c r="J6" s="360"/>
      <c r="K6" s="360"/>
      <c r="L6" s="355"/>
      <c r="M6" s="360"/>
      <c r="N6" s="360"/>
      <c r="O6" s="360"/>
      <c r="P6" s="390"/>
      <c r="Q6" s="390"/>
      <c r="R6" s="355"/>
      <c r="S6" s="360"/>
    </row>
    <row r="7" spans="1:26">
      <c r="A7" s="360"/>
      <c r="B7" s="360"/>
      <c r="C7" s="360"/>
      <c r="D7" s="360"/>
      <c r="E7" s="360"/>
      <c r="F7" s="360"/>
      <c r="G7" s="360"/>
      <c r="H7" s="360"/>
      <c r="I7" s="360"/>
      <c r="J7" s="360"/>
      <c r="K7" s="360"/>
      <c r="L7" s="360"/>
      <c r="M7" s="360"/>
      <c r="N7" s="360"/>
      <c r="O7" s="360"/>
      <c r="P7" s="360"/>
      <c r="Q7" s="360"/>
      <c r="R7" s="355"/>
      <c r="S7" s="355"/>
    </row>
    <row r="8" spans="1:26">
      <c r="A8" s="364">
        <f>A2+0.1</f>
        <v>5.0999999999999996</v>
      </c>
      <c r="B8" s="358" t="s">
        <v>1122</v>
      </c>
      <c r="C8" s="358"/>
      <c r="D8" s="360"/>
      <c r="E8" s="360"/>
      <c r="F8" s="360"/>
      <c r="G8" s="360"/>
      <c r="H8" s="360"/>
      <c r="I8" s="360"/>
      <c r="J8" s="360"/>
      <c r="K8" s="360"/>
      <c r="L8" s="360"/>
      <c r="M8" s="360"/>
      <c r="N8" s="360"/>
      <c r="O8" s="360"/>
      <c r="P8" s="360"/>
      <c r="Q8" s="360"/>
      <c r="R8" s="355"/>
      <c r="S8" s="355"/>
    </row>
    <row r="9" spans="1:26">
      <c r="A9" s="365"/>
      <c r="B9" s="360"/>
      <c r="C9" s="358"/>
      <c r="D9" s="360"/>
      <c r="E9" s="360"/>
      <c r="F9" s="360"/>
      <c r="G9" s="360"/>
      <c r="H9" s="360"/>
      <c r="I9" s="360"/>
      <c r="J9" s="360"/>
      <c r="K9" s="360"/>
      <c r="L9" s="360"/>
      <c r="M9" s="360"/>
      <c r="N9" s="360"/>
      <c r="O9" s="360"/>
      <c r="P9" s="360"/>
      <c r="Q9" s="360"/>
      <c r="R9" s="355"/>
      <c r="S9" s="355"/>
    </row>
    <row r="10" spans="1:26">
      <c r="A10" s="366"/>
      <c r="B10" s="360"/>
      <c r="C10" s="358"/>
      <c r="D10" s="1529" t="s">
        <v>1123</v>
      </c>
      <c r="E10" s="1530"/>
      <c r="F10" s="1530"/>
      <c r="G10" s="1530"/>
      <c r="H10" s="1530"/>
      <c r="I10" s="1530"/>
      <c r="J10" s="1530"/>
      <c r="K10" s="1530"/>
      <c r="L10" s="1530"/>
      <c r="M10" s="1530"/>
      <c r="N10" s="1530"/>
      <c r="O10" s="1530"/>
      <c r="P10" s="1531"/>
      <c r="Q10" s="365"/>
      <c r="R10" s="355"/>
      <c r="S10" s="1536" t="s">
        <v>1386</v>
      </c>
    </row>
    <row r="11" spans="1:26" ht="25">
      <c r="A11" s="366"/>
      <c r="B11" s="360"/>
      <c r="C11" s="360"/>
      <c r="D11" s="1377" t="s">
        <v>1364</v>
      </c>
      <c r="E11" s="381"/>
      <c r="F11" s="382" t="s">
        <v>1365</v>
      </c>
      <c r="G11" s="381"/>
      <c r="H11" s="367" t="s">
        <v>1366</v>
      </c>
      <c r="I11" s="381"/>
      <c r="J11" s="382" t="s">
        <v>1367</v>
      </c>
      <c r="K11" s="381"/>
      <c r="L11" s="367" t="s">
        <v>1368</v>
      </c>
      <c r="M11" s="381"/>
      <c r="N11" s="367" t="s">
        <v>1369</v>
      </c>
      <c r="O11" s="381"/>
      <c r="P11" s="367" t="s">
        <v>1370</v>
      </c>
      <c r="Q11" s="381"/>
      <c r="R11" s="355"/>
      <c r="S11" s="1537"/>
      <c r="T11" s="346"/>
      <c r="U11" s="346"/>
      <c r="V11" s="346"/>
      <c r="W11" s="346"/>
      <c r="X11" s="346"/>
      <c r="Y11" s="396"/>
      <c r="Z11" s="346"/>
    </row>
    <row r="12" spans="1:26">
      <c r="A12" s="366"/>
      <c r="B12" s="360"/>
      <c r="C12" s="360"/>
      <c r="D12" s="1532" t="s">
        <v>1130</v>
      </c>
      <c r="E12" s="1533"/>
      <c r="F12" s="1533"/>
      <c r="G12" s="1533"/>
      <c r="H12" s="1533"/>
      <c r="I12" s="1533"/>
      <c r="J12" s="1533"/>
      <c r="K12" s="1533"/>
      <c r="L12" s="1533"/>
      <c r="M12" s="1533"/>
      <c r="N12" s="1533"/>
      <c r="O12" s="1533"/>
      <c r="P12" s="1533"/>
      <c r="Q12" s="1533"/>
      <c r="R12" s="1533"/>
      <c r="S12" s="1534"/>
    </row>
    <row r="13" spans="1:26">
      <c r="A13" s="366"/>
      <c r="B13" s="360"/>
      <c r="C13" s="360"/>
      <c r="D13" s="368"/>
      <c r="E13" s="368"/>
      <c r="F13" s="368"/>
      <c r="G13" s="368"/>
      <c r="H13" s="368"/>
      <c r="I13" s="368"/>
      <c r="J13" s="368"/>
      <c r="K13" s="368"/>
      <c r="L13" s="368"/>
      <c r="M13" s="368"/>
      <c r="N13" s="368"/>
      <c r="O13" s="368"/>
      <c r="P13" s="368"/>
      <c r="Q13" s="368"/>
      <c r="R13" s="391"/>
      <c r="S13" s="391"/>
    </row>
    <row r="14" spans="1:26">
      <c r="A14" s="366"/>
      <c r="B14" s="358" t="s">
        <v>1156</v>
      </c>
      <c r="C14" s="360"/>
      <c r="D14" s="355"/>
      <c r="E14" s="355"/>
      <c r="F14" s="355"/>
      <c r="G14" s="368"/>
      <c r="H14" s="369"/>
      <c r="I14" s="368"/>
      <c r="J14" s="369"/>
      <c r="K14" s="368"/>
      <c r="L14" s="369"/>
      <c r="M14" s="368"/>
      <c r="N14" s="369"/>
      <c r="O14" s="368"/>
      <c r="P14" s="369"/>
      <c r="Q14" s="368"/>
      <c r="R14" s="391"/>
      <c r="S14" s="369"/>
    </row>
    <row r="15" spans="1:26">
      <c r="A15" s="366"/>
      <c r="B15" s="360" t="s">
        <v>1132</v>
      </c>
      <c r="C15" s="360"/>
      <c r="D15" s="368"/>
      <c r="E15" s="368"/>
      <c r="F15" s="368"/>
      <c r="G15" s="368"/>
      <c r="H15" s="368"/>
      <c r="I15" s="368"/>
      <c r="J15" s="368"/>
      <c r="K15" s="368"/>
      <c r="L15" s="368"/>
      <c r="M15" s="368"/>
      <c r="N15" s="368"/>
      <c r="O15" s="368"/>
      <c r="P15" s="368"/>
      <c r="Q15" s="368"/>
      <c r="R15" s="391"/>
      <c r="S15" s="391"/>
    </row>
    <row r="16" spans="1:26" ht="15.5">
      <c r="A16" s="366"/>
      <c r="B16" s="360" t="s">
        <v>1133</v>
      </c>
      <c r="C16" s="360"/>
      <c r="D16" s="322">
        <v>700000</v>
      </c>
      <c r="E16" s="368"/>
      <c r="F16" s="322">
        <v>112428</v>
      </c>
      <c r="G16" s="368"/>
      <c r="H16" s="322">
        <f>94175+84293+180890</f>
        <v>359358</v>
      </c>
      <c r="I16" s="368"/>
      <c r="J16" s="322">
        <f>282722+487639+130000+1670980+160000+45000+114618</f>
        <v>2890959</v>
      </c>
      <c r="K16" s="368"/>
      <c r="L16" s="322">
        <f>198500+533500</f>
        <v>732000</v>
      </c>
      <c r="M16" s="368"/>
      <c r="N16" s="322">
        <v>1068000</v>
      </c>
      <c r="O16" s="368"/>
      <c r="P16" s="322">
        <v>8780816</v>
      </c>
      <c r="Q16" s="368"/>
      <c r="R16" s="391"/>
      <c r="S16" s="391">
        <f>SUM(D16:Q16)</f>
        <v>14643561</v>
      </c>
    </row>
    <row r="17" spans="1:20">
      <c r="A17" s="366"/>
      <c r="B17" s="360" t="s">
        <v>1157</v>
      </c>
      <c r="C17" s="360"/>
      <c r="D17" s="369">
        <v>0</v>
      </c>
      <c r="E17" s="368"/>
      <c r="F17" s="369">
        <v>0</v>
      </c>
      <c r="G17" s="368"/>
      <c r="H17" s="369">
        <v>0</v>
      </c>
      <c r="I17" s="368"/>
      <c r="J17" s="369">
        <v>0</v>
      </c>
      <c r="K17" s="368"/>
      <c r="L17" s="369">
        <v>0</v>
      </c>
      <c r="M17" s="368"/>
      <c r="N17" s="369">
        <v>0</v>
      </c>
      <c r="O17" s="368"/>
      <c r="P17" s="369">
        <v>0</v>
      </c>
      <c r="Q17" s="368"/>
      <c r="R17" s="391"/>
      <c r="S17" s="369">
        <v>0</v>
      </c>
    </row>
    <row r="18" spans="1:20">
      <c r="A18" s="366"/>
      <c r="B18" s="360" t="s">
        <v>759</v>
      </c>
      <c r="C18" s="360"/>
      <c r="D18" s="368">
        <f>-D16*D54*4/12</f>
        <v>-35000</v>
      </c>
      <c r="E18" s="368"/>
      <c r="F18" s="368">
        <v>-4479</v>
      </c>
      <c r="G18" s="368"/>
      <c r="H18" s="368">
        <v>-61441</v>
      </c>
      <c r="I18" s="368"/>
      <c r="J18" s="368">
        <v>-163328</v>
      </c>
      <c r="K18" s="368"/>
      <c r="L18" s="368">
        <v>-27363</v>
      </c>
      <c r="M18" s="368"/>
      <c r="N18" s="368">
        <v>-37550</v>
      </c>
      <c r="O18" s="368"/>
      <c r="P18" s="368">
        <v>-532276</v>
      </c>
      <c r="Q18" s="368"/>
      <c r="R18" s="391"/>
      <c r="S18" s="391">
        <f>SUM(D18:Q18)</f>
        <v>-861437</v>
      </c>
      <c r="T18" s="202"/>
    </row>
    <row r="19" spans="1:20">
      <c r="A19" s="366"/>
      <c r="B19" s="360"/>
      <c r="C19" s="360"/>
      <c r="D19" s="369"/>
      <c r="E19" s="368"/>
      <c r="F19" s="369"/>
      <c r="G19" s="368"/>
      <c r="H19" s="369"/>
      <c r="I19" s="368"/>
      <c r="J19" s="369"/>
      <c r="K19" s="368"/>
      <c r="L19" s="369"/>
      <c r="M19" s="368"/>
      <c r="N19" s="369"/>
      <c r="O19" s="368"/>
      <c r="P19" s="369"/>
      <c r="Q19" s="368"/>
      <c r="R19" s="391"/>
      <c r="S19" s="369"/>
    </row>
    <row r="20" spans="1:20">
      <c r="A20" s="366"/>
      <c r="B20" s="358" t="s">
        <v>1137</v>
      </c>
      <c r="C20" s="360"/>
      <c r="D20" s="370">
        <f>SUM(D16:D19)</f>
        <v>665000</v>
      </c>
      <c r="E20" s="368"/>
      <c r="F20" s="370">
        <f>SUM(F16:F19)</f>
        <v>107949</v>
      </c>
      <c r="G20" s="368"/>
      <c r="H20" s="370">
        <f>SUM(H16:H19)</f>
        <v>297917</v>
      </c>
      <c r="I20" s="368"/>
      <c r="J20" s="370">
        <f>SUM(J16:J19)</f>
        <v>2727631</v>
      </c>
      <c r="K20" s="368"/>
      <c r="L20" s="370">
        <f>SUM(L16:L19)</f>
        <v>704637</v>
      </c>
      <c r="M20" s="368"/>
      <c r="N20" s="370">
        <f>SUM(N16:N19)</f>
        <v>1030450</v>
      </c>
      <c r="O20" s="368"/>
      <c r="P20" s="370">
        <f>SUM(P16:P19)</f>
        <v>8248540</v>
      </c>
      <c r="Q20" s="368"/>
      <c r="R20" s="391"/>
      <c r="S20" s="370">
        <f>SUM(S16:S19)</f>
        <v>13782124</v>
      </c>
      <c r="T20" s="392">
        <f>S20-12730250</f>
        <v>1051874</v>
      </c>
    </row>
    <row r="21" spans="1:20">
      <c r="A21" s="366"/>
      <c r="B21" s="360"/>
      <c r="C21" s="360"/>
      <c r="D21" s="369"/>
      <c r="E21" s="368"/>
      <c r="F21" s="369"/>
      <c r="G21" s="368"/>
      <c r="H21" s="369"/>
      <c r="I21" s="368"/>
      <c r="J21" s="369"/>
      <c r="K21" s="368"/>
      <c r="L21" s="369"/>
      <c r="M21" s="368"/>
      <c r="N21" s="369"/>
      <c r="O21" s="368"/>
      <c r="P21" s="369"/>
      <c r="Q21" s="368"/>
      <c r="R21" s="391"/>
      <c r="S21" s="369"/>
    </row>
    <row r="22" spans="1:20">
      <c r="A22" s="366"/>
      <c r="B22" s="358" t="s">
        <v>1159</v>
      </c>
      <c r="C22" s="360"/>
      <c r="D22" s="369"/>
      <c r="E22" s="368"/>
      <c r="F22" s="369"/>
      <c r="G22" s="368"/>
      <c r="H22" s="369"/>
      <c r="I22" s="368"/>
      <c r="J22" s="369"/>
      <c r="K22" s="368"/>
      <c r="L22" s="369"/>
      <c r="M22" s="368"/>
      <c r="N22" s="369"/>
      <c r="O22" s="368"/>
      <c r="P22" s="369"/>
      <c r="Q22" s="368"/>
      <c r="R22" s="391"/>
      <c r="S22" s="369"/>
    </row>
    <row r="23" spans="1:20">
      <c r="A23" s="366"/>
      <c r="B23" s="360"/>
      <c r="C23" s="360"/>
      <c r="D23" s="369"/>
      <c r="E23" s="368"/>
      <c r="F23" s="369"/>
      <c r="G23" s="368"/>
      <c r="H23" s="369"/>
      <c r="I23" s="368"/>
      <c r="J23" s="369"/>
      <c r="K23" s="368"/>
      <c r="L23" s="369"/>
      <c r="M23" s="368"/>
      <c r="N23" s="369"/>
      <c r="O23" s="368"/>
      <c r="P23" s="369"/>
      <c r="Q23" s="368"/>
      <c r="R23" s="391"/>
      <c r="S23" s="369"/>
    </row>
    <row r="24" spans="1:20">
      <c r="A24" s="366"/>
      <c r="B24" s="360" t="s">
        <v>1139</v>
      </c>
      <c r="C24" s="360"/>
      <c r="D24" s="368">
        <f>D16</f>
        <v>700000</v>
      </c>
      <c r="E24" s="368"/>
      <c r="F24" s="368">
        <f>F16</f>
        <v>112428</v>
      </c>
      <c r="G24" s="368"/>
      <c r="H24" s="368">
        <f>H16</f>
        <v>359358</v>
      </c>
      <c r="I24" s="368"/>
      <c r="J24" s="368">
        <f t="shared" ref="J24:S24" si="0">J16</f>
        <v>2890959</v>
      </c>
      <c r="K24" s="368">
        <f t="shared" si="0"/>
        <v>0</v>
      </c>
      <c r="L24" s="368">
        <f t="shared" si="0"/>
        <v>732000</v>
      </c>
      <c r="M24" s="368">
        <f t="shared" si="0"/>
        <v>0</v>
      </c>
      <c r="N24" s="368">
        <f t="shared" si="0"/>
        <v>1068000</v>
      </c>
      <c r="O24" s="368">
        <f t="shared" si="0"/>
        <v>0</v>
      </c>
      <c r="P24" s="368">
        <f t="shared" si="0"/>
        <v>8780816</v>
      </c>
      <c r="Q24" s="368">
        <f t="shared" si="0"/>
        <v>0</v>
      </c>
      <c r="R24" s="368">
        <f t="shared" si="0"/>
        <v>0</v>
      </c>
      <c r="S24" s="368">
        <f t="shared" si="0"/>
        <v>14643561</v>
      </c>
    </row>
    <row r="25" spans="1:20">
      <c r="A25" s="366"/>
      <c r="B25" s="360" t="s">
        <v>1140</v>
      </c>
      <c r="C25" s="360"/>
      <c r="D25" s="368">
        <f>D18</f>
        <v>-35000</v>
      </c>
      <c r="E25" s="368"/>
      <c r="F25" s="368">
        <f t="shared" ref="F25:S25" si="1">F18</f>
        <v>-4479</v>
      </c>
      <c r="G25" s="368">
        <f t="shared" si="1"/>
        <v>0</v>
      </c>
      <c r="H25" s="368">
        <f t="shared" si="1"/>
        <v>-61441</v>
      </c>
      <c r="I25" s="368"/>
      <c r="J25" s="368">
        <f t="shared" si="1"/>
        <v>-163328</v>
      </c>
      <c r="K25" s="368">
        <f t="shared" si="1"/>
        <v>0</v>
      </c>
      <c r="L25" s="368">
        <f t="shared" si="1"/>
        <v>-27363</v>
      </c>
      <c r="M25" s="368">
        <f t="shared" si="1"/>
        <v>0</v>
      </c>
      <c r="N25" s="368">
        <f t="shared" si="1"/>
        <v>-37550</v>
      </c>
      <c r="O25" s="368">
        <f t="shared" si="1"/>
        <v>0</v>
      </c>
      <c r="P25" s="368">
        <f t="shared" si="1"/>
        <v>-532276</v>
      </c>
      <c r="Q25" s="368">
        <f t="shared" si="1"/>
        <v>0</v>
      </c>
      <c r="R25" s="368">
        <f t="shared" si="1"/>
        <v>0</v>
      </c>
      <c r="S25" s="368">
        <f t="shared" si="1"/>
        <v>-861437</v>
      </c>
    </row>
    <row r="26" spans="1:20">
      <c r="A26" s="366"/>
      <c r="B26" s="360" t="s">
        <v>1141</v>
      </c>
      <c r="C26" s="360"/>
      <c r="D26" s="370">
        <f>D24+D25</f>
        <v>665000</v>
      </c>
      <c r="E26" s="368"/>
      <c r="F26" s="370">
        <f>F24+F25</f>
        <v>107949</v>
      </c>
      <c r="G26" s="368"/>
      <c r="H26" s="370">
        <f>H24+H25</f>
        <v>297917</v>
      </c>
      <c r="I26" s="368"/>
      <c r="J26" s="370">
        <f>J24+J25</f>
        <v>2727631</v>
      </c>
      <c r="K26" s="368"/>
      <c r="L26" s="370">
        <f>L24+L25</f>
        <v>704637</v>
      </c>
      <c r="M26" s="368"/>
      <c r="N26" s="370">
        <f>N24+N25</f>
        <v>1030450</v>
      </c>
      <c r="O26" s="368"/>
      <c r="P26" s="370">
        <f>P24+P25</f>
        <v>8248540</v>
      </c>
      <c r="Q26" s="368"/>
      <c r="R26" s="391"/>
      <c r="S26" s="370">
        <f>S24+S25</f>
        <v>13782124</v>
      </c>
    </row>
    <row r="27" spans="1:20">
      <c r="A27" s="366"/>
      <c r="B27" s="360"/>
      <c r="C27" s="360"/>
      <c r="D27" s="369"/>
      <c r="E27" s="368"/>
      <c r="F27" s="369"/>
      <c r="G27" s="368"/>
      <c r="H27" s="369"/>
      <c r="I27" s="368"/>
      <c r="J27" s="369"/>
      <c r="K27" s="368"/>
      <c r="L27" s="369"/>
      <c r="M27" s="368"/>
      <c r="N27" s="369"/>
      <c r="O27" s="368"/>
      <c r="P27" s="369"/>
      <c r="Q27" s="368"/>
      <c r="R27" s="391"/>
      <c r="S27" s="369"/>
    </row>
    <row r="28" spans="1:20">
      <c r="A28" s="366"/>
      <c r="B28" s="358" t="s">
        <v>1160</v>
      </c>
      <c r="C28" s="360"/>
      <c r="D28" s="369"/>
      <c r="E28" s="368"/>
      <c r="F28" s="369"/>
      <c r="G28" s="368"/>
      <c r="H28" s="369"/>
      <c r="I28" s="368"/>
      <c r="J28" s="369"/>
      <c r="K28" s="368"/>
      <c r="L28" s="369"/>
      <c r="M28" s="368"/>
      <c r="N28" s="369"/>
      <c r="O28" s="368"/>
      <c r="P28" s="369"/>
      <c r="Q28" s="368"/>
      <c r="R28" s="391"/>
      <c r="S28" s="369"/>
    </row>
    <row r="29" spans="1:20">
      <c r="A29" s="366"/>
      <c r="B29" s="360" t="s">
        <v>1132</v>
      </c>
      <c r="C29" s="360"/>
      <c r="D29" s="368">
        <f>D26</f>
        <v>665000</v>
      </c>
      <c r="E29" s="368"/>
      <c r="F29" s="368">
        <f>F26</f>
        <v>107949</v>
      </c>
      <c r="G29" s="368"/>
      <c r="H29" s="368">
        <f>H26</f>
        <v>297917</v>
      </c>
      <c r="I29" s="368"/>
      <c r="J29" s="368">
        <f>J26</f>
        <v>2727631</v>
      </c>
      <c r="K29" s="368"/>
      <c r="L29" s="368">
        <f>L26</f>
        <v>704637</v>
      </c>
      <c r="M29" s="368"/>
      <c r="N29" s="368">
        <f>N26</f>
        <v>1030450</v>
      </c>
      <c r="O29" s="368"/>
      <c r="P29" s="368">
        <f>P26</f>
        <v>8248540</v>
      </c>
      <c r="Q29" s="368"/>
      <c r="R29" s="391"/>
      <c r="S29" s="391">
        <f>SUM(D29:Q29)</f>
        <v>13782124</v>
      </c>
    </row>
    <row r="30" spans="1:20">
      <c r="A30" s="366"/>
      <c r="B30" s="360" t="s">
        <v>1133</v>
      </c>
      <c r="C30" s="360"/>
      <c r="D30" s="371">
        <v>38000</v>
      </c>
      <c r="E30" s="368"/>
      <c r="F30" s="369">
        <v>16200</v>
      </c>
      <c r="G30" s="368"/>
      <c r="H30" s="368">
        <v>0</v>
      </c>
      <c r="I30" s="368"/>
      <c r="J30" s="368">
        <v>70000</v>
      </c>
      <c r="K30" s="368"/>
      <c r="L30" s="368">
        <v>1190000</v>
      </c>
      <c r="M30" s="368"/>
      <c r="N30" s="368">
        <v>0</v>
      </c>
      <c r="O30" s="368"/>
      <c r="P30" s="369">
        <v>0</v>
      </c>
      <c r="Q30" s="368"/>
      <c r="R30" s="391"/>
      <c r="S30" s="391">
        <f>SUM(D30:Q30)</f>
        <v>1314200</v>
      </c>
    </row>
    <row r="31" spans="1:20">
      <c r="A31" s="366"/>
      <c r="B31" s="360"/>
      <c r="C31" s="360"/>
      <c r="D31" s="369"/>
      <c r="E31" s="368"/>
      <c r="F31" s="369"/>
      <c r="G31" s="368"/>
      <c r="H31" s="369"/>
      <c r="I31" s="368"/>
      <c r="J31" s="369"/>
      <c r="K31" s="368"/>
      <c r="L31" s="369"/>
      <c r="M31" s="368"/>
      <c r="N31" s="369"/>
      <c r="O31" s="368"/>
      <c r="P31" s="369"/>
      <c r="Q31" s="368"/>
      <c r="R31" s="391"/>
      <c r="S31" s="369"/>
    </row>
    <row r="32" spans="1:20" hidden="1">
      <c r="A32" s="366"/>
      <c r="B32" s="372" t="s">
        <v>1149</v>
      </c>
      <c r="C32" s="360"/>
      <c r="D32" s="369"/>
      <c r="E32" s="368"/>
      <c r="F32" s="369"/>
      <c r="G32" s="368"/>
      <c r="H32" s="369"/>
      <c r="I32" s="368"/>
      <c r="J32" s="369"/>
      <c r="K32" s="368"/>
      <c r="L32" s="369"/>
      <c r="M32" s="368"/>
      <c r="N32" s="369"/>
      <c r="O32" s="368"/>
      <c r="P32" s="369"/>
      <c r="Q32" s="368"/>
      <c r="R32" s="391"/>
      <c r="S32" s="369"/>
    </row>
    <row r="33" spans="1:19" hidden="1">
      <c r="A33" s="366"/>
      <c r="B33" s="373" t="s">
        <v>1139</v>
      </c>
      <c r="C33" s="360"/>
      <c r="D33" s="374">
        <v>0</v>
      </c>
      <c r="E33" s="368"/>
      <c r="F33" s="374">
        <v>0</v>
      </c>
      <c r="G33" s="368"/>
      <c r="H33" s="374">
        <v>0</v>
      </c>
      <c r="I33" s="368"/>
      <c r="J33" s="374">
        <v>0</v>
      </c>
      <c r="K33" s="368"/>
      <c r="L33" s="374">
        <v>0</v>
      </c>
      <c r="M33" s="368"/>
      <c r="N33" s="385">
        <v>0</v>
      </c>
      <c r="O33" s="368"/>
      <c r="P33" s="374">
        <v>0</v>
      </c>
      <c r="Q33" s="368"/>
      <c r="R33" s="391"/>
      <c r="S33" s="393">
        <f>SUM(D33:Q33)</f>
        <v>0</v>
      </c>
    </row>
    <row r="34" spans="1:19" hidden="1">
      <c r="A34" s="366"/>
      <c r="B34" s="373" t="s">
        <v>1140</v>
      </c>
      <c r="C34" s="360"/>
      <c r="D34" s="375">
        <v>0</v>
      </c>
      <c r="E34" s="368"/>
      <c r="F34" s="375">
        <v>0</v>
      </c>
      <c r="G34" s="368"/>
      <c r="H34" s="375">
        <v>0</v>
      </c>
      <c r="I34" s="368"/>
      <c r="J34" s="375">
        <v>0</v>
      </c>
      <c r="K34" s="368"/>
      <c r="L34" s="375">
        <v>0</v>
      </c>
      <c r="M34" s="368"/>
      <c r="N34" s="386">
        <v>0</v>
      </c>
      <c r="O34" s="368"/>
      <c r="P34" s="375">
        <v>0</v>
      </c>
      <c r="Q34" s="368"/>
      <c r="R34" s="391"/>
      <c r="S34" s="394">
        <f>SUM(D34:Q34)</f>
        <v>0</v>
      </c>
    </row>
    <row r="35" spans="1:19" hidden="1">
      <c r="A35" s="366"/>
      <c r="B35" s="376" t="s">
        <v>1150</v>
      </c>
      <c r="C35" s="360"/>
      <c r="D35" s="369">
        <f>D34+D33</f>
        <v>0</v>
      </c>
      <c r="E35" s="368"/>
      <c r="F35" s="369">
        <f>F34+F33</f>
        <v>0</v>
      </c>
      <c r="G35" s="368"/>
      <c r="H35" s="369">
        <f>H34+H33</f>
        <v>0</v>
      </c>
      <c r="I35" s="368"/>
      <c r="J35" s="369">
        <f>J34+J33</f>
        <v>0</v>
      </c>
      <c r="K35" s="368"/>
      <c r="L35" s="369">
        <f>L34+L33</f>
        <v>0</v>
      </c>
      <c r="M35" s="368"/>
      <c r="N35" s="368">
        <f>N34+N33</f>
        <v>0</v>
      </c>
      <c r="O35" s="368"/>
      <c r="P35" s="369">
        <f>P34+P33</f>
        <v>0</v>
      </c>
      <c r="Q35" s="368"/>
      <c r="R35" s="391"/>
      <c r="S35" s="369">
        <f>S34+S33</f>
        <v>0</v>
      </c>
    </row>
    <row r="36" spans="1:19" hidden="1">
      <c r="A36" s="366"/>
      <c r="B36" s="376"/>
      <c r="C36" s="360"/>
      <c r="D36" s="369"/>
      <c r="E36" s="368"/>
      <c r="F36" s="369"/>
      <c r="G36" s="368"/>
      <c r="H36" s="369"/>
      <c r="I36" s="368"/>
      <c r="J36" s="369"/>
      <c r="K36" s="368"/>
      <c r="L36" s="369"/>
      <c r="M36" s="368"/>
      <c r="N36" s="368"/>
      <c r="O36" s="368"/>
      <c r="P36" s="369"/>
      <c r="Q36" s="368"/>
      <c r="R36" s="391"/>
      <c r="S36" s="369"/>
    </row>
    <row r="37" spans="1:19" hidden="1">
      <c r="A37" s="366"/>
      <c r="B37" s="372" t="s">
        <v>1161</v>
      </c>
      <c r="C37" s="360"/>
      <c r="D37" s="369"/>
      <c r="E37" s="368"/>
      <c r="F37" s="369"/>
      <c r="G37" s="368"/>
      <c r="H37" s="369"/>
      <c r="I37" s="368"/>
      <c r="J37" s="369"/>
      <c r="K37" s="368"/>
      <c r="L37" s="369"/>
      <c r="M37" s="368"/>
      <c r="N37" s="368"/>
      <c r="O37" s="368"/>
      <c r="P37" s="369"/>
      <c r="Q37" s="368"/>
      <c r="R37" s="391"/>
      <c r="S37" s="369"/>
    </row>
    <row r="38" spans="1:19" hidden="1">
      <c r="A38" s="366"/>
      <c r="B38" s="373" t="s">
        <v>1139</v>
      </c>
      <c r="C38" s="360"/>
      <c r="D38" s="374">
        <v>0</v>
      </c>
      <c r="E38" s="368"/>
      <c r="F38" s="374">
        <v>0</v>
      </c>
      <c r="G38" s="368"/>
      <c r="H38" s="374">
        <v>0</v>
      </c>
      <c r="I38" s="368"/>
      <c r="J38" s="374">
        <v>0</v>
      </c>
      <c r="K38" s="368"/>
      <c r="L38" s="385">
        <v>0</v>
      </c>
      <c r="M38" s="368"/>
      <c r="N38" s="385">
        <v>0</v>
      </c>
      <c r="O38" s="368"/>
      <c r="P38" s="374">
        <v>0</v>
      </c>
      <c r="Q38" s="368"/>
      <c r="R38" s="391"/>
      <c r="S38" s="393">
        <f>SUM(D38:Q38)</f>
        <v>0</v>
      </c>
    </row>
    <row r="39" spans="1:19" hidden="1">
      <c r="A39" s="366"/>
      <c r="B39" s="373" t="s">
        <v>1140</v>
      </c>
      <c r="C39" s="360"/>
      <c r="D39" s="375">
        <v>0</v>
      </c>
      <c r="E39" s="368"/>
      <c r="F39" s="375">
        <v>0</v>
      </c>
      <c r="G39" s="368"/>
      <c r="H39" s="375">
        <v>0</v>
      </c>
      <c r="I39" s="368"/>
      <c r="J39" s="375">
        <v>0</v>
      </c>
      <c r="K39" s="368"/>
      <c r="L39" s="386">
        <v>0</v>
      </c>
      <c r="M39" s="368"/>
      <c r="N39" s="386">
        <v>0</v>
      </c>
      <c r="O39" s="368"/>
      <c r="P39" s="375">
        <v>0</v>
      </c>
      <c r="Q39" s="368"/>
      <c r="R39" s="391"/>
      <c r="S39" s="394">
        <f>SUM(D39:Q39)</f>
        <v>0</v>
      </c>
    </row>
    <row r="40" spans="1:19" hidden="1">
      <c r="A40" s="366"/>
      <c r="B40" s="376" t="s">
        <v>1162</v>
      </c>
      <c r="C40" s="360"/>
      <c r="D40" s="369">
        <f>D39+D38</f>
        <v>0</v>
      </c>
      <c r="E40" s="368"/>
      <c r="F40" s="369">
        <f>F39+F38</f>
        <v>0</v>
      </c>
      <c r="G40" s="368"/>
      <c r="H40" s="369">
        <f>H39+H38</f>
        <v>0</v>
      </c>
      <c r="I40" s="368"/>
      <c r="J40" s="369">
        <f>J39+J38</f>
        <v>0</v>
      </c>
      <c r="K40" s="368"/>
      <c r="L40" s="368">
        <f>L39+L38</f>
        <v>0</v>
      </c>
      <c r="M40" s="368"/>
      <c r="N40" s="368">
        <f>N39+N38</f>
        <v>0</v>
      </c>
      <c r="O40" s="368"/>
      <c r="P40" s="369">
        <f>P39+P38</f>
        <v>0</v>
      </c>
      <c r="Q40" s="368"/>
      <c r="R40" s="391"/>
      <c r="S40" s="369">
        <f>S39+S38</f>
        <v>0</v>
      </c>
    </row>
    <row r="41" spans="1:19">
      <c r="A41" s="366"/>
      <c r="B41" s="360"/>
      <c r="C41" s="360"/>
      <c r="D41" s="369"/>
      <c r="E41" s="368"/>
      <c r="F41" s="369"/>
      <c r="G41" s="368"/>
      <c r="H41" s="369"/>
      <c r="I41" s="368"/>
      <c r="J41" s="369"/>
      <c r="K41" s="368"/>
      <c r="L41" s="355"/>
      <c r="M41" s="368"/>
      <c r="N41" s="369"/>
      <c r="O41" s="368"/>
      <c r="P41" s="369"/>
      <c r="Q41" s="368"/>
      <c r="R41" s="391"/>
      <c r="S41" s="369"/>
    </row>
    <row r="42" spans="1:19">
      <c r="A42" s="366"/>
      <c r="B42" s="360" t="s">
        <v>759</v>
      </c>
      <c r="C42" s="360"/>
      <c r="D42" s="368">
        <f>-((D29+D30)*D54%)</f>
        <v>-1054.5</v>
      </c>
      <c r="E42" s="368"/>
      <c r="F42" s="368">
        <f>-((F29+F30)*F54%)</f>
        <v>-186.2235</v>
      </c>
      <c r="G42" s="368"/>
      <c r="H42" s="368">
        <f>-((H29)*H54%)-78107</f>
        <v>-79000.751000000004</v>
      </c>
      <c r="I42" s="368"/>
      <c r="J42" s="368">
        <f>-((J29)*J54%)-164797</f>
        <v>-168888.44649999999</v>
      </c>
      <c r="K42" s="368"/>
      <c r="L42" s="368">
        <f>-((L29+L30+L40)*L54%)</f>
        <v>-2841.9555</v>
      </c>
      <c r="M42" s="368"/>
      <c r="N42" s="368">
        <v>0</v>
      </c>
      <c r="O42" s="368"/>
      <c r="P42" s="368">
        <f>-((P29+P30)*P54%)</f>
        <v>-12372.81</v>
      </c>
      <c r="Q42" s="368"/>
      <c r="R42" s="391"/>
      <c r="S42" s="391">
        <f>SUM(D42:Q42)</f>
        <v>-264344.68650000001</v>
      </c>
    </row>
    <row r="43" spans="1:19">
      <c r="A43" s="366"/>
      <c r="B43" s="360"/>
      <c r="C43" s="360"/>
      <c r="D43" s="369"/>
      <c r="E43" s="368"/>
      <c r="F43" s="369"/>
      <c r="G43" s="368"/>
      <c r="H43" s="369"/>
      <c r="I43" s="368"/>
      <c r="J43" s="369"/>
      <c r="K43" s="368"/>
      <c r="L43" s="369"/>
      <c r="M43" s="368"/>
      <c r="N43" s="369"/>
      <c r="O43" s="368"/>
      <c r="P43" s="369"/>
      <c r="Q43" s="368"/>
      <c r="R43" s="391"/>
      <c r="S43" s="369"/>
    </row>
    <row r="44" spans="1:19">
      <c r="A44" s="366"/>
      <c r="B44" s="358" t="s">
        <v>1137</v>
      </c>
      <c r="C44" s="360"/>
      <c r="D44" s="370">
        <f>D29+D30-D35+D42</f>
        <v>701945.5</v>
      </c>
      <c r="E44" s="368"/>
      <c r="F44" s="370">
        <f>F29+F30-F35+F42</f>
        <v>123962.77650000001</v>
      </c>
      <c r="G44" s="368"/>
      <c r="H44" s="370">
        <f>H29+H30-H35+H42</f>
        <v>218916.24900000001</v>
      </c>
      <c r="I44" s="368"/>
      <c r="J44" s="370">
        <f>J29+J30-J35+J42</f>
        <v>2628742.5534999999</v>
      </c>
      <c r="K44" s="368"/>
      <c r="L44" s="370">
        <f>L29+L40+L42</f>
        <v>701795.04449999996</v>
      </c>
      <c r="M44" s="368"/>
      <c r="N44" s="370">
        <f>N29+N30-N35+N42</f>
        <v>1030450</v>
      </c>
      <c r="O44" s="368"/>
      <c r="P44" s="370">
        <f>P29+P30-P35+P42</f>
        <v>8236167.1900000004</v>
      </c>
      <c r="Q44" s="368"/>
      <c r="R44" s="391"/>
      <c r="S44" s="370">
        <f>S29+S30-S35+S42</f>
        <v>14831979.3135</v>
      </c>
    </row>
    <row r="45" spans="1:19">
      <c r="A45" s="366"/>
      <c r="B45" s="360"/>
      <c r="C45" s="360"/>
      <c r="D45" s="369"/>
      <c r="E45" s="368"/>
      <c r="F45" s="369"/>
      <c r="G45" s="368"/>
      <c r="H45" s="369"/>
      <c r="I45" s="368"/>
      <c r="J45" s="369"/>
      <c r="K45" s="368"/>
      <c r="L45" s="369"/>
      <c r="M45" s="368"/>
      <c r="N45" s="369"/>
      <c r="O45" s="368"/>
      <c r="P45" s="369"/>
      <c r="Q45" s="368"/>
      <c r="R45" s="391"/>
      <c r="S45" s="369"/>
    </row>
    <row r="46" spans="1:19">
      <c r="A46" s="366"/>
      <c r="B46" s="358" t="s">
        <v>1163</v>
      </c>
      <c r="C46" s="360"/>
      <c r="D46" s="369"/>
      <c r="E46" s="368"/>
      <c r="F46" s="369"/>
      <c r="G46" s="368"/>
      <c r="H46" s="369"/>
      <c r="I46" s="368"/>
      <c r="J46" s="369"/>
      <c r="K46" s="368"/>
      <c r="L46" s="369"/>
      <c r="M46" s="368"/>
      <c r="N46" s="369"/>
      <c r="O46" s="368"/>
      <c r="P46" s="369"/>
      <c r="Q46" s="368"/>
      <c r="R46" s="391"/>
      <c r="S46" s="369"/>
    </row>
    <row r="47" spans="1:19">
      <c r="A47" s="366"/>
      <c r="B47" s="360"/>
      <c r="C47" s="360"/>
      <c r="D47" s="369"/>
      <c r="E47" s="368"/>
      <c r="F47" s="369"/>
      <c r="G47" s="368"/>
      <c r="H47" s="369"/>
      <c r="I47" s="368"/>
      <c r="J47" s="369"/>
      <c r="K47" s="368"/>
      <c r="L47" s="368"/>
      <c r="M47" s="368"/>
      <c r="N47" s="369"/>
      <c r="O47" s="368"/>
      <c r="P47" s="369"/>
      <c r="Q47" s="368"/>
      <c r="R47" s="391"/>
      <c r="S47" s="369"/>
    </row>
    <row r="48" spans="1:19">
      <c r="A48" s="366"/>
      <c r="B48" s="360" t="s">
        <v>1139</v>
      </c>
      <c r="C48" s="360"/>
      <c r="D48" s="368">
        <f>D24+D30-D33</f>
        <v>738000</v>
      </c>
      <c r="E48" s="368"/>
      <c r="F48" s="368">
        <f>F24+F30-F33</f>
        <v>128628</v>
      </c>
      <c r="G48" s="368"/>
      <c r="H48" s="368">
        <f>H24+H30-H33</f>
        <v>359358</v>
      </c>
      <c r="I48" s="368"/>
      <c r="J48" s="368">
        <f>J24+J30-J33</f>
        <v>2960959</v>
      </c>
      <c r="K48" s="368"/>
      <c r="L48" s="368">
        <f>L24+L30-L33+L38</f>
        <v>1922000</v>
      </c>
      <c r="M48" s="368"/>
      <c r="N48" s="368">
        <f>N24+N30-N33</f>
        <v>1068000</v>
      </c>
      <c r="O48" s="368"/>
      <c r="P48" s="368">
        <f>P24+P30-P33</f>
        <v>8780816</v>
      </c>
      <c r="Q48" s="368"/>
      <c r="R48" s="391"/>
      <c r="S48" s="391">
        <f>SUM(D48:Q48)</f>
        <v>15957761</v>
      </c>
    </row>
    <row r="49" spans="1:19">
      <c r="A49" s="366"/>
      <c r="B49" s="360" t="s">
        <v>1140</v>
      </c>
      <c r="C49" s="360"/>
      <c r="D49" s="368">
        <f>D25+D42</f>
        <v>-36054.5</v>
      </c>
      <c r="E49" s="368"/>
      <c r="F49" s="368">
        <f>F25+F42</f>
        <v>-4665.2235000000001</v>
      </c>
      <c r="G49" s="368"/>
      <c r="H49" s="368">
        <f>H25+H42</f>
        <v>-140441.75099999999</v>
      </c>
      <c r="I49" s="368"/>
      <c r="J49" s="368">
        <f>J25+J42</f>
        <v>-332216.44650000002</v>
      </c>
      <c r="K49" s="368"/>
      <c r="L49" s="368">
        <f>L25+L42+L39</f>
        <v>-30204.9555</v>
      </c>
      <c r="M49" s="368"/>
      <c r="N49" s="368">
        <f>N25+N42-N34</f>
        <v>-37550</v>
      </c>
      <c r="O49" s="368"/>
      <c r="P49" s="368">
        <f>P25+P42</f>
        <v>-544648.81000000006</v>
      </c>
      <c r="Q49" s="368"/>
      <c r="R49" s="391"/>
      <c r="S49" s="391">
        <f>SUM(D49:Q49)</f>
        <v>-1125781.6865000001</v>
      </c>
    </row>
    <row r="50" spans="1:19">
      <c r="A50" s="366"/>
      <c r="B50" s="360" t="s">
        <v>1141</v>
      </c>
      <c r="C50" s="360"/>
      <c r="D50" s="370">
        <f>D48+D49</f>
        <v>701945.5</v>
      </c>
      <c r="E50" s="368"/>
      <c r="F50" s="370">
        <f>F48+F49</f>
        <v>123962.77650000001</v>
      </c>
      <c r="G50" s="368"/>
      <c r="H50" s="370">
        <f>H48+H49</f>
        <v>218916.24900000001</v>
      </c>
      <c r="I50" s="368"/>
      <c r="J50" s="370">
        <f>J48+J49</f>
        <v>2628742.5534999999</v>
      </c>
      <c r="K50" s="368"/>
      <c r="L50" s="370">
        <f>L48+L49</f>
        <v>1891795.0445000001</v>
      </c>
      <c r="M50" s="368"/>
      <c r="N50" s="370">
        <f>N48+N49</f>
        <v>1030450</v>
      </c>
      <c r="O50" s="368"/>
      <c r="P50" s="370">
        <f>P48+P49</f>
        <v>8236167.1900000004</v>
      </c>
      <c r="Q50" s="368"/>
      <c r="R50" s="391"/>
      <c r="S50" s="370">
        <f>S48+S49</f>
        <v>14831979.3135</v>
      </c>
    </row>
    <row r="51" spans="1:19">
      <c r="A51" s="366"/>
      <c r="B51" s="360"/>
      <c r="C51" s="360"/>
      <c r="D51" s="369"/>
      <c r="E51" s="368"/>
      <c r="F51" s="369"/>
      <c r="G51" s="368"/>
      <c r="H51" s="369"/>
      <c r="I51" s="368"/>
      <c r="J51" s="369"/>
      <c r="K51" s="368"/>
      <c r="L51" s="369"/>
      <c r="M51" s="368"/>
      <c r="N51" s="369"/>
      <c r="O51" s="368"/>
      <c r="P51" s="369"/>
      <c r="Q51" s="368"/>
      <c r="R51" s="391"/>
      <c r="S51" s="369"/>
    </row>
    <row r="52" spans="1:19">
      <c r="A52" s="366"/>
      <c r="B52" s="355"/>
      <c r="C52" s="360"/>
      <c r="D52" s="369"/>
      <c r="E52" s="368"/>
      <c r="F52" s="369"/>
      <c r="G52" s="368"/>
      <c r="H52" s="369"/>
      <c r="I52" s="368"/>
      <c r="J52" s="369"/>
      <c r="K52" s="368"/>
      <c r="L52" s="369"/>
      <c r="M52" s="368"/>
      <c r="N52" s="369"/>
      <c r="O52" s="368"/>
      <c r="P52" s="369"/>
      <c r="Q52" s="368"/>
      <c r="R52" s="391"/>
      <c r="S52" s="369"/>
    </row>
    <row r="53" spans="1:19">
      <c r="A53" s="366"/>
      <c r="B53" s="360"/>
      <c r="C53" s="360"/>
      <c r="D53" s="369"/>
      <c r="E53" s="368"/>
      <c r="F53" s="369"/>
      <c r="G53" s="368"/>
      <c r="H53" s="369"/>
      <c r="I53" s="368"/>
      <c r="J53" s="369"/>
      <c r="K53" s="368"/>
      <c r="L53" s="369"/>
      <c r="M53" s="368"/>
      <c r="N53" s="369"/>
      <c r="O53" s="368"/>
      <c r="P53" s="369"/>
      <c r="Q53" s="368"/>
      <c r="R53" s="391"/>
      <c r="S53" s="369"/>
    </row>
    <row r="54" spans="1:19">
      <c r="A54" s="366"/>
      <c r="B54" s="1535" t="s">
        <v>1166</v>
      </c>
      <c r="C54" s="1535"/>
      <c r="D54" s="378">
        <v>0.15</v>
      </c>
      <c r="E54" s="383"/>
      <c r="F54" s="378">
        <v>0.15</v>
      </c>
      <c r="G54" s="383"/>
      <c r="H54" s="378">
        <v>0.3</v>
      </c>
      <c r="I54" s="383"/>
      <c r="J54" s="378">
        <v>0.15</v>
      </c>
      <c r="K54" s="383"/>
      <c r="L54" s="378">
        <v>0.15</v>
      </c>
      <c r="M54" s="383"/>
      <c r="N54" s="378">
        <v>0.15</v>
      </c>
      <c r="O54" s="383"/>
      <c r="P54" s="378">
        <v>0.15</v>
      </c>
      <c r="Q54" s="383"/>
      <c r="R54" s="355"/>
      <c r="S54" s="395"/>
    </row>
    <row r="55" spans="1:19">
      <c r="A55" s="379"/>
      <c r="B55" s="360"/>
      <c r="C55" s="1535"/>
      <c r="D55" s="1535"/>
      <c r="E55" s="360"/>
      <c r="F55" s="360"/>
      <c r="G55" s="360"/>
      <c r="H55" s="360"/>
      <c r="I55" s="360"/>
      <c r="J55" s="360"/>
      <c r="K55" s="360"/>
      <c r="L55" s="360"/>
      <c r="M55" s="360"/>
      <c r="N55" s="360"/>
      <c r="O55" s="360"/>
      <c r="P55" s="358"/>
      <c r="Q55" s="358"/>
      <c r="R55" s="355"/>
      <c r="S55" s="384"/>
    </row>
    <row r="56" spans="1:19">
      <c r="A56" s="379"/>
      <c r="B56" s="360"/>
      <c r="C56" s="377"/>
      <c r="D56" s="377"/>
      <c r="E56" s="360"/>
      <c r="F56" s="360"/>
      <c r="G56" s="360"/>
      <c r="H56" s="360"/>
      <c r="I56" s="360"/>
      <c r="J56" s="360"/>
      <c r="K56" s="360"/>
      <c r="L56" s="360"/>
      <c r="M56" s="360"/>
      <c r="N56" s="360"/>
      <c r="O56" s="360"/>
      <c r="P56" s="358"/>
      <c r="Q56" s="358"/>
      <c r="R56" s="355"/>
      <c r="S56" s="384"/>
    </row>
  </sheetData>
  <mergeCells count="5">
    <mergeCell ref="D10:P10"/>
    <mergeCell ref="D12:S12"/>
    <mergeCell ref="B54:C54"/>
    <mergeCell ref="C55:D55"/>
    <mergeCell ref="S10:S11"/>
  </mergeCells>
  <pageMargins left="0.7" right="0.7" top="0.75" bottom="0.75" header="0.3" footer="0.3"/>
  <pageSetup paperSize="9" scale="48"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3">
    <pageSetUpPr fitToPage="1"/>
  </sheetPr>
  <dimension ref="A1:R54"/>
  <sheetViews>
    <sheetView showGridLines="0" view="pageBreakPreview" topLeftCell="A11" zoomScale="115" zoomScaleNormal="100" workbookViewId="0">
      <selection activeCell="L28" sqref="L28"/>
    </sheetView>
  </sheetViews>
  <sheetFormatPr defaultColWidth="9.1796875" defaultRowHeight="15.5"/>
  <cols>
    <col min="1" max="1" width="3.453125" style="306" customWidth="1"/>
    <col min="2" max="2" width="5.453125" style="306" customWidth="1"/>
    <col min="3" max="3" width="10.54296875" style="306" customWidth="1"/>
    <col min="4" max="4" width="0.81640625" style="306" customWidth="1"/>
    <col min="5" max="5" width="10" style="306" customWidth="1"/>
    <col min="6" max="6" width="0.81640625" style="306" customWidth="1"/>
    <col min="7" max="7" width="30.54296875" style="306" customWidth="1"/>
    <col min="8" max="8" width="0.81640625" style="306" customWidth="1"/>
    <col min="9" max="9" width="15.54296875" style="306" customWidth="1"/>
    <col min="10" max="10" width="0.81640625" style="306" customWidth="1"/>
    <col min="11" max="11" width="15" style="307" customWidth="1"/>
    <col min="12" max="12" width="7.54296875" style="306" customWidth="1"/>
    <col min="13" max="13" width="15" style="306" customWidth="1"/>
    <col min="14" max="14" width="15.453125" style="306" customWidth="1"/>
    <col min="15" max="15" width="10.453125" style="306" customWidth="1"/>
    <col min="16" max="16" width="9.1796875" style="306"/>
    <col min="17" max="17" width="12.453125" style="306" customWidth="1"/>
    <col min="18" max="18" width="9.453125" style="306" customWidth="1"/>
    <col min="19" max="16384" width="9.1796875" style="306"/>
  </cols>
  <sheetData>
    <row r="1" spans="1:17" ht="18">
      <c r="A1" s="1541" t="s">
        <v>1387</v>
      </c>
      <c r="B1" s="1541"/>
      <c r="C1" s="1541"/>
      <c r="D1" s="1541"/>
      <c r="E1" s="1541"/>
      <c r="F1" s="1541"/>
      <c r="G1" s="1541"/>
      <c r="H1" s="1541"/>
      <c r="I1" s="1541"/>
      <c r="J1" s="1541"/>
      <c r="K1" s="1541"/>
      <c r="L1" s="325"/>
      <c r="M1" s="325"/>
    </row>
    <row r="2" spans="1:17">
      <c r="A2" s="1542" t="s">
        <v>1388</v>
      </c>
      <c r="B2" s="1542"/>
      <c r="C2" s="1542"/>
      <c r="D2" s="1542"/>
      <c r="E2" s="1542"/>
      <c r="F2" s="1542"/>
      <c r="G2" s="1543"/>
      <c r="H2" s="1543"/>
      <c r="I2" s="1543"/>
      <c r="J2" s="1543"/>
      <c r="K2" s="1542"/>
      <c r="L2" s="325"/>
      <c r="M2" s="325"/>
    </row>
    <row r="3" spans="1:17">
      <c r="A3" s="1544"/>
      <c r="B3" s="1544"/>
      <c r="C3" s="1544"/>
      <c r="D3" s="1544"/>
      <c r="E3" s="1544"/>
      <c r="F3" s="1544"/>
      <c r="G3" s="1544"/>
      <c r="H3" s="1544"/>
      <c r="I3" s="1544"/>
      <c r="J3" s="1544"/>
      <c r="K3" s="1544"/>
      <c r="L3" s="325"/>
      <c r="M3" s="325"/>
    </row>
    <row r="4" spans="1:17">
      <c r="I4" s="308" t="s">
        <v>1389</v>
      </c>
      <c r="K4" s="308" t="s">
        <v>1389</v>
      </c>
    </row>
    <row r="5" spans="1:17">
      <c r="A5" s="309" t="s">
        <v>1390</v>
      </c>
      <c r="I5" s="326"/>
      <c r="K5" s="326"/>
      <c r="L5" s="312"/>
      <c r="M5" s="312"/>
    </row>
    <row r="6" spans="1:17">
      <c r="I6" s="326"/>
      <c r="K6" s="326"/>
      <c r="L6" s="312"/>
      <c r="M6" s="312"/>
    </row>
    <row r="7" spans="1:17">
      <c r="B7" s="307" t="s">
        <v>1391</v>
      </c>
      <c r="I7" s="327">
        <f>+'P &amp; L'!P19</f>
        <v>0</v>
      </c>
      <c r="K7" s="327" t="e">
        <f>+'P &amp; L'!#REF!</f>
        <v>#REF!</v>
      </c>
      <c r="L7" s="312"/>
      <c r="M7" s="312"/>
      <c r="N7" s="345"/>
    </row>
    <row r="8" spans="1:17">
      <c r="I8" s="326"/>
      <c r="K8" s="326"/>
      <c r="L8" s="312"/>
      <c r="M8" s="312"/>
    </row>
    <row r="9" spans="1:17">
      <c r="B9" s="310" t="s">
        <v>1392</v>
      </c>
      <c r="I9" s="328">
        <f>-'FA-04'!L163</f>
        <v>0</v>
      </c>
      <c r="K9" s="328">
        <f>'FIXED ASSETS'!V24</f>
        <v>861437</v>
      </c>
      <c r="L9" s="312"/>
      <c r="M9" s="312"/>
    </row>
    <row r="10" spans="1:17">
      <c r="B10" s="310"/>
      <c r="C10" s="306" t="s">
        <v>1393</v>
      </c>
      <c r="I10" s="329" t="e">
        <f>-NOTES!#REF!</f>
        <v>#REF!</v>
      </c>
      <c r="K10" s="329">
        <v>0</v>
      </c>
      <c r="L10" s="312"/>
      <c r="M10" s="312"/>
    </row>
    <row r="11" spans="1:17">
      <c r="C11" s="306" t="s">
        <v>1394</v>
      </c>
      <c r="I11" s="330">
        <v>0</v>
      </c>
      <c r="K11" s="330">
        <v>0</v>
      </c>
      <c r="L11" s="322"/>
      <c r="M11" s="322"/>
      <c r="N11" s="346">
        <f>M11/2</f>
        <v>0</v>
      </c>
      <c r="Q11" s="347"/>
    </row>
    <row r="12" spans="1:17">
      <c r="I12" s="331" t="e">
        <f>SUM(I9:I11)</f>
        <v>#REF!</v>
      </c>
      <c r="K12" s="331">
        <f>SUM(K9:K11)</f>
        <v>861437</v>
      </c>
      <c r="L12" s="312"/>
      <c r="M12" s="312"/>
      <c r="N12" s="347"/>
    </row>
    <row r="13" spans="1:17">
      <c r="I13" s="326" t="e">
        <f>I7+I12</f>
        <v>#REF!</v>
      </c>
      <c r="K13" s="326" t="e">
        <f>K7+K12</f>
        <v>#REF!</v>
      </c>
      <c r="L13" s="312"/>
      <c r="M13" s="312"/>
    </row>
    <row r="14" spans="1:17">
      <c r="I14" s="326"/>
      <c r="K14" s="326"/>
      <c r="L14" s="312"/>
      <c r="M14" s="312"/>
    </row>
    <row r="15" spans="1:17">
      <c r="B15" s="310" t="s">
        <v>1395</v>
      </c>
      <c r="C15" s="306" t="s">
        <v>1396</v>
      </c>
      <c r="I15" s="332">
        <f>'Tax dep'!L25</f>
        <v>0</v>
      </c>
      <c r="K15" s="332">
        <f>'Tax dep'!N25</f>
        <v>3280859.9</v>
      </c>
      <c r="L15" s="312"/>
      <c r="M15" s="312"/>
    </row>
    <row r="16" spans="1:17" s="305" customFormat="1" ht="14.25" customHeight="1">
      <c r="E16" s="320"/>
      <c r="F16" s="320"/>
      <c r="G16" s="320"/>
      <c r="H16" s="321"/>
      <c r="I16" s="333">
        <v>0</v>
      </c>
      <c r="J16" s="321"/>
      <c r="K16" s="333">
        <v>0</v>
      </c>
      <c r="L16" s="334"/>
      <c r="M16" s="334"/>
      <c r="Q16" s="354"/>
    </row>
    <row r="17" spans="1:17">
      <c r="I17" s="327">
        <f>SUM(I15:I16)</f>
        <v>0</v>
      </c>
      <c r="K17" s="327">
        <f>SUM(K15:K16)</f>
        <v>3280859.9</v>
      </c>
      <c r="L17" s="312"/>
      <c r="M17" s="312"/>
    </row>
    <row r="18" spans="1:17">
      <c r="I18" s="335"/>
      <c r="K18" s="335"/>
      <c r="L18" s="312"/>
      <c r="M18" s="348"/>
    </row>
    <row r="19" spans="1:17" ht="21" customHeight="1">
      <c r="B19" s="307" t="s">
        <v>1397</v>
      </c>
      <c r="I19" s="327" t="e">
        <f>I13-I17</f>
        <v>#REF!</v>
      </c>
      <c r="K19" s="327" t="e">
        <f>K13-K17</f>
        <v>#REF!</v>
      </c>
      <c r="L19" s="312"/>
      <c r="M19" s="312"/>
      <c r="Q19" s="345"/>
    </row>
    <row r="20" spans="1:17">
      <c r="B20" s="307"/>
      <c r="I20" s="336"/>
      <c r="K20" s="336"/>
      <c r="L20" s="312"/>
      <c r="M20" s="312"/>
    </row>
    <row r="21" spans="1:17">
      <c r="A21" s="311" t="s">
        <v>1398</v>
      </c>
      <c r="C21" s="312"/>
      <c r="D21" s="312"/>
      <c r="E21" s="312"/>
      <c r="F21" s="312"/>
      <c r="G21" s="312"/>
      <c r="H21" s="312"/>
      <c r="I21" s="326"/>
      <c r="J21" s="312"/>
      <c r="K21" s="326"/>
      <c r="L21" s="337"/>
      <c r="M21" s="312"/>
      <c r="N21" s="312"/>
    </row>
    <row r="22" spans="1:17" ht="20.25" customHeight="1">
      <c r="B22" s="312"/>
      <c r="C22" s="313"/>
      <c r="D22" s="312"/>
      <c r="E22" s="312"/>
      <c r="F22" s="312"/>
      <c r="G22" s="312"/>
      <c r="H22" s="312"/>
      <c r="I22" s="326"/>
      <c r="J22" s="312"/>
      <c r="K22" s="326"/>
      <c r="L22" s="337"/>
      <c r="M22" s="312"/>
    </row>
    <row r="23" spans="1:17" ht="20.25" customHeight="1">
      <c r="B23" s="1378" t="s">
        <v>1399</v>
      </c>
      <c r="C23" s="306" t="s">
        <v>1400</v>
      </c>
      <c r="E23" s="322"/>
      <c r="F23" s="322"/>
      <c r="G23" s="322"/>
      <c r="H23" s="322"/>
      <c r="I23" s="338">
        <v>0</v>
      </c>
      <c r="J23" s="322"/>
      <c r="K23" s="338">
        <v>0</v>
      </c>
      <c r="M23" s="322"/>
      <c r="O23" s="345"/>
    </row>
    <row r="24" spans="1:17">
      <c r="B24" s="312"/>
      <c r="E24" s="312"/>
      <c r="F24" s="312"/>
      <c r="G24" s="312"/>
      <c r="H24" s="312"/>
      <c r="I24" s="326"/>
      <c r="J24" s="312"/>
      <c r="K24" s="326"/>
      <c r="L24" s="337"/>
      <c r="M24" s="312"/>
    </row>
    <row r="25" spans="1:17" hidden="1">
      <c r="B25" s="312"/>
      <c r="C25" s="306" t="s">
        <v>1401</v>
      </c>
      <c r="E25" s="312"/>
      <c r="F25" s="312"/>
      <c r="G25" s="312"/>
      <c r="H25" s="312"/>
      <c r="I25" s="339"/>
      <c r="J25" s="312"/>
      <c r="K25" s="339"/>
      <c r="L25" s="337"/>
      <c r="M25" s="312" t="s">
        <v>1402</v>
      </c>
    </row>
    <row r="26" spans="1:17" hidden="1">
      <c r="B26" s="312"/>
      <c r="C26" s="314"/>
      <c r="D26" s="315"/>
      <c r="E26" s="323"/>
      <c r="F26" s="324"/>
      <c r="G26" s="323"/>
      <c r="H26" s="312"/>
      <c r="I26" s="338"/>
      <c r="J26" s="312"/>
      <c r="K26" s="338"/>
      <c r="L26" s="337"/>
      <c r="M26" s="312" t="s">
        <v>1403</v>
      </c>
    </row>
    <row r="27" spans="1:17" ht="62" hidden="1">
      <c r="B27" s="312"/>
      <c r="C27" s="316"/>
      <c r="D27" s="1545"/>
      <c r="E27" s="1545"/>
      <c r="F27" s="1546"/>
      <c r="G27" s="1546"/>
      <c r="H27" s="312"/>
      <c r="I27" s="338"/>
      <c r="J27" s="312"/>
      <c r="K27" s="338"/>
      <c r="L27" s="337"/>
      <c r="M27" s="349" t="s">
        <v>1404</v>
      </c>
      <c r="N27" s="350" t="s">
        <v>1405</v>
      </c>
      <c r="P27" s="350" t="s">
        <v>1406</v>
      </c>
    </row>
    <row r="28" spans="1:17">
      <c r="B28" s="312"/>
      <c r="E28" s="312"/>
      <c r="F28" s="312"/>
      <c r="G28" s="312"/>
      <c r="H28" s="312"/>
      <c r="I28" s="340">
        <f>+I23-I25</f>
        <v>0</v>
      </c>
      <c r="J28" s="312"/>
      <c r="K28" s="340">
        <f>+K23-K25</f>
        <v>0</v>
      </c>
      <c r="L28" s="337"/>
      <c r="M28" s="312">
        <v>138945</v>
      </c>
    </row>
    <row r="29" spans="1:17" ht="7.5" customHeight="1">
      <c r="B29" s="312"/>
      <c r="E29" s="312"/>
      <c r="F29" s="312"/>
      <c r="G29" s="312"/>
      <c r="H29" s="312"/>
      <c r="I29" s="326"/>
      <c r="J29" s="312"/>
      <c r="K29" s="326"/>
      <c r="L29" s="337"/>
      <c r="M29" s="312"/>
    </row>
    <row r="30" spans="1:17" ht="15" customHeight="1">
      <c r="B30" s="1379" t="s">
        <v>1407</v>
      </c>
      <c r="C30" s="1538" t="s">
        <v>1408</v>
      </c>
      <c r="D30" s="1538"/>
      <c r="E30" s="1538"/>
      <c r="F30" s="1538"/>
      <c r="G30" s="1538"/>
      <c r="H30" s="312"/>
      <c r="I30" s="338" t="e">
        <f>(NOTES!#REF!)*1.5%</f>
        <v>#REF!</v>
      </c>
      <c r="J30" s="312"/>
      <c r="K30" s="338" t="e">
        <f>(NOTES!#REF!)*1.25%</f>
        <v>#REF!</v>
      </c>
      <c r="M30" s="351">
        <f>'Tax dep'!N25</f>
        <v>3280859.9</v>
      </c>
      <c r="N30" s="345"/>
    </row>
    <row r="31" spans="1:17" ht="9" customHeight="1">
      <c r="B31" s="317"/>
      <c r="E31" s="312"/>
      <c r="F31" s="312"/>
      <c r="G31" s="312"/>
      <c r="H31" s="312"/>
      <c r="I31" s="338"/>
      <c r="J31" s="312"/>
      <c r="K31" s="338"/>
      <c r="M31" s="312"/>
      <c r="N31" s="345"/>
    </row>
    <row r="32" spans="1:17">
      <c r="B32" s="1379" t="s">
        <v>1409</v>
      </c>
      <c r="C32" s="306" t="s">
        <v>1410</v>
      </c>
      <c r="E32" s="312"/>
      <c r="F32" s="312"/>
      <c r="G32" s="312"/>
      <c r="H32" s="312"/>
      <c r="I32" s="338">
        <f>IF(I7&gt;0,I7*0.17,0)</f>
        <v>0</v>
      </c>
      <c r="J32" s="312"/>
      <c r="K32" s="338">
        <v>0</v>
      </c>
      <c r="M32" s="312">
        <f>M30-M28</f>
        <v>3141914.9</v>
      </c>
      <c r="N32" s="345"/>
    </row>
    <row r="33" spans="1:18" ht="16.5" customHeight="1">
      <c r="B33" s="312"/>
      <c r="C33" s="312"/>
      <c r="E33" s="312"/>
      <c r="F33" s="1539"/>
      <c r="G33" s="1539"/>
      <c r="H33" s="312"/>
      <c r="I33" s="327"/>
      <c r="J33" s="312"/>
      <c r="K33" s="327"/>
      <c r="L33" s="312"/>
      <c r="M33" s="312"/>
      <c r="N33" s="345"/>
    </row>
    <row r="34" spans="1:18">
      <c r="B34" s="313" t="s">
        <v>1411</v>
      </c>
      <c r="C34" s="312"/>
      <c r="D34" s="312"/>
      <c r="E34" s="312"/>
      <c r="F34" s="312"/>
      <c r="G34" s="312"/>
      <c r="H34" s="312"/>
      <c r="I34" s="341" t="e">
        <f>MAX(I28,I30,I32)</f>
        <v>#REF!</v>
      </c>
      <c r="J34" s="312"/>
      <c r="K34" s="341" t="e">
        <f>MAX(K28,K30,K32)</f>
        <v>#REF!</v>
      </c>
      <c r="L34" s="312"/>
      <c r="M34" s="312"/>
      <c r="N34" s="345">
        <f>M30-M28</f>
        <v>3141914.9</v>
      </c>
    </row>
    <row r="35" spans="1:18" ht="9" customHeight="1">
      <c r="B35" s="312"/>
      <c r="C35" s="312"/>
      <c r="D35" s="312"/>
      <c r="E35" s="312"/>
      <c r="F35" s="312"/>
      <c r="G35" s="312"/>
      <c r="H35" s="312"/>
      <c r="I35" s="312"/>
      <c r="J35" s="312"/>
      <c r="K35" s="326"/>
      <c r="L35" s="312"/>
      <c r="M35" s="312"/>
    </row>
    <row r="36" spans="1:18">
      <c r="A36" s="311" t="s">
        <v>1412</v>
      </c>
      <c r="C36" s="312"/>
      <c r="D36" s="312"/>
      <c r="E36" s="312"/>
      <c r="F36" s="312"/>
      <c r="G36" s="312"/>
      <c r="H36" s="312"/>
      <c r="I36" s="312"/>
      <c r="J36" s="312"/>
      <c r="K36" s="326"/>
      <c r="L36" s="312"/>
      <c r="M36" s="312"/>
    </row>
    <row r="37" spans="1:18" ht="11.25" customHeight="1">
      <c r="B37" s="312"/>
      <c r="C37" s="318"/>
      <c r="D37" s="312"/>
      <c r="E37" s="312"/>
      <c r="G37" s="312"/>
      <c r="H37" s="312"/>
      <c r="I37" s="312"/>
      <c r="J37" s="312"/>
      <c r="K37" s="327"/>
      <c r="M37" s="312"/>
      <c r="R37" s="345"/>
    </row>
    <row r="38" spans="1:18" ht="19.5" customHeight="1">
      <c r="B38" s="312"/>
      <c r="C38" s="318" t="s">
        <v>1413</v>
      </c>
      <c r="D38" s="312"/>
      <c r="E38" s="312"/>
      <c r="G38" s="312"/>
      <c r="H38" s="312"/>
      <c r="I38" s="312">
        <v>0</v>
      </c>
      <c r="J38" s="312"/>
      <c r="K38" s="327">
        <v>0</v>
      </c>
      <c r="M38" s="312"/>
      <c r="R38" s="345"/>
    </row>
    <row r="39" spans="1:18" ht="10.5" customHeight="1">
      <c r="B39" s="312"/>
      <c r="C39" s="318"/>
      <c r="D39" s="312"/>
      <c r="E39" s="312"/>
      <c r="G39" s="312"/>
      <c r="H39" s="312"/>
      <c r="I39" s="312"/>
      <c r="J39" s="312"/>
      <c r="K39" s="327"/>
      <c r="M39" s="312"/>
      <c r="R39" s="345"/>
    </row>
    <row r="40" spans="1:18">
      <c r="B40" s="306" t="s">
        <v>1414</v>
      </c>
      <c r="C40" s="312"/>
      <c r="D40" s="312"/>
      <c r="E40" s="312"/>
      <c r="G40" s="312"/>
      <c r="H40" s="312"/>
      <c r="I40" s="312"/>
      <c r="J40" s="312"/>
      <c r="K40" s="326"/>
      <c r="M40" s="312"/>
    </row>
    <row r="41" spans="1:18">
      <c r="B41" s="312"/>
      <c r="C41" s="319" t="s">
        <v>1415</v>
      </c>
      <c r="D41" s="312"/>
      <c r="E41" s="312"/>
      <c r="G41" s="312"/>
      <c r="H41" s="312"/>
      <c r="I41" s="342" t="e">
        <f>'Trial 2020'!B92-NOTES!#REF!</f>
        <v>#REF!</v>
      </c>
      <c r="J41" s="312"/>
      <c r="K41" s="342">
        <v>15041</v>
      </c>
      <c r="M41" s="312"/>
      <c r="N41" s="345">
        <v>132136</v>
      </c>
      <c r="O41" s="345">
        <f>+K41-N41</f>
        <v>-117095</v>
      </c>
    </row>
    <row r="42" spans="1:18">
      <c r="B42" s="312"/>
      <c r="C42" s="319" t="s">
        <v>1416</v>
      </c>
      <c r="D42" s="312"/>
      <c r="E42" s="312"/>
      <c r="G42" s="312"/>
      <c r="H42" s="312"/>
      <c r="I42" s="343">
        <f>'Trial 2020'!B93</f>
        <v>78845</v>
      </c>
      <c r="J42" s="312"/>
      <c r="K42" s="343"/>
      <c r="M42" s="312"/>
      <c r="N42" s="345"/>
      <c r="O42" s="345"/>
    </row>
    <row r="43" spans="1:18">
      <c r="B43" s="312"/>
      <c r="C43" s="319"/>
      <c r="D43" s="312"/>
      <c r="E43" s="312"/>
      <c r="G43" s="312"/>
      <c r="H43" s="312"/>
      <c r="I43" s="344"/>
      <c r="J43" s="312"/>
      <c r="K43" s="344"/>
      <c r="M43" s="312"/>
      <c r="N43" s="345"/>
      <c r="O43" s="345"/>
    </row>
    <row r="44" spans="1:18">
      <c r="B44" s="313" t="s">
        <v>1417</v>
      </c>
      <c r="C44" s="312"/>
      <c r="D44" s="312"/>
      <c r="E44" s="312"/>
      <c r="G44" s="312"/>
      <c r="H44" s="312"/>
      <c r="I44" s="327" t="e">
        <f>SUM(I41:I43)</f>
        <v>#REF!</v>
      </c>
      <c r="J44" s="312"/>
      <c r="K44" s="327">
        <f>SUM(K41:K43)</f>
        <v>15041</v>
      </c>
      <c r="M44" s="312"/>
      <c r="N44" s="352"/>
      <c r="O44" s="345"/>
      <c r="Q44" s="345"/>
    </row>
    <row r="45" spans="1:18" ht="5.25" customHeight="1">
      <c r="B45" s="313"/>
      <c r="C45" s="312"/>
      <c r="D45" s="312"/>
      <c r="E45" s="312"/>
      <c r="G45" s="312"/>
      <c r="H45" s="312"/>
      <c r="I45" s="327"/>
      <c r="J45" s="312"/>
      <c r="K45" s="327"/>
      <c r="M45" s="312"/>
      <c r="N45" s="352"/>
      <c r="O45" s="345"/>
      <c r="Q45" s="345"/>
    </row>
    <row r="46" spans="1:18" ht="15" customHeight="1">
      <c r="B46" s="313" t="s">
        <v>1418</v>
      </c>
      <c r="C46" s="312"/>
      <c r="D46" s="312"/>
      <c r="E46" s="312"/>
      <c r="G46" s="312"/>
      <c r="H46" s="312"/>
      <c r="I46" s="336" t="e">
        <f>I44+I38</f>
        <v>#REF!</v>
      </c>
      <c r="J46" s="312"/>
      <c r="K46" s="336">
        <f>K44+K38</f>
        <v>15041</v>
      </c>
      <c r="M46" s="312"/>
      <c r="N46" s="352"/>
      <c r="O46" s="345"/>
      <c r="Q46" s="345"/>
    </row>
    <row r="47" spans="1:18">
      <c r="B47" s="313" t="s">
        <v>1419</v>
      </c>
      <c r="D47" s="312"/>
      <c r="E47" s="312"/>
      <c r="G47" s="312"/>
      <c r="H47" s="312"/>
      <c r="I47" s="326" t="e">
        <f>-I34</f>
        <v>#REF!</v>
      </c>
      <c r="J47" s="312"/>
      <c r="K47" s="326" t="e">
        <f>-K34</f>
        <v>#REF!</v>
      </c>
      <c r="M47" s="312"/>
      <c r="N47" s="352"/>
      <c r="O47" s="345"/>
      <c r="Q47" s="345"/>
    </row>
    <row r="48" spans="1:18" ht="8.25" customHeight="1">
      <c r="C48" s="312"/>
      <c r="D48" s="312"/>
      <c r="E48" s="312"/>
      <c r="G48" s="312"/>
      <c r="H48" s="312"/>
      <c r="I48" s="326"/>
      <c r="J48" s="312"/>
      <c r="K48" s="326"/>
      <c r="M48" s="312"/>
      <c r="N48" s="352"/>
      <c r="O48" s="345"/>
      <c r="P48" s="345"/>
      <c r="Q48" s="345"/>
    </row>
    <row r="49" spans="2:16">
      <c r="B49" s="306" t="s">
        <v>1420</v>
      </c>
      <c r="C49" s="312"/>
      <c r="D49" s="312"/>
      <c r="E49" s="312"/>
      <c r="G49" s="312"/>
      <c r="H49" s="312"/>
      <c r="I49" s="340" t="e">
        <f>I46+I47</f>
        <v>#REF!</v>
      </c>
      <c r="J49" s="312"/>
      <c r="K49" s="340" t="e">
        <f>K46+K47</f>
        <v>#REF!</v>
      </c>
      <c r="M49" s="353"/>
      <c r="N49" s="345"/>
      <c r="O49" s="345"/>
    </row>
    <row r="50" spans="2:16">
      <c r="G50" s="1540"/>
      <c r="H50" s="1540"/>
      <c r="I50" s="1540"/>
      <c r="J50" s="1540"/>
      <c r="K50" s="1540"/>
      <c r="L50" s="312"/>
      <c r="M50" s="312"/>
      <c r="O50" s="345"/>
      <c r="P50" s="345"/>
    </row>
    <row r="51" spans="2:16" ht="20.25" customHeight="1">
      <c r="K51" s="327"/>
      <c r="L51" s="312"/>
      <c r="M51" s="312"/>
      <c r="N51" s="345"/>
    </row>
    <row r="52" spans="2:16" ht="21.75" customHeight="1">
      <c r="K52" s="327"/>
      <c r="L52" s="312"/>
      <c r="M52" s="312"/>
    </row>
    <row r="53" spans="2:16">
      <c r="K53" s="327"/>
      <c r="L53" s="312"/>
      <c r="M53" s="312"/>
    </row>
    <row r="54" spans="2:16">
      <c r="K54" s="326"/>
      <c r="L54" s="312"/>
      <c r="M54" s="312"/>
    </row>
  </sheetData>
  <mergeCells count="8">
    <mergeCell ref="C30:G30"/>
    <mergeCell ref="F33:G33"/>
    <mergeCell ref="G50:K50"/>
    <mergeCell ref="A1:K1"/>
    <mergeCell ref="A2:K2"/>
    <mergeCell ref="A3:K3"/>
    <mergeCell ref="D27:E27"/>
    <mergeCell ref="F27:G27"/>
  </mergeCells>
  <printOptions horizontalCentered="1"/>
  <pageMargins left="0.75" right="0.75" top="0.55000000000000004" bottom="0.71" header="0.35" footer="0.5"/>
  <pageSetup scale="95" fitToHeight="0" orientation="portrait" r:id="rId1"/>
  <headerFooter alignWithMargins="0"/>
  <rowBreaks count="1" manualBreakCount="1">
    <brk id="49" max="8"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pageSetUpPr fitToPage="1"/>
  </sheetPr>
  <dimension ref="A1:Z70"/>
  <sheetViews>
    <sheetView showGridLines="0" view="pageBreakPreview" zoomScaleNormal="100" workbookViewId="0">
      <selection activeCell="F61" sqref="F61"/>
    </sheetView>
  </sheetViews>
  <sheetFormatPr defaultColWidth="9.1796875" defaultRowHeight="13"/>
  <cols>
    <col min="1" max="1" width="9.1796875" style="251"/>
    <col min="2" max="2" width="26.453125" style="251" customWidth="1"/>
    <col min="3" max="3" width="3.54296875" style="251" customWidth="1"/>
    <col min="4" max="4" width="15" style="251" customWidth="1"/>
    <col min="5" max="5" width="2.81640625" style="251" customWidth="1"/>
    <col min="6" max="6" width="15" style="252" customWidth="1"/>
    <col min="7" max="7" width="2.54296875" style="251" customWidth="1"/>
    <col min="8" max="8" width="15" style="252" customWidth="1"/>
    <col min="9" max="9" width="9.81640625" style="251" customWidth="1"/>
    <col min="10" max="10" width="16.54296875" style="251" customWidth="1"/>
    <col min="11" max="11" width="9.453125" style="251" customWidth="1"/>
    <col min="12" max="12" width="12" style="251" customWidth="1"/>
    <col min="13" max="13" width="1" style="251" customWidth="1"/>
    <col min="14" max="14" width="11.453125" style="251" customWidth="1"/>
    <col min="15" max="16384" width="9.1796875" style="251"/>
  </cols>
  <sheetData>
    <row r="1" spans="1:26" ht="15">
      <c r="A1" s="1547" t="s">
        <v>1421</v>
      </c>
      <c r="B1" s="1547"/>
      <c r="C1" s="1547"/>
      <c r="D1" s="1547"/>
      <c r="E1" s="1547"/>
      <c r="F1" s="1547"/>
      <c r="G1" s="1547"/>
      <c r="H1" s="1547"/>
      <c r="I1" s="299"/>
      <c r="J1" s="299"/>
      <c r="K1" s="299"/>
      <c r="L1" s="299"/>
      <c r="M1" s="299"/>
      <c r="N1" s="299"/>
      <c r="O1" s="301"/>
      <c r="P1" s="301"/>
      <c r="Q1" s="301"/>
      <c r="R1" s="301"/>
      <c r="S1" s="301"/>
      <c r="T1" s="301"/>
      <c r="U1" s="301"/>
      <c r="V1" s="301"/>
      <c r="W1" s="301"/>
      <c r="X1" s="301"/>
      <c r="Y1" s="301"/>
      <c r="Z1" s="301"/>
    </row>
    <row r="2" spans="1:26" ht="19.5" customHeight="1">
      <c r="A2" s="1548" t="s">
        <v>1422</v>
      </c>
      <c r="B2" s="1548"/>
      <c r="C2" s="1548"/>
      <c r="D2" s="1548"/>
      <c r="E2" s="1548"/>
      <c r="F2" s="1548"/>
      <c r="G2" s="1549"/>
      <c r="H2" s="1549"/>
      <c r="I2" s="300"/>
      <c r="J2" s="300"/>
      <c r="K2" s="300"/>
      <c r="L2" s="300"/>
      <c r="M2" s="300"/>
      <c r="N2" s="300"/>
      <c r="O2" s="302"/>
      <c r="P2" s="302"/>
      <c r="Q2" s="302"/>
      <c r="R2" s="302"/>
      <c r="S2" s="302"/>
      <c r="T2" s="302"/>
      <c r="U2" s="302"/>
      <c r="V2" s="302"/>
      <c r="W2" s="302"/>
      <c r="X2" s="302"/>
      <c r="Y2" s="302"/>
      <c r="Z2" s="302"/>
    </row>
    <row r="4" spans="1:26" ht="22.5" customHeight="1">
      <c r="D4" s="253" t="s">
        <v>1423</v>
      </c>
      <c r="E4" s="253"/>
      <c r="F4" s="286" t="s">
        <v>1424</v>
      </c>
      <c r="H4" s="287" t="s">
        <v>1425</v>
      </c>
      <c r="L4" s="253"/>
      <c r="M4" s="253"/>
      <c r="N4" s="257"/>
    </row>
    <row r="5" spans="1:26">
      <c r="C5" s="254" t="s">
        <v>956</v>
      </c>
      <c r="D5" s="254" t="s">
        <v>957</v>
      </c>
      <c r="E5" s="254"/>
      <c r="F5" s="288" t="s">
        <v>957</v>
      </c>
      <c r="H5" s="288" t="s">
        <v>957</v>
      </c>
      <c r="K5" s="254"/>
      <c r="L5" s="254"/>
      <c r="M5" s="254"/>
      <c r="N5" s="303"/>
    </row>
    <row r="7" spans="1:26" ht="5.25" customHeight="1">
      <c r="C7" s="253"/>
    </row>
    <row r="8" spans="1:26">
      <c r="A8" s="1550" t="s">
        <v>1426</v>
      </c>
      <c r="B8" s="1550"/>
      <c r="C8" s="253"/>
      <c r="D8" s="255"/>
      <c r="E8" s="255"/>
      <c r="F8" s="255"/>
    </row>
    <row r="9" spans="1:26" ht="9.75" customHeight="1">
      <c r="A9" s="256"/>
      <c r="C9" s="257"/>
    </row>
    <row r="10" spans="1:26">
      <c r="A10" s="258" t="s">
        <v>1427</v>
      </c>
      <c r="C10" s="257"/>
    </row>
    <row r="11" spans="1:26" ht="4.5" customHeight="1">
      <c r="A11" s="256"/>
      <c r="C11" s="259"/>
    </row>
    <row r="12" spans="1:26">
      <c r="A12" s="256" t="s">
        <v>1428</v>
      </c>
      <c r="C12" s="259"/>
      <c r="D12" s="260" t="e">
        <f>+SOFP!#REF!</f>
        <v>#REF!</v>
      </c>
      <c r="E12" s="268"/>
      <c r="F12" s="260" t="e">
        <f>+D12</f>
        <v>#REF!</v>
      </c>
      <c r="H12" s="252" t="e">
        <f>+F12-D12</f>
        <v>#REF!</v>
      </c>
    </row>
    <row r="13" spans="1:26">
      <c r="A13" s="261"/>
      <c r="C13" s="259"/>
      <c r="D13" s="262"/>
      <c r="E13" s="252"/>
      <c r="F13" s="262"/>
    </row>
    <row r="14" spans="1:26">
      <c r="A14" s="263" t="s">
        <v>723</v>
      </c>
      <c r="C14" s="259"/>
      <c r="D14" s="264" t="e">
        <f>+SOFP!#REF!</f>
        <v>#REF!</v>
      </c>
      <c r="F14" s="289" t="e">
        <f>+D14</f>
        <v>#REF!</v>
      </c>
      <c r="H14" s="289" t="e">
        <f>+F14-D14</f>
        <v>#REF!</v>
      </c>
    </row>
    <row r="15" spans="1:26">
      <c r="A15" s="265" t="s">
        <v>724</v>
      </c>
      <c r="C15" s="259"/>
      <c r="D15" s="266" t="e">
        <f>+SOFP!#REF!</f>
        <v>#REF!</v>
      </c>
      <c r="F15" s="290" t="e">
        <f>+D15</f>
        <v>#REF!</v>
      </c>
      <c r="H15" s="290">
        <v>0</v>
      </c>
      <c r="J15" s="294"/>
    </row>
    <row r="16" spans="1:26">
      <c r="A16" s="267"/>
      <c r="C16" s="259"/>
      <c r="D16" s="268" t="e">
        <f>SUM(D14:D15)</f>
        <v>#REF!</v>
      </c>
      <c r="F16" s="252" t="e">
        <f>SUM(F14:F15)</f>
        <v>#REF!</v>
      </c>
      <c r="H16" s="252" t="e">
        <f>SUM(H14:H15)</f>
        <v>#REF!</v>
      </c>
    </row>
    <row r="17" spans="1:9">
      <c r="A17" s="267"/>
      <c r="C17" s="259"/>
      <c r="D17" s="269"/>
    </row>
    <row r="18" spans="1:9">
      <c r="A18" s="261" t="s">
        <v>1429</v>
      </c>
      <c r="C18" s="259"/>
      <c r="D18" s="269"/>
    </row>
    <row r="19" spans="1:9" ht="6" customHeight="1">
      <c r="A19" s="261"/>
      <c r="C19" s="259"/>
      <c r="D19" s="269"/>
    </row>
    <row r="20" spans="1:9" ht="12.75" customHeight="1">
      <c r="A20" s="265" t="s">
        <v>726</v>
      </c>
      <c r="C20" s="259"/>
      <c r="D20" s="270" t="e">
        <f>+SOFP!#REF!</f>
        <v>#REF!</v>
      </c>
      <c r="E20" s="252"/>
      <c r="F20" s="289" t="e">
        <f>+D20</f>
        <v>#REF!</v>
      </c>
      <c r="G20" s="252"/>
      <c r="H20" s="289" t="e">
        <f>D20-F20</f>
        <v>#REF!</v>
      </c>
    </row>
    <row r="21" spans="1:9" ht="12.75" hidden="1" customHeight="1">
      <c r="A21" s="271" t="s">
        <v>1430</v>
      </c>
      <c r="C21" s="259"/>
      <c r="D21" s="272">
        <v>0</v>
      </c>
      <c r="F21" s="291">
        <v>0</v>
      </c>
      <c r="H21" s="291">
        <f>+D21-F21</f>
        <v>0</v>
      </c>
    </row>
    <row r="22" spans="1:9" ht="12.75" customHeight="1">
      <c r="A22" s="251" t="s">
        <v>960</v>
      </c>
      <c r="C22" s="259"/>
      <c r="D22" s="273">
        <v>0</v>
      </c>
      <c r="F22" s="290">
        <f>+D22</f>
        <v>0</v>
      </c>
      <c r="H22" s="290">
        <v>0</v>
      </c>
    </row>
    <row r="23" spans="1:9" ht="12.75" customHeight="1">
      <c r="C23" s="259"/>
      <c r="D23" s="274" t="e">
        <f>SUM(D20:D22)</f>
        <v>#REF!</v>
      </c>
      <c r="F23" s="292" t="e">
        <f>SUM(F20:F22)</f>
        <v>#REF!</v>
      </c>
      <c r="H23" s="293">
        <f>SUM(H21:H22)</f>
        <v>0</v>
      </c>
    </row>
    <row r="24" spans="1:9">
      <c r="F24" s="251"/>
    </row>
    <row r="25" spans="1:9">
      <c r="A25" s="258" t="s">
        <v>172</v>
      </c>
      <c r="C25" s="259"/>
      <c r="D25" s="269"/>
    </row>
    <row r="26" spans="1:9">
      <c r="A26" s="267" t="str">
        <f>[98]B.S!B40</f>
        <v>Trade and other payables</v>
      </c>
      <c r="C26" s="259"/>
      <c r="D26" s="270" t="e">
        <f>+SOFP!#REF!</f>
        <v>#REF!</v>
      </c>
      <c r="F26" s="289" t="e">
        <f>D26-(NOTES!#REF!/2)</f>
        <v>#REF!</v>
      </c>
      <c r="H26" s="289" t="e">
        <f>+F26-D26</f>
        <v>#REF!</v>
      </c>
      <c r="I26" s="251" t="e">
        <f>+NOTES!#REF!/2</f>
        <v>#REF!</v>
      </c>
    </row>
    <row r="27" spans="1:9">
      <c r="A27" s="267" t="str">
        <f>[98]B.S!B41</f>
        <v>Due to related party</v>
      </c>
      <c r="C27" s="259"/>
      <c r="D27" s="272" t="e">
        <f>+SOFP!#REF!</f>
        <v>#REF!</v>
      </c>
      <c r="F27" s="291" t="e">
        <f>D27</f>
        <v>#REF!</v>
      </c>
      <c r="H27" s="291" t="e">
        <f>D27-F27</f>
        <v>#REF!</v>
      </c>
    </row>
    <row r="28" spans="1:9" hidden="1">
      <c r="A28" s="267" t="str">
        <f>[98]B.S!B42</f>
        <v>Current portion of liabilities</v>
      </c>
      <c r="C28" s="259"/>
      <c r="D28" s="272"/>
      <c r="F28" s="291"/>
      <c r="H28" s="291">
        <f>+D28-F28</f>
        <v>0</v>
      </c>
    </row>
    <row r="29" spans="1:9" hidden="1">
      <c r="A29" s="267" t="str">
        <f>[98]B.S!B43</f>
        <v>against asset subject to finance lease</v>
      </c>
      <c r="C29" s="259"/>
      <c r="D29" s="272">
        <v>0</v>
      </c>
      <c r="F29" s="291">
        <v>0</v>
      </c>
      <c r="H29" s="291">
        <f>+D29-F29</f>
        <v>0</v>
      </c>
    </row>
    <row r="30" spans="1:9">
      <c r="A30" s="267" t="s">
        <v>680</v>
      </c>
      <c r="C30" s="259"/>
      <c r="D30" s="273">
        <v>0</v>
      </c>
      <c r="F30" s="290">
        <f>+D30</f>
        <v>0</v>
      </c>
      <c r="H30" s="290">
        <f>+F30-D30</f>
        <v>0</v>
      </c>
    </row>
    <row r="31" spans="1:9">
      <c r="A31" s="267"/>
      <c r="C31" s="275"/>
      <c r="D31" s="276" t="e">
        <f>SUM(D26:D30)</f>
        <v>#REF!</v>
      </c>
      <c r="F31" s="294" t="e">
        <f>SUM(F26:F30)</f>
        <v>#REF!</v>
      </c>
      <c r="H31" s="252" t="e">
        <f>SUM(H26:H30)</f>
        <v>#REF!</v>
      </c>
    </row>
    <row r="32" spans="1:9" ht="4.5" customHeight="1">
      <c r="A32" s="256"/>
      <c r="D32" s="269"/>
    </row>
    <row r="33" spans="1:14">
      <c r="A33" s="258" t="s">
        <v>1431</v>
      </c>
      <c r="D33" s="277" t="e">
        <f>+D31+D23+D16</f>
        <v>#REF!</v>
      </c>
      <c r="F33" s="295" t="e">
        <f>+F16+F23+F31</f>
        <v>#REF!</v>
      </c>
      <c r="H33" s="277" t="e">
        <f>+H16+H23+H31</f>
        <v>#REF!</v>
      </c>
      <c r="J33" s="278"/>
    </row>
    <row r="34" spans="1:14" ht="7.5" customHeight="1">
      <c r="A34" s="267"/>
      <c r="D34" s="278"/>
      <c r="L34" s="278"/>
    </row>
    <row r="35" spans="1:14">
      <c r="A35" s="1550" t="s">
        <v>9</v>
      </c>
      <c r="B35" s="1550"/>
      <c r="C35" s="1550"/>
    </row>
    <row r="36" spans="1:14" ht="6" customHeight="1">
      <c r="A36" s="256"/>
    </row>
    <row r="37" spans="1:14">
      <c r="A37" s="261" t="s">
        <v>1432</v>
      </c>
      <c r="J37" s="251">
        <v>778635</v>
      </c>
    </row>
    <row r="38" spans="1:14" ht="8.25" customHeight="1">
      <c r="A38" s="256"/>
    </row>
    <row r="39" spans="1:14">
      <c r="A39" s="279" t="s">
        <v>689</v>
      </c>
      <c r="C39" s="255"/>
      <c r="D39" s="270" t="e">
        <f>+SOFP!#REF!</f>
        <v>#REF!</v>
      </c>
      <c r="E39" s="252"/>
      <c r="F39" s="289">
        <f>'Tax dep'!P25</f>
        <v>11362701.1</v>
      </c>
      <c r="H39" s="289" t="e">
        <f>+D39-F39</f>
        <v>#REF!</v>
      </c>
    </row>
    <row r="40" spans="1:14">
      <c r="A40" s="279" t="s">
        <v>702</v>
      </c>
      <c r="C40" s="255"/>
      <c r="D40" s="272" t="e">
        <f>+SOFP!#REF!</f>
        <v>#REF!</v>
      </c>
      <c r="E40" s="252"/>
      <c r="F40" s="291" t="e">
        <f>D40</f>
        <v>#REF!</v>
      </c>
      <c r="H40" s="291" t="e">
        <f>+D40-F40</f>
        <v>#REF!</v>
      </c>
      <c r="J40" s="278">
        <f>F39</f>
        <v>11362701.1</v>
      </c>
    </row>
    <row r="41" spans="1:14">
      <c r="A41" s="279" t="s">
        <v>960</v>
      </c>
      <c r="C41" s="255"/>
      <c r="D41" s="273" t="e">
        <f>SOFP!#REF!</f>
        <v>#REF!</v>
      </c>
      <c r="E41" s="252"/>
      <c r="F41" s="290" t="e">
        <f>+D41</f>
        <v>#REF!</v>
      </c>
      <c r="H41" s="290" t="e">
        <f>+D41-F41</f>
        <v>#REF!</v>
      </c>
    </row>
    <row r="42" spans="1:14">
      <c r="A42" s="267"/>
      <c r="C42" s="255"/>
      <c r="D42" s="268" t="e">
        <f>SUM(D39:D41)</f>
        <v>#REF!</v>
      </c>
      <c r="E42" s="252"/>
      <c r="F42" s="252" t="e">
        <f>SUM(F39:F41)</f>
        <v>#REF!</v>
      </c>
      <c r="H42" s="252" t="e">
        <f>SUM(H39:H41)</f>
        <v>#REF!</v>
      </c>
      <c r="J42" s="278">
        <f>J37-J40</f>
        <v>-10584066.1</v>
      </c>
    </row>
    <row r="43" spans="1:14">
      <c r="A43" s="258" t="s">
        <v>10</v>
      </c>
      <c r="C43" s="255"/>
      <c r="D43" s="268"/>
      <c r="E43" s="252"/>
    </row>
    <row r="44" spans="1:14" ht="6.75" customHeight="1">
      <c r="A44" s="256"/>
      <c r="C44" s="255"/>
      <c r="D44" s="268"/>
      <c r="E44" s="252"/>
    </row>
    <row r="45" spans="1:14">
      <c r="A45" s="267" t="s">
        <v>1103</v>
      </c>
      <c r="C45" s="255"/>
      <c r="D45" s="280" t="e">
        <f>+SOFP!#REF!</f>
        <v>#REF!</v>
      </c>
      <c r="E45" s="252"/>
      <c r="F45" s="289" t="e">
        <f>+D45</f>
        <v>#REF!</v>
      </c>
      <c r="H45" s="289" t="e">
        <f t="shared" ref="H45:H50" si="0">+D45-F45</f>
        <v>#REF!</v>
      </c>
      <c r="N45" s="292"/>
    </row>
    <row r="46" spans="1:14">
      <c r="A46" s="267" t="s">
        <v>704</v>
      </c>
      <c r="C46" s="255"/>
      <c r="D46" s="281" t="e">
        <f>SOFP!#REF!</f>
        <v>#REF!</v>
      </c>
      <c r="E46" s="252"/>
      <c r="F46" s="291" t="e">
        <f>D46</f>
        <v>#REF!</v>
      </c>
      <c r="H46" s="291" t="e">
        <f t="shared" si="0"/>
        <v>#REF!</v>
      </c>
      <c r="N46" s="292"/>
    </row>
    <row r="47" spans="1:14">
      <c r="A47" s="267" t="s">
        <v>1433</v>
      </c>
      <c r="C47" s="255"/>
      <c r="D47" s="282"/>
      <c r="E47" s="252"/>
      <c r="F47" s="291"/>
      <c r="H47" s="291">
        <f t="shared" si="0"/>
        <v>0</v>
      </c>
    </row>
    <row r="48" spans="1:14">
      <c r="A48" s="283" t="s">
        <v>1434</v>
      </c>
      <c r="C48" s="255"/>
      <c r="D48" s="281" t="e">
        <f>+SOFP!#REF!</f>
        <v>#REF!</v>
      </c>
      <c r="E48" s="252"/>
      <c r="F48" s="291" t="e">
        <f>D48</f>
        <v>#REF!</v>
      </c>
      <c r="H48" s="291" t="e">
        <f t="shared" si="0"/>
        <v>#REF!</v>
      </c>
      <c r="J48" s="252"/>
      <c r="N48" s="278"/>
    </row>
    <row r="49" spans="1:15">
      <c r="A49" s="283" t="s">
        <v>1435</v>
      </c>
      <c r="C49" s="255"/>
      <c r="D49" s="281"/>
      <c r="E49" s="252"/>
      <c r="F49" s="291">
        <f>D49</f>
        <v>0</v>
      </c>
      <c r="H49" s="291">
        <f t="shared" si="0"/>
        <v>0</v>
      </c>
      <c r="J49" s="252"/>
      <c r="N49" s="278"/>
    </row>
    <row r="50" spans="1:15">
      <c r="A50" s="267" t="s">
        <v>707</v>
      </c>
      <c r="C50" s="255"/>
      <c r="D50" s="284" t="e">
        <f>+SOFP!#REF!</f>
        <v>#REF!</v>
      </c>
      <c r="E50" s="252"/>
      <c r="F50" s="290" t="e">
        <f>+D50</f>
        <v>#REF!</v>
      </c>
      <c r="H50" s="290" t="e">
        <f t="shared" si="0"/>
        <v>#REF!</v>
      </c>
      <c r="N50" s="262"/>
    </row>
    <row r="51" spans="1:15">
      <c r="C51" s="255"/>
      <c r="D51" s="268" t="e">
        <f>SUM(D45:D50)</f>
        <v>#REF!</v>
      </c>
      <c r="E51" s="252"/>
      <c r="F51" s="252" t="e">
        <f>SUM(F45:F50)</f>
        <v>#REF!</v>
      </c>
      <c r="H51" s="252" t="e">
        <f>SUM(H45:H50)</f>
        <v>#REF!</v>
      </c>
      <c r="N51" s="304"/>
      <c r="O51" s="269"/>
    </row>
    <row r="52" spans="1:15" ht="6" customHeight="1">
      <c r="C52" s="255"/>
      <c r="D52" s="268"/>
      <c r="E52" s="252"/>
    </row>
    <row r="53" spans="1:15">
      <c r="A53" s="269" t="s">
        <v>966</v>
      </c>
      <c r="D53" s="285" t="e">
        <f>D42+D51</f>
        <v>#REF!</v>
      </c>
      <c r="E53" s="252"/>
      <c r="F53" s="296" t="e">
        <f>F42+F51</f>
        <v>#REF!</v>
      </c>
      <c r="H53" s="296" t="e">
        <f>H42+H51</f>
        <v>#REF!</v>
      </c>
      <c r="J53" s="278"/>
      <c r="N53" s="304"/>
      <c r="O53" s="269"/>
    </row>
    <row r="54" spans="1:15" ht="6.75" customHeight="1">
      <c r="D54" s="278"/>
    </row>
    <row r="55" spans="1:15">
      <c r="A55" s="251" t="s">
        <v>1436</v>
      </c>
      <c r="F55" s="297">
        <v>0.28999999999999998</v>
      </c>
      <c r="H55" s="252" t="e">
        <f>ROUND(H33*29%,0)</f>
        <v>#REF!</v>
      </c>
    </row>
    <row r="56" spans="1:15" ht="15.75" customHeight="1">
      <c r="A56" s="251" t="s">
        <v>543</v>
      </c>
      <c r="F56" s="297">
        <v>0.28999999999999998</v>
      </c>
      <c r="H56" s="298" t="e">
        <f>ROUND(+H53*29%,0)</f>
        <v>#REF!</v>
      </c>
    </row>
    <row r="57" spans="1:15" ht="2.25" customHeight="1"/>
    <row r="58" spans="1:15">
      <c r="A58" s="251" t="s">
        <v>1437</v>
      </c>
      <c r="H58" s="252" t="e">
        <f>H56+H55</f>
        <v>#REF!</v>
      </c>
      <c r="I58" s="278" t="e">
        <f>-H58</f>
        <v>#REF!</v>
      </c>
    </row>
    <row r="59" spans="1:15" ht="4.5" customHeight="1"/>
    <row r="60" spans="1:15" ht="4.5" customHeight="1">
      <c r="H60" s="262"/>
    </row>
    <row r="61" spans="1:15" ht="6" customHeight="1"/>
    <row r="62" spans="1:15">
      <c r="A62" s="251" t="s">
        <v>1438</v>
      </c>
      <c r="H62" s="252" t="e">
        <f>-SOFP!#REF!</f>
        <v>#REF!</v>
      </c>
      <c r="J62" s="278"/>
      <c r="K62" s="251">
        <f>285640-63980</f>
        <v>221660</v>
      </c>
    </row>
    <row r="63" spans="1:15" ht="5.25" customHeight="1"/>
    <row r="64" spans="1:15">
      <c r="A64" s="251" t="s">
        <v>1439</v>
      </c>
      <c r="H64" s="296" t="e">
        <f>+-H62+H58</f>
        <v>#REF!</v>
      </c>
      <c r="J64" s="278"/>
    </row>
    <row r="65" spans="10:10">
      <c r="J65" s="278"/>
    </row>
    <row r="66" spans="10:10">
      <c r="J66" s="251">
        <f>-57435</f>
        <v>-57435</v>
      </c>
    </row>
    <row r="68" spans="10:10">
      <c r="J68" s="278">
        <f>J65+J66</f>
        <v>-57435</v>
      </c>
    </row>
    <row r="69" spans="10:10">
      <c r="J69" s="278" t="e">
        <f>H62</f>
        <v>#REF!</v>
      </c>
    </row>
    <row r="70" spans="10:10">
      <c r="J70" s="278" t="e">
        <f>J68+J69</f>
        <v>#REF!</v>
      </c>
    </row>
  </sheetData>
  <mergeCells count="4">
    <mergeCell ref="A1:H1"/>
    <mergeCell ref="A2:H2"/>
    <mergeCell ref="A8:B8"/>
    <mergeCell ref="A35:C35"/>
  </mergeCells>
  <printOptions horizontalCentered="1"/>
  <pageMargins left="0.55118110236220497" right="0.44685039399999998" top="0.683070866" bottom="0.36811023599999998" header="0.511811023622047" footer="0.511811023622047"/>
  <pageSetup paperSize="9" fitToHeight="0"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5">
    <pageSetUpPr fitToPage="1"/>
  </sheetPr>
  <dimension ref="A1:V59"/>
  <sheetViews>
    <sheetView showGridLines="0" view="pageBreakPreview" zoomScaleNormal="100" workbookViewId="0">
      <selection activeCell="P25" sqref="P25"/>
    </sheetView>
  </sheetViews>
  <sheetFormatPr defaultColWidth="9.1796875" defaultRowHeight="13"/>
  <cols>
    <col min="1" max="1" width="2.453125" style="203" customWidth="1"/>
    <col min="2" max="2" width="26.81640625" style="203" customWidth="1"/>
    <col min="3" max="3" width="1.1796875" style="203" customWidth="1"/>
    <col min="4" max="5" width="14.453125" style="203" customWidth="1"/>
    <col min="6" max="6" width="14.54296875" style="203" customWidth="1"/>
    <col min="7" max="7" width="16.453125" style="203" customWidth="1"/>
    <col min="8" max="8" width="2" style="203" customWidth="1"/>
    <col min="9" max="9" width="6.81640625" style="203" customWidth="1"/>
    <col min="10" max="10" width="14" style="203" customWidth="1"/>
    <col min="11" max="11" width="20.54296875" style="203" hidden="1" customWidth="1"/>
    <col min="12" max="12" width="7.453125" style="203" customWidth="1"/>
    <col min="13" max="13" width="13.453125" style="203" customWidth="1"/>
    <col min="14" max="14" width="16.453125" style="203" customWidth="1"/>
    <col min="15" max="15" width="1.1796875" style="203" customWidth="1"/>
    <col min="16" max="16" width="17.81640625" style="203" customWidth="1"/>
    <col min="17" max="17" width="1.453125" style="203" customWidth="1"/>
    <col min="18" max="18" width="23.453125" style="203" hidden="1" customWidth="1"/>
    <col min="19" max="19" width="1.453125" style="203" customWidth="1"/>
    <col min="20" max="20" width="17.453125" style="203" hidden="1" customWidth="1"/>
    <col min="21" max="21" width="12.1796875" style="203" customWidth="1"/>
    <col min="22" max="16384" width="9.1796875" style="203"/>
  </cols>
  <sheetData>
    <row r="1" spans="1:22" ht="18">
      <c r="B1" s="204" t="s">
        <v>1440</v>
      </c>
      <c r="C1" s="205"/>
      <c r="D1" s="205"/>
      <c r="E1" s="205"/>
      <c r="F1" s="205"/>
      <c r="G1" s="205"/>
      <c r="H1" s="205"/>
      <c r="I1" s="205"/>
      <c r="J1" s="205"/>
      <c r="K1" s="205"/>
      <c r="L1" s="205"/>
      <c r="M1" s="205"/>
      <c r="N1" s="205"/>
      <c r="O1" s="205"/>
      <c r="P1" s="205"/>
      <c r="Q1" s="205"/>
      <c r="R1" s="205"/>
      <c r="S1" s="205"/>
      <c r="T1" s="205"/>
      <c r="U1" s="205"/>
      <c r="V1" s="205"/>
    </row>
    <row r="2" spans="1:22" ht="9.75" customHeight="1">
      <c r="B2" s="205"/>
      <c r="C2" s="205"/>
      <c r="D2" s="205"/>
      <c r="E2" s="205"/>
      <c r="F2" s="205"/>
      <c r="G2" s="225"/>
      <c r="H2" s="225"/>
      <c r="I2" s="205"/>
      <c r="J2" s="205"/>
      <c r="K2" s="205"/>
      <c r="L2" s="205"/>
      <c r="M2" s="205"/>
      <c r="N2" s="205"/>
      <c r="O2" s="205"/>
      <c r="P2" s="205"/>
      <c r="Q2" s="205"/>
      <c r="R2" s="205"/>
      <c r="S2" s="205"/>
      <c r="T2" s="205"/>
      <c r="U2" s="205"/>
      <c r="V2" s="205"/>
    </row>
    <row r="3" spans="1:22" ht="18">
      <c r="A3" s="206"/>
      <c r="B3" s="204" t="s">
        <v>1441</v>
      </c>
      <c r="C3" s="205"/>
      <c r="D3" s="205"/>
      <c r="E3" s="205"/>
      <c r="F3" s="205"/>
      <c r="G3" s="205"/>
      <c r="H3" s="205"/>
      <c r="I3" s="205"/>
      <c r="J3" s="205"/>
      <c r="K3" s="205"/>
      <c r="L3" s="205"/>
      <c r="M3" s="205"/>
      <c r="N3" s="205"/>
      <c r="O3" s="205"/>
      <c r="P3" s="205"/>
      <c r="Q3" s="205"/>
      <c r="R3" s="205"/>
      <c r="S3" s="205"/>
      <c r="T3" s="205"/>
      <c r="U3" s="205"/>
      <c r="V3" s="205"/>
    </row>
    <row r="4" spans="1:22" ht="18">
      <c r="B4" s="205"/>
      <c r="C4" s="205"/>
      <c r="D4" s="205"/>
      <c r="E4" s="205"/>
      <c r="F4" s="205"/>
      <c r="G4" s="205"/>
      <c r="H4" s="205"/>
      <c r="I4" s="205"/>
      <c r="J4" s="205"/>
      <c r="K4" s="205"/>
      <c r="L4" s="205"/>
      <c r="M4" s="205"/>
      <c r="N4" s="205"/>
      <c r="O4" s="205"/>
      <c r="P4" s="205"/>
      <c r="Q4" s="205"/>
      <c r="R4" s="205"/>
      <c r="S4" s="205"/>
      <c r="T4" s="205"/>
      <c r="U4" s="205"/>
      <c r="V4" s="205"/>
    </row>
    <row r="5" spans="1:22" ht="18">
      <c r="B5" s="207"/>
      <c r="C5" s="205"/>
      <c r="D5" s="1555" t="s">
        <v>1442</v>
      </c>
      <c r="E5" s="1556"/>
      <c r="F5" s="1556"/>
      <c r="G5" s="1557"/>
      <c r="H5" s="205"/>
      <c r="I5" s="1555" t="s">
        <v>1170</v>
      </c>
      <c r="J5" s="1558"/>
      <c r="K5" s="1559"/>
      <c r="L5" s="1558"/>
      <c r="M5" s="1558"/>
      <c r="N5" s="1560"/>
      <c r="O5" s="205"/>
      <c r="P5" s="207" t="s">
        <v>1443</v>
      </c>
      <c r="Q5" s="205"/>
      <c r="R5" s="207" t="s">
        <v>1443</v>
      </c>
      <c r="S5" s="205"/>
      <c r="T5" s="207" t="s">
        <v>1444</v>
      </c>
      <c r="U5" s="205"/>
      <c r="V5" s="205"/>
    </row>
    <row r="6" spans="1:22" ht="18">
      <c r="B6" s="208"/>
      <c r="C6" s="205"/>
      <c r="D6" s="209"/>
      <c r="E6" s="226"/>
      <c r="F6" s="226"/>
      <c r="G6" s="227"/>
      <c r="H6" s="205"/>
      <c r="I6" s="1561" t="s">
        <v>1445</v>
      </c>
      <c r="J6" s="1562"/>
      <c r="K6" s="1552" t="s">
        <v>1446</v>
      </c>
      <c r="L6" s="1563" t="s">
        <v>1447</v>
      </c>
      <c r="M6" s="1563"/>
      <c r="N6" s="1562"/>
      <c r="O6" s="205"/>
      <c r="P6" s="243" t="s">
        <v>1448</v>
      </c>
      <c r="Q6" s="205"/>
      <c r="R6" s="208"/>
      <c r="S6" s="205"/>
      <c r="T6" s="208" t="s">
        <v>1449</v>
      </c>
      <c r="U6" s="205"/>
      <c r="V6" s="205"/>
    </row>
    <row r="7" spans="1:22" ht="18">
      <c r="B7" s="210" t="s">
        <v>1450</v>
      </c>
      <c r="C7" s="211"/>
      <c r="D7" s="212" t="s">
        <v>1451</v>
      </c>
      <c r="E7" s="228"/>
      <c r="F7" s="229" t="s">
        <v>1452</v>
      </c>
      <c r="G7" s="228" t="s">
        <v>1453</v>
      </c>
      <c r="H7" s="205"/>
      <c r="I7" s="228" t="s">
        <v>1354</v>
      </c>
      <c r="J7" s="212" t="s">
        <v>1454</v>
      </c>
      <c r="K7" s="1553"/>
      <c r="L7" s="228" t="s">
        <v>1354</v>
      </c>
      <c r="M7" s="244">
        <v>43646</v>
      </c>
      <c r="N7" s="228" t="s">
        <v>1453</v>
      </c>
      <c r="O7" s="205"/>
      <c r="P7" s="243" t="s">
        <v>1453</v>
      </c>
      <c r="Q7" s="205"/>
      <c r="R7" s="243" t="s">
        <v>1453</v>
      </c>
      <c r="S7" s="205"/>
      <c r="T7" s="243" t="s">
        <v>1453</v>
      </c>
      <c r="U7" s="205"/>
      <c r="V7" s="205"/>
    </row>
    <row r="8" spans="1:22" ht="18">
      <c r="B8" s="213"/>
      <c r="C8" s="205"/>
      <c r="D8" s="214">
        <v>2018</v>
      </c>
      <c r="E8" s="230" t="s">
        <v>1133</v>
      </c>
      <c r="F8" s="231" t="s">
        <v>1134</v>
      </c>
      <c r="G8" s="230">
        <v>2019</v>
      </c>
      <c r="H8" s="205"/>
      <c r="I8" s="230" t="s">
        <v>1361</v>
      </c>
      <c r="J8" s="214" t="s">
        <v>957</v>
      </c>
      <c r="K8" s="1554"/>
      <c r="L8" s="230" t="s">
        <v>1361</v>
      </c>
      <c r="M8" s="230" t="s">
        <v>1455</v>
      </c>
      <c r="N8" s="230">
        <v>2019</v>
      </c>
      <c r="O8" s="205"/>
      <c r="P8" s="230">
        <v>2019</v>
      </c>
      <c r="Q8" s="205"/>
      <c r="R8" s="230">
        <v>2004</v>
      </c>
      <c r="S8" s="205"/>
      <c r="T8" s="230">
        <v>2004</v>
      </c>
      <c r="U8" s="205"/>
      <c r="V8" s="205"/>
    </row>
    <row r="9" spans="1:22" ht="18">
      <c r="B9" s="205"/>
      <c r="C9" s="205"/>
      <c r="D9" s="205"/>
      <c r="E9" s="205"/>
      <c r="F9" s="205"/>
      <c r="G9" s="205"/>
      <c r="H9" s="205"/>
      <c r="I9" s="205"/>
      <c r="J9" s="205"/>
      <c r="K9" s="205"/>
      <c r="L9" s="205"/>
      <c r="M9" s="205"/>
      <c r="N9" s="205"/>
      <c r="O9" s="205"/>
      <c r="P9" s="205"/>
      <c r="Q9" s="205"/>
      <c r="R9" s="205"/>
      <c r="S9" s="205"/>
      <c r="T9" s="205"/>
      <c r="U9" s="205"/>
      <c r="V9" s="205"/>
    </row>
    <row r="10" spans="1:22" ht="18">
      <c r="B10" s="204"/>
      <c r="C10" s="205"/>
      <c r="D10" s="205"/>
      <c r="E10" s="205"/>
      <c r="F10" s="205"/>
      <c r="G10" s="205"/>
      <c r="H10" s="205"/>
      <c r="I10" s="205"/>
      <c r="J10" s="205"/>
      <c r="K10" s="205"/>
      <c r="L10" s="205"/>
      <c r="M10" s="205"/>
      <c r="N10" s="205"/>
      <c r="O10" s="205"/>
      <c r="P10" s="205"/>
      <c r="Q10" s="205"/>
      <c r="R10" s="205"/>
      <c r="S10" s="205"/>
      <c r="T10" s="205"/>
      <c r="U10" s="205"/>
      <c r="V10" s="205"/>
    </row>
    <row r="11" spans="1:22" ht="18">
      <c r="B11" s="204"/>
      <c r="C11" s="205"/>
      <c r="D11" s="205"/>
      <c r="E11" s="205"/>
      <c r="F11" s="205"/>
      <c r="G11" s="205"/>
      <c r="H11" s="205"/>
      <c r="I11" s="205"/>
      <c r="J11" s="205"/>
      <c r="K11" s="205"/>
      <c r="L11" s="205"/>
      <c r="M11" s="205"/>
      <c r="N11" s="240"/>
      <c r="O11" s="205"/>
      <c r="P11" s="205"/>
      <c r="Q11" s="205"/>
      <c r="R11" s="205"/>
      <c r="S11" s="205"/>
      <c r="T11" s="205"/>
      <c r="U11" s="205"/>
      <c r="V11" s="205"/>
    </row>
    <row r="12" spans="1:22" ht="18">
      <c r="B12" s="205" t="s">
        <v>1364</v>
      </c>
      <c r="C12" s="205"/>
      <c r="D12" s="215">
        <v>0</v>
      </c>
      <c r="E12" s="215">
        <f>'FIXED ASSETS'!K11</f>
        <v>700000</v>
      </c>
      <c r="F12" s="217">
        <v>0</v>
      </c>
      <c r="G12" s="217">
        <f>D12+E12-F12</f>
        <v>700000</v>
      </c>
      <c r="H12" s="205"/>
      <c r="I12" s="237"/>
      <c r="J12" s="217">
        <v>0</v>
      </c>
      <c r="K12" s="217">
        <f>G12-J12</f>
        <v>700000</v>
      </c>
      <c r="L12" s="238">
        <v>15</v>
      </c>
      <c r="M12" s="217">
        <f>ROUND((G12-J12)*L12%,0)</f>
        <v>105000</v>
      </c>
      <c r="N12" s="217">
        <f>J12+M12</f>
        <v>105000</v>
      </c>
      <c r="O12" s="205"/>
      <c r="P12" s="245">
        <f>G12-N12</f>
        <v>595000</v>
      </c>
      <c r="Q12" s="205"/>
      <c r="R12" s="245">
        <v>37651891.631612301</v>
      </c>
      <c r="S12" s="205"/>
      <c r="T12" s="245">
        <f>R12-P12</f>
        <v>37056891.631612301</v>
      </c>
      <c r="U12" s="250"/>
      <c r="V12" s="205"/>
    </row>
    <row r="13" spans="1:22" ht="18">
      <c r="B13" s="205"/>
      <c r="C13" s="205"/>
      <c r="D13" s="215"/>
      <c r="E13" s="215"/>
      <c r="F13" s="217"/>
      <c r="G13" s="217"/>
      <c r="H13" s="205"/>
      <c r="I13" s="211"/>
      <c r="J13" s="217"/>
      <c r="K13" s="217">
        <f>G13-J13</f>
        <v>0</v>
      </c>
      <c r="L13" s="238"/>
      <c r="M13" s="217"/>
      <c r="N13" s="217"/>
      <c r="O13" s="205"/>
      <c r="P13" s="245"/>
      <c r="Q13" s="205"/>
      <c r="R13" s="245">
        <v>108807707.615376</v>
      </c>
      <c r="S13" s="205"/>
      <c r="T13" s="245">
        <f>R13-P13</f>
        <v>108807707.615376</v>
      </c>
      <c r="U13" s="205"/>
      <c r="V13" s="205"/>
    </row>
    <row r="14" spans="1:22" ht="18">
      <c r="B14" s="205" t="s">
        <v>1365</v>
      </c>
      <c r="C14" s="205"/>
      <c r="D14" s="215">
        <v>0</v>
      </c>
      <c r="E14" s="215">
        <f>'FIXED ASSETS'!K12</f>
        <v>112428</v>
      </c>
      <c r="F14" s="217">
        <v>0</v>
      </c>
      <c r="G14" s="217">
        <f>D14+E14-F14</f>
        <v>112428</v>
      </c>
      <c r="H14" s="205"/>
      <c r="I14" s="211"/>
      <c r="J14" s="217">
        <f>G14*0.25</f>
        <v>28107</v>
      </c>
      <c r="K14" s="217">
        <f>G14-J14</f>
        <v>84321</v>
      </c>
      <c r="L14" s="238">
        <v>15</v>
      </c>
      <c r="M14" s="217">
        <f>ROUND((G14-J14)*L14%,0)</f>
        <v>12648</v>
      </c>
      <c r="N14" s="217">
        <f>J14+M14</f>
        <v>40755</v>
      </c>
      <c r="O14" s="205"/>
      <c r="P14" s="245">
        <f>G14-N14</f>
        <v>71673</v>
      </c>
      <c r="Q14" s="205"/>
      <c r="R14" s="245">
        <v>20555937.3780117</v>
      </c>
      <c r="S14" s="205"/>
      <c r="T14" s="245">
        <f>R14-P14</f>
        <v>20484264.3780117</v>
      </c>
      <c r="U14" s="205"/>
      <c r="V14" s="205"/>
    </row>
    <row r="15" spans="1:22" ht="18">
      <c r="B15" s="205"/>
      <c r="C15" s="205"/>
      <c r="D15" s="215"/>
      <c r="E15" s="215"/>
      <c r="F15" s="217"/>
      <c r="G15" s="217"/>
      <c r="H15" s="205"/>
      <c r="I15" s="211"/>
      <c r="J15" s="217"/>
      <c r="K15" s="217">
        <f>G15-J15</f>
        <v>0</v>
      </c>
      <c r="L15" s="238"/>
      <c r="M15" s="217"/>
      <c r="N15" s="217"/>
      <c r="O15" s="205"/>
      <c r="P15" s="245"/>
      <c r="Q15" s="205"/>
      <c r="R15" s="245">
        <v>790392.14583333302</v>
      </c>
      <c r="S15" s="205"/>
      <c r="T15" s="245">
        <f>R15-P15</f>
        <v>790392.14583333302</v>
      </c>
      <c r="U15" s="205"/>
      <c r="V15" s="205"/>
    </row>
    <row r="16" spans="1:22" ht="18">
      <c r="B16" s="205" t="s">
        <v>1366</v>
      </c>
      <c r="C16" s="205"/>
      <c r="D16" s="216">
        <v>0</v>
      </c>
      <c r="E16" s="215">
        <f>'FIXED ASSETS'!K13</f>
        <v>359358</v>
      </c>
      <c r="F16" s="232">
        <v>0</v>
      </c>
      <c r="G16" s="217">
        <f>D16+E16-F16</f>
        <v>359358</v>
      </c>
      <c r="H16" s="205"/>
      <c r="I16" s="211"/>
      <c r="J16" s="217">
        <f>G16*0.25</f>
        <v>89839.5</v>
      </c>
      <c r="K16" s="232">
        <f>G16-J16</f>
        <v>269518.5</v>
      </c>
      <c r="L16" s="239">
        <v>30</v>
      </c>
      <c r="M16" s="217">
        <f>ROUND((G16-J16)*L16%,0)</f>
        <v>80856</v>
      </c>
      <c r="N16" s="217">
        <f>J16+M16</f>
        <v>170695.5</v>
      </c>
      <c r="O16" s="205"/>
      <c r="P16" s="245">
        <f>G16-N16</f>
        <v>188662.5</v>
      </c>
      <c r="Q16" s="205"/>
      <c r="R16" s="245">
        <v>177028.125</v>
      </c>
      <c r="S16" s="205"/>
      <c r="T16" s="245">
        <f>R16-P16</f>
        <v>-11634.375</v>
      </c>
      <c r="U16" s="205"/>
      <c r="V16" s="205"/>
    </row>
    <row r="17" spans="2:22" ht="18">
      <c r="B17" s="205"/>
      <c r="C17" s="205"/>
      <c r="D17" s="216"/>
      <c r="E17" s="215"/>
      <c r="F17" s="232">
        <v>0</v>
      </c>
      <c r="G17" s="217">
        <f t="shared" ref="G17:G24" si="0">D17+E17-F17</f>
        <v>0</v>
      </c>
      <c r="H17" s="205"/>
      <c r="I17" s="211"/>
      <c r="J17" s="217"/>
      <c r="K17" s="232"/>
      <c r="L17" s="239"/>
      <c r="M17" s="217"/>
      <c r="N17" s="217"/>
      <c r="O17" s="205"/>
      <c r="P17" s="245"/>
      <c r="Q17" s="205"/>
      <c r="R17" s="245"/>
      <c r="S17" s="205"/>
      <c r="T17" s="245"/>
      <c r="U17" s="205"/>
      <c r="V17" s="205"/>
    </row>
    <row r="18" spans="2:22" ht="18">
      <c r="B18" s="205" t="s">
        <v>1367</v>
      </c>
      <c r="C18" s="205"/>
      <c r="D18" s="216">
        <v>0</v>
      </c>
      <c r="E18" s="215">
        <f>'FIXED ASSETS'!K14</f>
        <v>2890959</v>
      </c>
      <c r="F18" s="232">
        <v>0</v>
      </c>
      <c r="G18" s="217">
        <f t="shared" si="0"/>
        <v>2890959</v>
      </c>
      <c r="H18" s="205"/>
      <c r="I18" s="211"/>
      <c r="J18" s="217">
        <f>G18*0.25</f>
        <v>722739.75</v>
      </c>
      <c r="K18" s="232"/>
      <c r="L18" s="239">
        <f>'FIXED ASSETS'!N14</f>
        <v>15</v>
      </c>
      <c r="M18" s="217">
        <f>ROUND((G18-J18)*L18%,0)</f>
        <v>325233</v>
      </c>
      <c r="N18" s="217">
        <f>M18</f>
        <v>325233</v>
      </c>
      <c r="O18" s="205"/>
      <c r="P18" s="245">
        <f>G18-N18</f>
        <v>2565726</v>
      </c>
      <c r="Q18" s="205"/>
      <c r="R18" s="245"/>
      <c r="S18" s="205"/>
      <c r="T18" s="245"/>
      <c r="U18" s="205"/>
      <c r="V18" s="205"/>
    </row>
    <row r="19" spans="2:22" ht="18">
      <c r="B19" s="205"/>
      <c r="C19" s="205"/>
      <c r="D19" s="216"/>
      <c r="E19" s="215"/>
      <c r="F19" s="232">
        <v>0</v>
      </c>
      <c r="G19" s="217">
        <f t="shared" si="0"/>
        <v>0</v>
      </c>
      <c r="H19" s="205"/>
      <c r="I19" s="211"/>
      <c r="J19" s="217"/>
      <c r="K19" s="232"/>
      <c r="L19" s="239"/>
      <c r="M19" s="217"/>
      <c r="N19" s="217"/>
      <c r="O19" s="205"/>
      <c r="P19" s="245"/>
      <c r="Q19" s="205"/>
      <c r="R19" s="245"/>
      <c r="S19" s="205"/>
      <c r="T19" s="245"/>
      <c r="U19" s="205"/>
      <c r="V19" s="205"/>
    </row>
    <row r="20" spans="2:22" ht="18">
      <c r="B20" s="205" t="s">
        <v>1368</v>
      </c>
      <c r="C20" s="205"/>
      <c r="D20" s="216">
        <v>0</v>
      </c>
      <c r="E20" s="215">
        <f>'FIXED ASSETS'!K15</f>
        <v>732000</v>
      </c>
      <c r="F20" s="232">
        <v>0</v>
      </c>
      <c r="G20" s="217">
        <f t="shared" si="0"/>
        <v>732000</v>
      </c>
      <c r="H20" s="205"/>
      <c r="I20" s="211"/>
      <c r="J20" s="217">
        <f>G20*0.25</f>
        <v>183000</v>
      </c>
      <c r="K20" s="232"/>
      <c r="L20" s="239">
        <f>'FIXED ASSETS'!N16</f>
        <v>15</v>
      </c>
      <c r="M20" s="217">
        <f>ROUND((G20-J20)*L20%,0)</f>
        <v>82350</v>
      </c>
      <c r="N20" s="217">
        <f>M20</f>
        <v>82350</v>
      </c>
      <c r="O20" s="205"/>
      <c r="P20" s="245">
        <f>G20-N20</f>
        <v>649650</v>
      </c>
      <c r="Q20" s="205"/>
      <c r="R20" s="245"/>
      <c r="S20" s="205"/>
      <c r="T20" s="245"/>
      <c r="U20" s="205"/>
      <c r="V20" s="205"/>
    </row>
    <row r="21" spans="2:22" ht="18">
      <c r="B21" s="205"/>
      <c r="C21" s="205"/>
      <c r="D21" s="216"/>
      <c r="E21" s="215"/>
      <c r="F21" s="232"/>
      <c r="G21" s="217"/>
      <c r="H21" s="205"/>
      <c r="I21" s="211"/>
      <c r="J21" s="217"/>
      <c r="K21" s="232"/>
      <c r="L21" s="239"/>
      <c r="M21" s="217"/>
      <c r="N21" s="217"/>
      <c r="O21" s="205"/>
      <c r="P21" s="245"/>
      <c r="Q21" s="205"/>
      <c r="R21" s="245"/>
      <c r="S21" s="205"/>
      <c r="T21" s="245"/>
      <c r="U21" s="205"/>
      <c r="V21" s="205"/>
    </row>
    <row r="22" spans="2:22" ht="18">
      <c r="B22" s="205" t="s">
        <v>1456</v>
      </c>
      <c r="C22" s="205"/>
      <c r="D22" s="216">
        <v>0</v>
      </c>
      <c r="E22" s="215">
        <f>'FIXED ASSETS'!K16</f>
        <v>1068000</v>
      </c>
      <c r="F22" s="232">
        <v>0</v>
      </c>
      <c r="G22" s="217">
        <f t="shared" si="0"/>
        <v>1068000</v>
      </c>
      <c r="H22" s="205"/>
      <c r="I22" s="211"/>
      <c r="J22" s="217">
        <f>G22*0.25</f>
        <v>267000</v>
      </c>
      <c r="K22" s="232"/>
      <c r="L22" s="239">
        <f>L20</f>
        <v>15</v>
      </c>
      <c r="M22" s="217">
        <f>ROUND((G22-J22)*L22%,0)</f>
        <v>120150</v>
      </c>
      <c r="N22" s="217">
        <f>M22</f>
        <v>120150</v>
      </c>
      <c r="O22" s="205"/>
      <c r="P22" s="245">
        <f>G22-N22</f>
        <v>947850</v>
      </c>
      <c r="Q22" s="205"/>
      <c r="R22" s="245"/>
      <c r="S22" s="205"/>
      <c r="T22" s="245"/>
      <c r="U22" s="205"/>
      <c r="V22" s="205"/>
    </row>
    <row r="23" spans="2:22" ht="18">
      <c r="B23" s="205"/>
      <c r="C23" s="205"/>
      <c r="D23" s="216"/>
      <c r="E23" s="215"/>
      <c r="F23" s="232"/>
      <c r="G23" s="217"/>
      <c r="H23" s="205"/>
      <c r="I23" s="211"/>
      <c r="J23" s="217"/>
      <c r="K23" s="232"/>
      <c r="L23" s="238"/>
      <c r="M23" s="217">
        <f>ROUND((G23-J23)*L23%,0)</f>
        <v>0</v>
      </c>
      <c r="N23" s="217">
        <f>J23+M23</f>
        <v>0</v>
      </c>
      <c r="O23" s="205"/>
      <c r="P23" s="245">
        <f>G23-N23</f>
        <v>0</v>
      </c>
      <c r="Q23" s="205"/>
      <c r="R23" s="245"/>
      <c r="S23" s="205"/>
      <c r="T23" s="245"/>
      <c r="U23" s="205"/>
      <c r="V23" s="205"/>
    </row>
    <row r="24" spans="2:22" ht="18">
      <c r="B24" s="205" t="s">
        <v>1370</v>
      </c>
      <c r="C24" s="205"/>
      <c r="D24" s="217">
        <v>0</v>
      </c>
      <c r="E24" s="217">
        <f>'FIXED ASSETS'!K17</f>
        <v>8780816</v>
      </c>
      <c r="F24" s="217">
        <v>0</v>
      </c>
      <c r="G24" s="217">
        <f t="shared" si="0"/>
        <v>8780816</v>
      </c>
      <c r="H24" s="205"/>
      <c r="I24" s="205"/>
      <c r="J24" s="217">
        <f>G24*0.15</f>
        <v>1317122.3999999999</v>
      </c>
      <c r="K24" s="240"/>
      <c r="L24" s="238">
        <v>15</v>
      </c>
      <c r="M24" s="217">
        <f>ROUND((G24-J24)*L24%,0)</f>
        <v>1119554</v>
      </c>
      <c r="N24" s="217">
        <f>M24+J24</f>
        <v>2436676.4</v>
      </c>
      <c r="O24" s="205"/>
      <c r="P24" s="245">
        <f>G24-N24</f>
        <v>6344139.5999999996</v>
      </c>
      <c r="Q24" s="205"/>
      <c r="R24" s="245"/>
      <c r="S24" s="205"/>
      <c r="T24" s="245"/>
      <c r="U24" s="205"/>
      <c r="V24" s="205"/>
    </row>
    <row r="25" spans="2:22" ht="18">
      <c r="B25" s="204" t="s">
        <v>1457</v>
      </c>
      <c r="C25" s="205"/>
      <c r="D25" s="218">
        <f>SUM(D12:D23)</f>
        <v>0</v>
      </c>
      <c r="E25" s="218">
        <f>SUM(E11:E24)</f>
        <v>14643561</v>
      </c>
      <c r="F25" s="218">
        <f>SUM(F11:F24)</f>
        <v>0</v>
      </c>
      <c r="G25" s="218">
        <f>SUM(G11:G24)</f>
        <v>14643561</v>
      </c>
      <c r="H25" s="205"/>
      <c r="I25" s="205"/>
      <c r="J25" s="218">
        <f>SUM(J11:J24)</f>
        <v>2607808.65</v>
      </c>
      <c r="K25" s="241">
        <f>G25-J25</f>
        <v>12035752.35</v>
      </c>
      <c r="L25" s="205"/>
      <c r="M25" s="218">
        <f>SUM(M11:M24)</f>
        <v>1845791</v>
      </c>
      <c r="N25" s="218">
        <f>SUM(N11:N24)</f>
        <v>3280859.9</v>
      </c>
      <c r="O25" s="218">
        <f>SUM(O11:O24)</f>
        <v>0</v>
      </c>
      <c r="P25" s="218">
        <f>SUM(P11:P24)</f>
        <v>11362701.1</v>
      </c>
      <c r="Q25" s="205"/>
      <c r="R25" s="218">
        <v>184364381.1875</v>
      </c>
      <c r="S25" s="205"/>
      <c r="T25" s="249">
        <f>SUM(T12:T24)</f>
        <v>167127621.39583299</v>
      </c>
      <c r="U25" s="205"/>
      <c r="V25" s="205"/>
    </row>
    <row r="26" spans="2:22" ht="18">
      <c r="B26" s="205"/>
      <c r="C26" s="205"/>
      <c r="D26" s="219"/>
      <c r="E26" s="219"/>
      <c r="F26" s="219"/>
      <c r="G26" s="219"/>
      <c r="H26" s="205"/>
      <c r="I26" s="205"/>
      <c r="J26" s="205"/>
      <c r="K26" s="240">
        <f>G26-J26</f>
        <v>0</v>
      </c>
      <c r="L26" s="205"/>
      <c r="M26" s="219"/>
      <c r="N26" s="219"/>
      <c r="O26" s="204"/>
      <c r="P26" s="219"/>
      <c r="Q26" s="205"/>
      <c r="R26" s="219"/>
      <c r="S26" s="205"/>
      <c r="T26" s="205"/>
      <c r="U26" s="205"/>
      <c r="V26" s="205"/>
    </row>
    <row r="27" spans="2:22" ht="18" hidden="1">
      <c r="B27" s="204" t="s">
        <v>1458</v>
      </c>
      <c r="C27" s="205"/>
      <c r="D27" s="219">
        <v>8046171</v>
      </c>
      <c r="E27" s="219">
        <v>8618559</v>
      </c>
      <c r="F27" s="219">
        <v>0</v>
      </c>
      <c r="G27" s="219">
        <v>16664730</v>
      </c>
      <c r="H27" s="205"/>
      <c r="I27" s="205"/>
      <c r="J27" s="205"/>
      <c r="K27" s="242">
        <f>G27-J27</f>
        <v>16664730</v>
      </c>
      <c r="L27" s="205"/>
      <c r="M27" s="219">
        <v>0</v>
      </c>
      <c r="N27" s="219">
        <v>0</v>
      </c>
      <c r="O27" s="204"/>
      <c r="P27" s="219">
        <v>16664730</v>
      </c>
      <c r="Q27" s="205"/>
      <c r="R27" s="219">
        <v>16664730</v>
      </c>
      <c r="S27" s="205"/>
      <c r="T27" s="242">
        <v>0</v>
      </c>
      <c r="U27" s="205"/>
      <c r="V27" s="205"/>
    </row>
    <row r="28" spans="2:22" ht="18">
      <c r="B28" s="205"/>
      <c r="C28" s="205"/>
      <c r="D28" s="219"/>
      <c r="E28" s="219"/>
      <c r="F28" s="219"/>
      <c r="G28" s="219"/>
      <c r="H28" s="205"/>
      <c r="I28" s="205"/>
      <c r="J28" s="205"/>
      <c r="K28" s="205"/>
      <c r="L28" s="205"/>
      <c r="M28" s="219"/>
      <c r="N28" s="219"/>
      <c r="O28" s="204"/>
      <c r="P28" s="219"/>
      <c r="Q28" s="205"/>
      <c r="R28" s="219"/>
      <c r="S28" s="205"/>
      <c r="T28" s="205"/>
      <c r="U28" s="205"/>
      <c r="V28" s="205"/>
    </row>
    <row r="29" spans="2:22">
      <c r="D29" s="220"/>
      <c r="E29" s="220"/>
      <c r="F29" s="220"/>
      <c r="G29" s="220"/>
      <c r="M29" s="220"/>
      <c r="N29" s="220"/>
      <c r="O29" s="206"/>
      <c r="P29" s="220"/>
      <c r="R29" s="220"/>
    </row>
    <row r="30" spans="2:22">
      <c r="E30" s="203">
        <f>917580</f>
        <v>917580</v>
      </c>
    </row>
    <row r="31" spans="2:22">
      <c r="B31" s="206"/>
      <c r="C31" s="206"/>
      <c r="D31" s="206"/>
      <c r="E31" s="206"/>
      <c r="F31" s="206"/>
      <c r="G31" s="206"/>
      <c r="H31" s="206"/>
      <c r="I31" s="206"/>
      <c r="J31" s="206"/>
      <c r="K31" s="206"/>
      <c r="L31" s="206"/>
      <c r="M31" s="206"/>
      <c r="N31" s="233"/>
      <c r="O31" s="206"/>
      <c r="P31" s="206"/>
      <c r="Q31" s="206"/>
      <c r="R31" s="206"/>
      <c r="S31" s="206"/>
      <c r="T31" s="233"/>
    </row>
    <row r="32" spans="2:22">
      <c r="B32" s="221"/>
      <c r="C32" s="221"/>
      <c r="D32" s="221"/>
      <c r="E32" s="1564">
        <f>D25-E30</f>
        <v>-917580</v>
      </c>
      <c r="F32" s="1565"/>
      <c r="G32" s="1565"/>
      <c r="H32" s="1565"/>
      <c r="I32" s="1565"/>
      <c r="J32" s="1565"/>
      <c r="K32" s="1565"/>
      <c r="L32" s="206"/>
      <c r="M32" s="246"/>
      <c r="N32" s="1566"/>
      <c r="O32" s="1566"/>
      <c r="P32" s="1566"/>
      <c r="R32" s="246"/>
      <c r="T32" s="246"/>
    </row>
    <row r="33" spans="2:20">
      <c r="B33" s="221"/>
      <c r="C33" s="221"/>
      <c r="D33" s="221"/>
      <c r="E33" s="233"/>
      <c r="F33" s="233"/>
      <c r="G33" s="233"/>
      <c r="H33" s="233"/>
      <c r="I33" s="233"/>
      <c r="J33" s="233"/>
      <c r="K33" s="233"/>
      <c r="L33" s="206"/>
      <c r="M33" s="246"/>
      <c r="N33" s="246"/>
      <c r="O33" s="233"/>
      <c r="P33" s="233"/>
      <c r="T33" s="246"/>
    </row>
    <row r="34" spans="2:20">
      <c r="B34" s="221"/>
      <c r="C34" s="221"/>
      <c r="D34" s="221"/>
      <c r="E34" s="234"/>
      <c r="F34" s="233"/>
      <c r="G34" s="233"/>
      <c r="H34" s="233"/>
      <c r="I34" s="233"/>
      <c r="J34" s="233"/>
      <c r="K34" s="234"/>
      <c r="L34" s="233"/>
      <c r="M34" s="234"/>
      <c r="N34" s="224"/>
      <c r="O34" s="233"/>
      <c r="P34" s="246"/>
      <c r="Q34" s="206"/>
      <c r="R34" s="206"/>
      <c r="S34" s="206"/>
      <c r="T34" s="246"/>
    </row>
    <row r="35" spans="2:20">
      <c r="B35" s="1551"/>
      <c r="C35" s="1551"/>
      <c r="D35" s="221"/>
      <c r="E35" s="233"/>
      <c r="F35" s="235"/>
      <c r="G35" s="233"/>
      <c r="H35" s="233"/>
      <c r="I35" s="233"/>
      <c r="J35" s="233"/>
      <c r="K35" s="233"/>
      <c r="L35" s="235"/>
      <c r="M35" s="233"/>
      <c r="N35" s="233"/>
      <c r="O35" s="233"/>
      <c r="P35" s="233"/>
      <c r="Q35" s="206"/>
      <c r="R35" s="233"/>
      <c r="S35" s="206"/>
      <c r="T35" s="233"/>
    </row>
    <row r="36" spans="2:20">
      <c r="B36" s="221"/>
      <c r="C36" s="221"/>
      <c r="D36" s="221"/>
      <c r="N36" s="224"/>
      <c r="T36" s="233"/>
    </row>
    <row r="37" spans="2:20">
      <c r="E37" s="236"/>
      <c r="F37" s="236"/>
      <c r="G37" s="236"/>
      <c r="H37" s="236"/>
      <c r="I37" s="236"/>
      <c r="J37" s="236"/>
      <c r="K37" s="236"/>
      <c r="L37" s="236"/>
      <c r="M37" s="236"/>
      <c r="N37" s="247"/>
      <c r="O37" s="236"/>
      <c r="P37" s="236"/>
      <c r="Q37" s="236"/>
      <c r="R37" s="236"/>
      <c r="S37" s="236"/>
      <c r="T37" s="236"/>
    </row>
    <row r="38" spans="2:20">
      <c r="E38" s="236"/>
      <c r="F38" s="236"/>
      <c r="G38" s="236"/>
      <c r="H38" s="236"/>
      <c r="I38" s="236"/>
      <c r="J38" s="236"/>
      <c r="K38" s="236"/>
      <c r="L38" s="236"/>
      <c r="M38" s="236"/>
      <c r="N38" s="247"/>
      <c r="O38" s="236"/>
      <c r="P38" s="236"/>
      <c r="Q38" s="236"/>
      <c r="R38" s="236"/>
      <c r="S38" s="236"/>
      <c r="T38" s="236"/>
    </row>
    <row r="39" spans="2:20">
      <c r="E39" s="236"/>
      <c r="F39" s="236"/>
      <c r="G39" s="236"/>
      <c r="H39" s="236"/>
      <c r="I39" s="236"/>
      <c r="J39" s="236"/>
      <c r="K39" s="236"/>
      <c r="L39" s="236"/>
      <c r="M39" s="236"/>
      <c r="N39" s="247"/>
      <c r="O39" s="236"/>
      <c r="P39" s="236"/>
      <c r="Q39" s="236"/>
      <c r="R39" s="236"/>
      <c r="S39" s="236"/>
      <c r="T39" s="236"/>
    </row>
    <row r="40" spans="2:20">
      <c r="E40" s="236"/>
      <c r="F40" s="236"/>
      <c r="G40" s="236"/>
      <c r="H40" s="236"/>
      <c r="I40" s="236"/>
      <c r="J40" s="236"/>
      <c r="K40" s="236"/>
      <c r="L40" s="236"/>
      <c r="M40" s="236"/>
      <c r="N40" s="247"/>
      <c r="O40" s="236"/>
      <c r="P40" s="236"/>
      <c r="Q40" s="236"/>
      <c r="R40" s="236"/>
      <c r="S40" s="236"/>
      <c r="T40" s="236"/>
    </row>
    <row r="41" spans="2:20">
      <c r="E41" s="236"/>
      <c r="F41" s="236"/>
      <c r="G41" s="236"/>
      <c r="H41" s="236"/>
      <c r="I41" s="236"/>
      <c r="J41" s="236"/>
      <c r="K41" s="236"/>
      <c r="L41" s="236"/>
      <c r="M41" s="236"/>
      <c r="N41" s="247"/>
      <c r="O41" s="236"/>
      <c r="P41" s="236"/>
      <c r="Q41" s="236"/>
      <c r="R41" s="236"/>
      <c r="S41" s="236"/>
      <c r="T41" s="236"/>
    </row>
    <row r="42" spans="2:20">
      <c r="H42" s="236"/>
      <c r="I42" s="236"/>
      <c r="J42" s="236"/>
      <c r="K42" s="236"/>
      <c r="L42" s="236"/>
      <c r="M42" s="236"/>
      <c r="N42" s="247"/>
      <c r="O42" s="236"/>
      <c r="P42" s="236"/>
      <c r="Q42" s="236"/>
      <c r="R42" s="236"/>
      <c r="S42" s="236"/>
      <c r="T42" s="236"/>
    </row>
    <row r="43" spans="2:20">
      <c r="E43" s="236"/>
      <c r="F43" s="236"/>
      <c r="G43" s="236"/>
      <c r="H43" s="236"/>
      <c r="I43" s="236"/>
      <c r="J43" s="236"/>
      <c r="K43" s="236"/>
      <c r="L43" s="236"/>
      <c r="M43" s="236"/>
      <c r="N43" s="247"/>
      <c r="O43" s="236"/>
      <c r="P43" s="236"/>
      <c r="Q43" s="236"/>
      <c r="R43" s="236"/>
      <c r="S43" s="236"/>
      <c r="T43" s="236"/>
    </row>
    <row r="44" spans="2:20">
      <c r="E44" s="236"/>
      <c r="F44" s="236"/>
      <c r="G44" s="236"/>
      <c r="H44" s="236"/>
      <c r="I44" s="236"/>
      <c r="J44" s="236"/>
      <c r="K44" s="236"/>
      <c r="L44" s="236"/>
      <c r="M44" s="236"/>
      <c r="N44" s="247"/>
      <c r="O44" s="236"/>
      <c r="P44" s="236"/>
      <c r="Q44" s="236"/>
      <c r="R44" s="236"/>
      <c r="S44" s="236"/>
      <c r="T44" s="236"/>
    </row>
    <row r="45" spans="2:20">
      <c r="E45" s="236"/>
      <c r="F45" s="236"/>
      <c r="G45" s="236"/>
      <c r="H45" s="236"/>
      <c r="I45" s="236"/>
      <c r="J45" s="236"/>
      <c r="K45" s="236"/>
      <c r="L45" s="236"/>
      <c r="M45" s="236"/>
      <c r="N45" s="247"/>
      <c r="O45" s="236"/>
      <c r="P45" s="236"/>
      <c r="Q45" s="236"/>
      <c r="R45" s="236"/>
      <c r="S45" s="236"/>
      <c r="T45" s="236"/>
    </row>
    <row r="46" spans="2:20">
      <c r="E46" s="236"/>
      <c r="F46" s="236"/>
      <c r="G46" s="236"/>
      <c r="H46" s="236"/>
      <c r="I46" s="236"/>
      <c r="J46" s="236"/>
      <c r="K46" s="236"/>
      <c r="L46" s="236"/>
      <c r="M46" s="236"/>
      <c r="N46" s="247"/>
      <c r="O46" s="236"/>
      <c r="P46" s="236"/>
      <c r="Q46" s="236"/>
      <c r="R46" s="236"/>
      <c r="S46" s="236"/>
      <c r="T46" s="236"/>
    </row>
    <row r="47" spans="2:20">
      <c r="E47" s="236"/>
      <c r="F47" s="236"/>
      <c r="G47" s="236"/>
      <c r="H47" s="236"/>
      <c r="I47" s="236"/>
      <c r="J47" s="236"/>
      <c r="K47" s="236"/>
      <c r="L47" s="236"/>
      <c r="M47" s="236"/>
      <c r="N47" s="247"/>
      <c r="O47" s="236"/>
      <c r="P47" s="236"/>
      <c r="Q47" s="236"/>
      <c r="R47" s="236"/>
      <c r="S47" s="236"/>
      <c r="T47" s="236"/>
    </row>
    <row r="48" spans="2:20">
      <c r="E48" s="236"/>
      <c r="F48" s="236"/>
      <c r="K48" s="236"/>
      <c r="L48" s="236"/>
      <c r="M48" s="236"/>
      <c r="N48" s="247"/>
      <c r="O48" s="236"/>
      <c r="P48" s="236"/>
      <c r="Q48" s="236"/>
      <c r="R48" s="236"/>
      <c r="S48" s="236"/>
      <c r="T48" s="236"/>
    </row>
    <row r="49" spans="3:20">
      <c r="E49" s="236"/>
      <c r="F49" s="236"/>
      <c r="G49" s="236"/>
      <c r="H49" s="236"/>
      <c r="I49" s="236"/>
      <c r="J49" s="236"/>
      <c r="K49" s="236"/>
      <c r="L49" s="236"/>
      <c r="M49" s="236"/>
      <c r="N49" s="236"/>
      <c r="O49" s="236"/>
      <c r="P49" s="236"/>
      <c r="Q49" s="236"/>
      <c r="R49" s="236"/>
      <c r="S49" s="236"/>
      <c r="T49" s="236"/>
    </row>
    <row r="50" spans="3:20">
      <c r="N50" s="224"/>
    </row>
    <row r="51" spans="3:20">
      <c r="N51" s="224"/>
      <c r="T51" s="222"/>
    </row>
    <row r="52" spans="3:20">
      <c r="C52" s="222"/>
      <c r="E52" s="222"/>
      <c r="I52" s="236"/>
      <c r="J52" s="236"/>
      <c r="K52" s="236"/>
      <c r="N52" s="224"/>
    </row>
    <row r="53" spans="3:20">
      <c r="N53" s="224"/>
    </row>
    <row r="54" spans="3:20">
      <c r="N54" s="224"/>
    </row>
    <row r="55" spans="3:20">
      <c r="N55" s="224"/>
    </row>
    <row r="56" spans="3:20">
      <c r="C56" s="223"/>
      <c r="E56" s="223"/>
      <c r="G56" s="223"/>
      <c r="I56" s="223"/>
      <c r="J56" s="233"/>
      <c r="K56" s="233"/>
      <c r="N56" s="224"/>
    </row>
    <row r="57" spans="3:20">
      <c r="C57" s="224"/>
      <c r="E57" s="236"/>
      <c r="G57" s="236"/>
      <c r="I57" s="236"/>
      <c r="J57" s="224"/>
      <c r="K57" s="223"/>
      <c r="N57" s="224"/>
    </row>
    <row r="58" spans="3:20">
      <c r="C58" s="224"/>
      <c r="E58" s="236"/>
      <c r="G58" s="236"/>
      <c r="I58" s="236"/>
      <c r="N58" s="224"/>
    </row>
    <row r="59" spans="3:20">
      <c r="C59" s="224"/>
      <c r="E59" s="236"/>
      <c r="G59" s="236"/>
      <c r="I59" s="236"/>
      <c r="N59" s="224"/>
      <c r="O59" s="248"/>
      <c r="P59" s="248"/>
      <c r="Q59" s="248"/>
      <c r="R59" s="248"/>
      <c r="S59" s="248"/>
      <c r="T59" s="248"/>
    </row>
  </sheetData>
  <mergeCells count="8">
    <mergeCell ref="B35:C35"/>
    <mergeCell ref="K6:K8"/>
    <mergeCell ref="D5:G5"/>
    <mergeCell ref="I5:N5"/>
    <mergeCell ref="I6:J6"/>
    <mergeCell ref="L6:N6"/>
    <mergeCell ref="E32:K32"/>
    <mergeCell ref="N32:P32"/>
  </mergeCells>
  <pageMargins left="0.17" right="0.18" top="1" bottom="1" header="0.5" footer="0.5"/>
  <pageSetup scale="80" fitToHeight="0" orientation="landscape" horizontalDpi="180" verticalDpi="18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2:H124"/>
  <sheetViews>
    <sheetView topLeftCell="A86" workbookViewId="0">
      <selection activeCell="C104" sqref="C104"/>
    </sheetView>
  </sheetViews>
  <sheetFormatPr defaultColWidth="8.81640625" defaultRowHeight="14.5"/>
  <cols>
    <col min="1" max="1" width="30.54296875" customWidth="1"/>
    <col min="2" max="3" width="10.81640625" customWidth="1"/>
    <col min="4" max="5" width="14.453125" customWidth="1"/>
    <col min="6" max="6" width="10.453125" customWidth="1"/>
    <col min="7" max="8" width="12.54296875" customWidth="1"/>
  </cols>
  <sheetData>
    <row r="2" spans="1:4">
      <c r="A2" s="15" t="s">
        <v>1459</v>
      </c>
    </row>
    <row r="3" spans="1:4" ht="18">
      <c r="A3" s="16" t="s">
        <v>1460</v>
      </c>
    </row>
    <row r="4" spans="1:4">
      <c r="A4" s="15" t="s">
        <v>1461</v>
      </c>
    </row>
    <row r="5" spans="1:4">
      <c r="A5" s="15" t="s">
        <v>1462</v>
      </c>
    </row>
    <row r="6" spans="1:4">
      <c r="B6" s="17" t="s">
        <v>1463</v>
      </c>
    </row>
    <row r="7" spans="1:4">
      <c r="B7" s="17" t="s">
        <v>7</v>
      </c>
      <c r="C7" s="17" t="s">
        <v>8</v>
      </c>
    </row>
    <row r="8" spans="1:4">
      <c r="A8" s="17" t="s">
        <v>1464</v>
      </c>
    </row>
    <row r="9" spans="1:4">
      <c r="A9" s="138" t="s">
        <v>1465</v>
      </c>
      <c r="B9" s="139"/>
      <c r="C9" s="140">
        <v>21951.23</v>
      </c>
    </row>
    <row r="10" spans="1:4">
      <c r="A10" s="138" t="s">
        <v>1466</v>
      </c>
      <c r="B10" s="139"/>
      <c r="C10" s="139"/>
    </row>
    <row r="11" spans="1:4">
      <c r="A11" s="138" t="s">
        <v>1017</v>
      </c>
      <c r="B11" s="139"/>
      <c r="C11" s="140">
        <v>15550</v>
      </c>
    </row>
    <row r="12" spans="1:4">
      <c r="A12" s="138" t="s">
        <v>1467</v>
      </c>
      <c r="B12" s="139"/>
      <c r="C12" s="139"/>
    </row>
    <row r="13" spans="1:4">
      <c r="A13" s="138" t="s">
        <v>1468</v>
      </c>
      <c r="B13" s="139"/>
      <c r="C13" s="140">
        <v>7311902</v>
      </c>
      <c r="D13">
        <f>C13*0.16</f>
        <v>1169904.32</v>
      </c>
    </row>
    <row r="14" spans="1:4">
      <c r="A14" s="17" t="s">
        <v>1469</v>
      </c>
    </row>
    <row r="15" spans="1:4">
      <c r="A15" s="18" t="s">
        <v>1470</v>
      </c>
    </row>
    <row r="16" spans="1:4">
      <c r="A16" s="18" t="s">
        <v>1471</v>
      </c>
    </row>
    <row r="17" spans="1:2">
      <c r="A17" s="18" t="s">
        <v>1472</v>
      </c>
    </row>
    <row r="18" spans="1:2">
      <c r="A18" s="18" t="s">
        <v>1473</v>
      </c>
    </row>
    <row r="19" spans="1:2">
      <c r="A19" s="18" t="s">
        <v>1474</v>
      </c>
    </row>
    <row r="20" spans="1:2">
      <c r="A20" s="18" t="s">
        <v>1475</v>
      </c>
    </row>
    <row r="21" spans="1:2">
      <c r="A21" s="18" t="s">
        <v>1476</v>
      </c>
    </row>
    <row r="22" spans="1:2">
      <c r="A22" s="141" t="s">
        <v>1477</v>
      </c>
      <c r="B22" s="142">
        <v>5833</v>
      </c>
    </row>
    <row r="23" spans="1:2">
      <c r="A23" s="141" t="s">
        <v>1478</v>
      </c>
      <c r="B23" s="142">
        <v>327809</v>
      </c>
    </row>
    <row r="24" spans="1:2">
      <c r="A24" s="18" t="s">
        <v>1479</v>
      </c>
    </row>
    <row r="25" spans="1:2">
      <c r="A25" s="18" t="s">
        <v>1480</v>
      </c>
    </row>
    <row r="26" spans="1:2">
      <c r="A26" s="143" t="s">
        <v>1481</v>
      </c>
      <c r="B26" s="144">
        <v>1605</v>
      </c>
    </row>
    <row r="27" spans="1:2">
      <c r="A27" s="145" t="s">
        <v>1482</v>
      </c>
      <c r="B27" s="146">
        <v>496566</v>
      </c>
    </row>
    <row r="28" spans="1:2">
      <c r="A28" s="147" t="s">
        <v>1483</v>
      </c>
      <c r="B28" s="148">
        <v>570</v>
      </c>
    </row>
    <row r="29" spans="1:2">
      <c r="A29" s="18" t="s">
        <v>1484</v>
      </c>
    </row>
    <row r="30" spans="1:2">
      <c r="A30" s="149" t="s">
        <v>1485</v>
      </c>
      <c r="B30" s="150">
        <v>67284</v>
      </c>
    </row>
    <row r="31" spans="1:2">
      <c r="A31" s="18" t="s">
        <v>1486</v>
      </c>
    </row>
    <row r="32" spans="1:2">
      <c r="A32" s="151" t="s">
        <v>1487</v>
      </c>
      <c r="B32" s="152">
        <v>280636</v>
      </c>
    </row>
    <row r="33" spans="1:6">
      <c r="A33" s="145" t="s">
        <v>1488</v>
      </c>
      <c r="B33" s="146">
        <v>872634</v>
      </c>
    </row>
    <row r="34" spans="1:6">
      <c r="A34" s="153" t="s">
        <v>1489</v>
      </c>
      <c r="B34" s="154">
        <v>92961</v>
      </c>
      <c r="E34" s="147"/>
      <c r="F34" s="148"/>
    </row>
    <row r="35" spans="1:6">
      <c r="A35" s="155" t="s">
        <v>1490</v>
      </c>
      <c r="B35" s="156">
        <v>273333</v>
      </c>
    </row>
    <row r="36" spans="1:6">
      <c r="A36" s="18" t="s">
        <v>1491</v>
      </c>
    </row>
    <row r="37" spans="1:6">
      <c r="A37" s="147" t="s">
        <v>1492</v>
      </c>
      <c r="B37" s="148">
        <v>48225</v>
      </c>
    </row>
    <row r="38" spans="1:6">
      <c r="A38" s="147" t="s">
        <v>1493</v>
      </c>
      <c r="B38" s="148">
        <v>208883</v>
      </c>
    </row>
    <row r="39" spans="1:6">
      <c r="A39" s="18" t="s">
        <v>1494</v>
      </c>
    </row>
    <row r="40" spans="1:6">
      <c r="A40" s="157" t="s">
        <v>1495</v>
      </c>
      <c r="B40" s="158">
        <v>4200000</v>
      </c>
    </row>
    <row r="41" spans="1:6">
      <c r="A41" s="18" t="s">
        <v>1496</v>
      </c>
    </row>
    <row r="42" spans="1:6">
      <c r="A42" s="159" t="s">
        <v>1497</v>
      </c>
      <c r="B42" s="160">
        <v>894086</v>
      </c>
    </row>
    <row r="43" spans="1:6">
      <c r="A43" s="159" t="s">
        <v>1498</v>
      </c>
      <c r="B43" s="160">
        <v>50000</v>
      </c>
    </row>
    <row r="44" spans="1:6">
      <c r="A44" s="18" t="s">
        <v>1499</v>
      </c>
    </row>
    <row r="45" spans="1:6">
      <c r="A45" s="161" t="s">
        <v>1500</v>
      </c>
      <c r="B45" s="162">
        <v>25000</v>
      </c>
    </row>
    <row r="46" spans="1:6">
      <c r="A46" s="161" t="s">
        <v>1501</v>
      </c>
      <c r="B46" s="162">
        <v>756000</v>
      </c>
    </row>
    <row r="47" spans="1:6">
      <c r="A47" s="161" t="s">
        <v>1502</v>
      </c>
      <c r="B47" s="162">
        <v>30000</v>
      </c>
    </row>
    <row r="48" spans="1:6">
      <c r="A48" s="161" t="s">
        <v>1503</v>
      </c>
      <c r="B48" s="162">
        <v>6859831</v>
      </c>
    </row>
    <row r="49" spans="1:5">
      <c r="A49" s="161" t="s">
        <v>1504</v>
      </c>
      <c r="B49" s="162">
        <v>4591494</v>
      </c>
    </row>
    <row r="50" spans="1:5">
      <c r="A50" s="18" t="s">
        <v>1505</v>
      </c>
    </row>
    <row r="51" spans="1:5">
      <c r="A51" s="18" t="s">
        <v>1506</v>
      </c>
    </row>
    <row r="52" spans="1:5">
      <c r="A52" s="18" t="s">
        <v>1507</v>
      </c>
    </row>
    <row r="53" spans="1:5">
      <c r="A53" s="163" t="s">
        <v>1508</v>
      </c>
      <c r="B53" s="164">
        <v>288214</v>
      </c>
    </row>
    <row r="54" spans="1:5">
      <c r="A54" s="163" t="s">
        <v>1509</v>
      </c>
      <c r="B54" s="164">
        <v>29103</v>
      </c>
    </row>
    <row r="55" spans="1:5">
      <c r="A55" s="142" t="s">
        <v>1510</v>
      </c>
      <c r="B55" s="142">
        <v>30579</v>
      </c>
    </row>
    <row r="56" spans="1:5">
      <c r="A56" s="165" t="s">
        <v>1511</v>
      </c>
      <c r="B56" s="166">
        <v>2426489</v>
      </c>
    </row>
    <row r="57" spans="1:5">
      <c r="A57" s="165" t="s">
        <v>1512</v>
      </c>
      <c r="B57" s="166">
        <v>181851</v>
      </c>
      <c r="E57" s="142"/>
    </row>
    <row r="58" spans="1:5">
      <c r="A58" s="165" t="s">
        <v>1513</v>
      </c>
      <c r="B58" s="166">
        <v>418284</v>
      </c>
    </row>
    <row r="59" spans="1:5">
      <c r="A59" s="167" t="s">
        <v>1514</v>
      </c>
      <c r="B59" s="168">
        <v>75415</v>
      </c>
    </row>
    <row r="60" spans="1:5">
      <c r="A60" s="167" t="s">
        <v>1515</v>
      </c>
      <c r="B60" s="168">
        <v>106598</v>
      </c>
    </row>
    <row r="61" spans="1:5">
      <c r="A61" s="18" t="s">
        <v>1516</v>
      </c>
    </row>
    <row r="62" spans="1:5">
      <c r="A62" s="18" t="s">
        <v>1517</v>
      </c>
    </row>
    <row r="63" spans="1:5">
      <c r="A63" s="169" t="s">
        <v>1518</v>
      </c>
      <c r="B63" s="170">
        <v>27988</v>
      </c>
    </row>
    <row r="64" spans="1:5">
      <c r="A64" s="171" t="s">
        <v>1519</v>
      </c>
      <c r="B64" s="172">
        <v>4188509.7</v>
      </c>
    </row>
    <row r="65" spans="1:6">
      <c r="A65" s="18" t="s">
        <v>1520</v>
      </c>
    </row>
    <row r="66" spans="1:6">
      <c r="A66" s="173" t="s">
        <v>1521</v>
      </c>
      <c r="B66" s="174">
        <v>77057.14</v>
      </c>
    </row>
    <row r="67" spans="1:6">
      <c r="A67" s="173" t="s">
        <v>1522</v>
      </c>
      <c r="B67" s="174">
        <v>2490.36</v>
      </c>
    </row>
    <row r="68" spans="1:6">
      <c r="A68" s="18" t="s">
        <v>1523</v>
      </c>
    </row>
    <row r="69" spans="1:6">
      <c r="A69" s="18" t="s">
        <v>1524</v>
      </c>
    </row>
    <row r="70" spans="1:6">
      <c r="A70" s="175" t="s">
        <v>1525</v>
      </c>
      <c r="B70" s="176">
        <v>2856440</v>
      </c>
    </row>
    <row r="71" spans="1:6">
      <c r="A71" s="177" t="s">
        <v>1526</v>
      </c>
      <c r="B71" s="178">
        <v>2083.46</v>
      </c>
      <c r="D71" t="s">
        <v>1527</v>
      </c>
    </row>
    <row r="72" spans="1:6">
      <c r="A72" s="177" t="s">
        <v>1528</v>
      </c>
      <c r="B72" s="178">
        <v>57973.79</v>
      </c>
    </row>
    <row r="73" spans="1:6">
      <c r="A73" s="159" t="s">
        <v>1529</v>
      </c>
      <c r="B73" s="160">
        <v>32000</v>
      </c>
    </row>
    <row r="74" spans="1:6">
      <c r="A74" s="179" t="s">
        <v>1530</v>
      </c>
      <c r="B74" s="180">
        <v>31287</v>
      </c>
      <c r="D74" s="181">
        <f>SUM(B19:B74)</f>
        <v>30915112.449999999</v>
      </c>
      <c r="E74" s="202">
        <f>D74-B64</f>
        <v>26726602.75</v>
      </c>
      <c r="F74" s="202" t="e">
        <f>E74-NOTES!#REF!</f>
        <v>#REF!</v>
      </c>
    </row>
    <row r="75" spans="1:6">
      <c r="A75" s="17" t="s">
        <v>1531</v>
      </c>
      <c r="C75" s="19">
        <v>23565709.219999999</v>
      </c>
    </row>
    <row r="76" spans="1:6">
      <c r="A76" s="17" t="s">
        <v>1532</v>
      </c>
    </row>
    <row r="77" spans="1:6">
      <c r="A77" s="18" t="s">
        <v>1533</v>
      </c>
    </row>
    <row r="78" spans="1:6">
      <c r="A78" s="18" t="s">
        <v>1534</v>
      </c>
    </row>
    <row r="79" spans="1:6">
      <c r="A79" s="182" t="s">
        <v>719</v>
      </c>
      <c r="B79" s="183">
        <v>783471.42</v>
      </c>
    </row>
    <row r="80" spans="1:6">
      <c r="A80" s="182" t="s">
        <v>1535</v>
      </c>
      <c r="B80" s="183">
        <v>45284</v>
      </c>
    </row>
    <row r="82" spans="1:8">
      <c r="B82" s="17" t="s">
        <v>7</v>
      </c>
      <c r="C82" s="17" t="s">
        <v>8</v>
      </c>
    </row>
    <row r="83" spans="1:8">
      <c r="A83" s="182" t="s">
        <v>1536</v>
      </c>
      <c r="B83" s="183">
        <v>11954.47</v>
      </c>
    </row>
    <row r="84" spans="1:8">
      <c r="A84" s="182" t="s">
        <v>1537</v>
      </c>
      <c r="B84" s="183">
        <v>120000</v>
      </c>
    </row>
    <row r="85" spans="1:8">
      <c r="A85" s="18" t="s">
        <v>1538</v>
      </c>
    </row>
    <row r="86" spans="1:8">
      <c r="A86" s="18" t="s">
        <v>1539</v>
      </c>
      <c r="H86" t="s">
        <v>1042</v>
      </c>
    </row>
    <row r="87" spans="1:8">
      <c r="A87" s="18" t="s">
        <v>1540</v>
      </c>
    </row>
    <row r="88" spans="1:8">
      <c r="A88" s="18" t="s">
        <v>1541</v>
      </c>
    </row>
    <row r="89" spans="1:8">
      <c r="A89" s="18" t="s">
        <v>1542</v>
      </c>
    </row>
    <row r="90" spans="1:8">
      <c r="A90" s="184" t="s">
        <v>1543</v>
      </c>
      <c r="B90" s="185">
        <v>2829.86</v>
      </c>
    </row>
    <row r="91" spans="1:8">
      <c r="A91" s="184" t="s">
        <v>1544</v>
      </c>
      <c r="B91" s="186"/>
    </row>
    <row r="92" spans="1:8">
      <c r="A92" s="184" t="s">
        <v>1545</v>
      </c>
      <c r="B92" s="185">
        <v>22739.45</v>
      </c>
    </row>
    <row r="93" spans="1:8">
      <c r="A93" s="184" t="s">
        <v>1546</v>
      </c>
      <c r="B93" s="185">
        <v>78845</v>
      </c>
    </row>
    <row r="94" spans="1:8">
      <c r="A94" s="187" t="s">
        <v>1547</v>
      </c>
      <c r="B94" s="188">
        <v>302130</v>
      </c>
    </row>
    <row r="95" spans="1:8">
      <c r="A95" s="189" t="s">
        <v>1548</v>
      </c>
      <c r="B95" s="190">
        <v>2823450.87</v>
      </c>
    </row>
    <row r="96" spans="1:8">
      <c r="A96" s="182" t="s">
        <v>1088</v>
      </c>
      <c r="B96" s="183">
        <v>136126</v>
      </c>
      <c r="C96" s="191"/>
      <c r="E96">
        <f>C97/B96</f>
        <v>0.124810837018644</v>
      </c>
    </row>
    <row r="97" spans="1:8">
      <c r="A97" s="182" t="s">
        <v>1549</v>
      </c>
      <c r="B97" s="191"/>
      <c r="C97" s="183">
        <v>16990</v>
      </c>
    </row>
    <row r="98" spans="1:8">
      <c r="A98" s="192" t="s">
        <v>1550</v>
      </c>
      <c r="B98" s="193">
        <v>1200000</v>
      </c>
    </row>
    <row r="99" spans="1:8">
      <c r="A99" s="194" t="s">
        <v>1551</v>
      </c>
      <c r="B99" s="195">
        <v>15957761</v>
      </c>
      <c r="C99" s="196"/>
      <c r="D99" s="20">
        <f>B99-C100</f>
        <v>15096324</v>
      </c>
    </row>
    <row r="100" spans="1:8">
      <c r="A100" s="194" t="s">
        <v>1552</v>
      </c>
      <c r="B100" s="196"/>
      <c r="C100" s="195">
        <v>861437</v>
      </c>
    </row>
    <row r="101" spans="1:8">
      <c r="A101" s="17" t="s">
        <v>1553</v>
      </c>
    </row>
    <row r="102" spans="1:8">
      <c r="A102" s="182" t="s">
        <v>1554</v>
      </c>
      <c r="B102" s="183">
        <v>51550.23</v>
      </c>
      <c r="D102" s="182"/>
      <c r="E102" s="183"/>
      <c r="G102" s="20">
        <f>SUM(B79:B102)</f>
        <v>21536142.300000001</v>
      </c>
      <c r="H102" s="20">
        <f>G102-C97-C100</f>
        <v>20657715.300000001</v>
      </c>
    </row>
    <row r="103" spans="1:8">
      <c r="A103" s="197" t="s">
        <v>1555</v>
      </c>
      <c r="B103" s="198"/>
      <c r="C103" s="199">
        <v>50000</v>
      </c>
    </row>
    <row r="104" spans="1:8">
      <c r="A104" s="197" t="s">
        <v>1556</v>
      </c>
      <c r="B104" s="198"/>
      <c r="C104" s="199">
        <v>205000</v>
      </c>
    </row>
    <row r="105" spans="1:8">
      <c r="A105" s="197" t="s">
        <v>1557</v>
      </c>
      <c r="B105" s="198"/>
      <c r="C105" s="198"/>
    </row>
    <row r="106" spans="1:8">
      <c r="A106" s="197" t="s">
        <v>1558</v>
      </c>
      <c r="B106" s="198"/>
      <c r="C106" s="198"/>
    </row>
    <row r="107" spans="1:8">
      <c r="A107" s="197" t="s">
        <v>1263</v>
      </c>
      <c r="B107" s="198"/>
      <c r="C107" s="198"/>
    </row>
    <row r="108" spans="1:8">
      <c r="A108" s="197" t="s">
        <v>1559</v>
      </c>
      <c r="B108" s="198"/>
      <c r="C108" s="199">
        <v>52222195</v>
      </c>
    </row>
    <row r="109" spans="1:8">
      <c r="A109" s="18" t="s">
        <v>1560</v>
      </c>
    </row>
    <row r="110" spans="1:8">
      <c r="A110" s="18" t="s">
        <v>1561</v>
      </c>
    </row>
    <row r="111" spans="1:8">
      <c r="A111" s="197" t="s">
        <v>1562</v>
      </c>
      <c r="B111" s="197"/>
      <c r="C111" s="200">
        <v>905571</v>
      </c>
    </row>
    <row r="112" spans="1:8">
      <c r="A112" s="18" t="s">
        <v>1563</v>
      </c>
    </row>
    <row r="113" spans="1:5">
      <c r="A113" s="18" t="s">
        <v>1564</v>
      </c>
    </row>
    <row r="114" spans="1:5">
      <c r="A114" s="18" t="s">
        <v>1565</v>
      </c>
    </row>
    <row r="115" spans="1:5">
      <c r="A115" s="18" t="s">
        <v>1566</v>
      </c>
    </row>
    <row r="116" spans="1:5">
      <c r="A116" s="18" t="s">
        <v>1567</v>
      </c>
    </row>
    <row r="117" spans="1:5">
      <c r="A117" s="197" t="s">
        <v>1568</v>
      </c>
      <c r="B117" s="198"/>
      <c r="C117" s="199">
        <v>44338</v>
      </c>
    </row>
    <row r="118" spans="1:5">
      <c r="A118" s="197" t="s">
        <v>1569</v>
      </c>
      <c r="B118" s="198"/>
      <c r="C118" s="199">
        <f>10515+5800</f>
        <v>16315</v>
      </c>
    </row>
    <row r="119" spans="1:5">
      <c r="A119" s="18" t="s">
        <v>1570</v>
      </c>
    </row>
    <row r="120" spans="1:5">
      <c r="A120" s="17" t="s">
        <v>1571</v>
      </c>
    </row>
    <row r="121" spans="1:5">
      <c r="A121" s="18" t="s">
        <v>1572</v>
      </c>
      <c r="C121" s="19">
        <v>1000000</v>
      </c>
    </row>
    <row r="122" spans="1:5">
      <c r="A122" s="18" t="s">
        <v>1573</v>
      </c>
      <c r="B122" s="201">
        <v>33927296.700000003</v>
      </c>
      <c r="E122" s="20" t="e">
        <f>B122+SOFP!#REF!</f>
        <v>#REF!</v>
      </c>
    </row>
    <row r="123" spans="1:5">
      <c r="B123" s="19">
        <v>86378551.450000003</v>
      </c>
      <c r="C123" s="19">
        <v>86378551.450000003</v>
      </c>
    </row>
    <row r="124" spans="1:5">
      <c r="A124" s="18" t="s">
        <v>1574</v>
      </c>
    </row>
  </sheetData>
  <pageMargins left="0.7" right="0.7" top="0.75" bottom="0.75" header="0.3" footer="0.3"/>
  <pageSetup paperSize="9" scale="45" fitToHeight="0"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B88"/>
  <sheetViews>
    <sheetView view="pageBreakPreview" topLeftCell="A7" zoomScaleNormal="100" workbookViewId="0">
      <selection activeCell="D35" sqref="D35"/>
    </sheetView>
  </sheetViews>
  <sheetFormatPr defaultColWidth="9.1796875" defaultRowHeight="14.5"/>
  <cols>
    <col min="1" max="1" width="56.81640625" style="63" customWidth="1"/>
    <col min="2" max="2" width="1" style="63" customWidth="1"/>
    <col min="3" max="3" width="17" style="63" customWidth="1"/>
    <col min="4" max="4" width="16.1796875" style="63" customWidth="1"/>
    <col min="5" max="5" width="16.453125" style="63" hidden="1" customWidth="1"/>
    <col min="6" max="6" width="16.453125" style="63" customWidth="1"/>
    <col min="7" max="7" width="18" style="63" customWidth="1"/>
    <col min="8" max="8" width="18.453125" style="63" customWidth="1"/>
    <col min="9" max="9" width="21" style="63" hidden="1" customWidth="1"/>
    <col min="10" max="10" width="1.1796875" style="63" customWidth="1"/>
    <col min="11" max="11" width="20.1796875" style="63" customWidth="1"/>
    <col min="12" max="15" width="16.54296875" style="63" customWidth="1"/>
    <col min="16" max="17" width="2.1796875" style="63" customWidth="1"/>
    <col min="18" max="19" width="18.453125" style="63" customWidth="1"/>
    <col min="20" max="20" width="16.54296875" style="63" customWidth="1"/>
    <col min="21" max="21" width="16.453125" style="63" customWidth="1"/>
    <col min="22" max="22" width="17.453125" style="63" customWidth="1"/>
    <col min="23" max="23" width="15.81640625" style="63" customWidth="1"/>
    <col min="24" max="24" width="1.54296875" style="63" customWidth="1"/>
    <col min="25" max="25" width="15.453125" style="63" customWidth="1"/>
    <col min="26" max="26" width="14" style="63" customWidth="1"/>
    <col min="27" max="27" width="9.1796875" style="63"/>
    <col min="28" max="28" width="17.453125" style="63" customWidth="1"/>
    <col min="29" max="262" width="9.1796875" style="63"/>
    <col min="263" max="263" width="65.453125" style="63" customWidth="1"/>
    <col min="264" max="264" width="1" style="63" customWidth="1"/>
    <col min="265" max="265" width="17" style="63" customWidth="1"/>
    <col min="266" max="266" width="16.1796875" style="63" customWidth="1"/>
    <col min="267" max="267" width="16.453125" style="63" customWidth="1"/>
    <col min="268" max="268" width="23.453125" style="63" customWidth="1"/>
    <col min="269" max="269" width="17.54296875" style="63" customWidth="1"/>
    <col min="270" max="270" width="21" style="63" customWidth="1"/>
    <col min="271" max="271" width="1.1796875" style="63" customWidth="1"/>
    <col min="272" max="272" width="20.1796875" style="63" customWidth="1"/>
    <col min="273" max="273" width="16.54296875" style="63" customWidth="1"/>
    <col min="274" max="274" width="2.1796875" style="63" customWidth="1"/>
    <col min="275" max="275" width="18.453125" style="63" customWidth="1"/>
    <col min="276" max="276" width="16.54296875" style="63" customWidth="1"/>
    <col min="277" max="277" width="16.453125" style="63" customWidth="1"/>
    <col min="278" max="278" width="17.453125" style="63" customWidth="1"/>
    <col min="279" max="279" width="15.81640625" style="63" customWidth="1"/>
    <col min="280" max="280" width="1.54296875" style="63" customWidth="1"/>
    <col min="281" max="281" width="15.453125" style="63" customWidth="1"/>
    <col min="282" max="282" width="14" style="63" customWidth="1"/>
    <col min="283" max="283" width="9.1796875" style="63"/>
    <col min="284" max="284" width="17.453125" style="63" customWidth="1"/>
    <col min="285" max="518" width="9.1796875" style="63"/>
    <col min="519" max="519" width="65.453125" style="63" customWidth="1"/>
    <col min="520" max="520" width="1" style="63" customWidth="1"/>
    <col min="521" max="521" width="17" style="63" customWidth="1"/>
    <col min="522" max="522" width="16.1796875" style="63" customWidth="1"/>
    <col min="523" max="523" width="16.453125" style="63" customWidth="1"/>
    <col min="524" max="524" width="23.453125" style="63" customWidth="1"/>
    <col min="525" max="525" width="17.54296875" style="63" customWidth="1"/>
    <col min="526" max="526" width="21" style="63" customWidth="1"/>
    <col min="527" max="527" width="1.1796875" style="63" customWidth="1"/>
    <col min="528" max="528" width="20.1796875" style="63" customWidth="1"/>
    <col min="529" max="529" width="16.54296875" style="63" customWidth="1"/>
    <col min="530" max="530" width="2.1796875" style="63" customWidth="1"/>
    <col min="531" max="531" width="18.453125" style="63" customWidth="1"/>
    <col min="532" max="532" width="16.54296875" style="63" customWidth="1"/>
    <col min="533" max="533" width="16.453125" style="63" customWidth="1"/>
    <col min="534" max="534" width="17.453125" style="63" customWidth="1"/>
    <col min="535" max="535" width="15.81640625" style="63" customWidth="1"/>
    <col min="536" max="536" width="1.54296875" style="63" customWidth="1"/>
    <col min="537" max="537" width="15.453125" style="63" customWidth="1"/>
    <col min="538" max="538" width="14" style="63" customWidth="1"/>
    <col min="539" max="539" width="9.1796875" style="63"/>
    <col min="540" max="540" width="17.453125" style="63" customWidth="1"/>
    <col min="541" max="774" width="9.1796875" style="63"/>
    <col min="775" max="775" width="65.453125" style="63" customWidth="1"/>
    <col min="776" max="776" width="1" style="63" customWidth="1"/>
    <col min="777" max="777" width="17" style="63" customWidth="1"/>
    <col min="778" max="778" width="16.1796875" style="63" customWidth="1"/>
    <col min="779" max="779" width="16.453125" style="63" customWidth="1"/>
    <col min="780" max="780" width="23.453125" style="63" customWidth="1"/>
    <col min="781" max="781" width="17.54296875" style="63" customWidth="1"/>
    <col min="782" max="782" width="21" style="63" customWidth="1"/>
    <col min="783" max="783" width="1.1796875" style="63" customWidth="1"/>
    <col min="784" max="784" width="20.1796875" style="63" customWidth="1"/>
    <col min="785" max="785" width="16.54296875" style="63" customWidth="1"/>
    <col min="786" max="786" width="2.1796875" style="63" customWidth="1"/>
    <col min="787" max="787" width="18.453125" style="63" customWidth="1"/>
    <col min="788" max="788" width="16.54296875" style="63" customWidth="1"/>
    <col min="789" max="789" width="16.453125" style="63" customWidth="1"/>
    <col min="790" max="790" width="17.453125" style="63" customWidth="1"/>
    <col min="791" max="791" width="15.81640625" style="63" customWidth="1"/>
    <col min="792" max="792" width="1.54296875" style="63" customWidth="1"/>
    <col min="793" max="793" width="15.453125" style="63" customWidth="1"/>
    <col min="794" max="794" width="14" style="63" customWidth="1"/>
    <col min="795" max="795" width="9.1796875" style="63"/>
    <col min="796" max="796" width="17.453125" style="63" customWidth="1"/>
    <col min="797" max="1030" width="9.1796875" style="63"/>
    <col min="1031" max="1031" width="65.453125" style="63" customWidth="1"/>
    <col min="1032" max="1032" width="1" style="63" customWidth="1"/>
    <col min="1033" max="1033" width="17" style="63" customWidth="1"/>
    <col min="1034" max="1034" width="16.1796875" style="63" customWidth="1"/>
    <col min="1035" max="1035" width="16.453125" style="63" customWidth="1"/>
    <col min="1036" max="1036" width="23.453125" style="63" customWidth="1"/>
    <col min="1037" max="1037" width="17.54296875" style="63" customWidth="1"/>
    <col min="1038" max="1038" width="21" style="63" customWidth="1"/>
    <col min="1039" max="1039" width="1.1796875" style="63" customWidth="1"/>
    <col min="1040" max="1040" width="20.1796875" style="63" customWidth="1"/>
    <col min="1041" max="1041" width="16.54296875" style="63" customWidth="1"/>
    <col min="1042" max="1042" width="2.1796875" style="63" customWidth="1"/>
    <col min="1043" max="1043" width="18.453125" style="63" customWidth="1"/>
    <col min="1044" max="1044" width="16.54296875" style="63" customWidth="1"/>
    <col min="1045" max="1045" width="16.453125" style="63" customWidth="1"/>
    <col min="1046" max="1046" width="17.453125" style="63" customWidth="1"/>
    <col min="1047" max="1047" width="15.81640625" style="63" customWidth="1"/>
    <col min="1048" max="1048" width="1.54296875" style="63" customWidth="1"/>
    <col min="1049" max="1049" width="15.453125" style="63" customWidth="1"/>
    <col min="1050" max="1050" width="14" style="63" customWidth="1"/>
    <col min="1051" max="1051" width="9.1796875" style="63"/>
    <col min="1052" max="1052" width="17.453125" style="63" customWidth="1"/>
    <col min="1053" max="1286" width="9.1796875" style="63"/>
    <col min="1287" max="1287" width="65.453125" style="63" customWidth="1"/>
    <col min="1288" max="1288" width="1" style="63" customWidth="1"/>
    <col min="1289" max="1289" width="17" style="63" customWidth="1"/>
    <col min="1290" max="1290" width="16.1796875" style="63" customWidth="1"/>
    <col min="1291" max="1291" width="16.453125" style="63" customWidth="1"/>
    <col min="1292" max="1292" width="23.453125" style="63" customWidth="1"/>
    <col min="1293" max="1293" width="17.54296875" style="63" customWidth="1"/>
    <col min="1294" max="1294" width="21" style="63" customWidth="1"/>
    <col min="1295" max="1295" width="1.1796875" style="63" customWidth="1"/>
    <col min="1296" max="1296" width="20.1796875" style="63" customWidth="1"/>
    <col min="1297" max="1297" width="16.54296875" style="63" customWidth="1"/>
    <col min="1298" max="1298" width="2.1796875" style="63" customWidth="1"/>
    <col min="1299" max="1299" width="18.453125" style="63" customWidth="1"/>
    <col min="1300" max="1300" width="16.54296875" style="63" customWidth="1"/>
    <col min="1301" max="1301" width="16.453125" style="63" customWidth="1"/>
    <col min="1302" max="1302" width="17.453125" style="63" customWidth="1"/>
    <col min="1303" max="1303" width="15.81640625" style="63" customWidth="1"/>
    <col min="1304" max="1304" width="1.54296875" style="63" customWidth="1"/>
    <col min="1305" max="1305" width="15.453125" style="63" customWidth="1"/>
    <col min="1306" max="1306" width="14" style="63" customWidth="1"/>
    <col min="1307" max="1307" width="9.1796875" style="63"/>
    <col min="1308" max="1308" width="17.453125" style="63" customWidth="1"/>
    <col min="1309" max="1542" width="9.1796875" style="63"/>
    <col min="1543" max="1543" width="65.453125" style="63" customWidth="1"/>
    <col min="1544" max="1544" width="1" style="63" customWidth="1"/>
    <col min="1545" max="1545" width="17" style="63" customWidth="1"/>
    <col min="1546" max="1546" width="16.1796875" style="63" customWidth="1"/>
    <col min="1547" max="1547" width="16.453125" style="63" customWidth="1"/>
    <col min="1548" max="1548" width="23.453125" style="63" customWidth="1"/>
    <col min="1549" max="1549" width="17.54296875" style="63" customWidth="1"/>
    <col min="1550" max="1550" width="21" style="63" customWidth="1"/>
    <col min="1551" max="1551" width="1.1796875" style="63" customWidth="1"/>
    <col min="1552" max="1552" width="20.1796875" style="63" customWidth="1"/>
    <col min="1553" max="1553" width="16.54296875" style="63" customWidth="1"/>
    <col min="1554" max="1554" width="2.1796875" style="63" customWidth="1"/>
    <col min="1555" max="1555" width="18.453125" style="63" customWidth="1"/>
    <col min="1556" max="1556" width="16.54296875" style="63" customWidth="1"/>
    <col min="1557" max="1557" width="16.453125" style="63" customWidth="1"/>
    <col min="1558" max="1558" width="17.453125" style="63" customWidth="1"/>
    <col min="1559" max="1559" width="15.81640625" style="63" customWidth="1"/>
    <col min="1560" max="1560" width="1.54296875" style="63" customWidth="1"/>
    <col min="1561" max="1561" width="15.453125" style="63" customWidth="1"/>
    <col min="1562" max="1562" width="14" style="63" customWidth="1"/>
    <col min="1563" max="1563" width="9.1796875" style="63"/>
    <col min="1564" max="1564" width="17.453125" style="63" customWidth="1"/>
    <col min="1565" max="1798" width="9.1796875" style="63"/>
    <col min="1799" max="1799" width="65.453125" style="63" customWidth="1"/>
    <col min="1800" max="1800" width="1" style="63" customWidth="1"/>
    <col min="1801" max="1801" width="17" style="63" customWidth="1"/>
    <col min="1802" max="1802" width="16.1796875" style="63" customWidth="1"/>
    <col min="1803" max="1803" width="16.453125" style="63" customWidth="1"/>
    <col min="1804" max="1804" width="23.453125" style="63" customWidth="1"/>
    <col min="1805" max="1805" width="17.54296875" style="63" customWidth="1"/>
    <col min="1806" max="1806" width="21" style="63" customWidth="1"/>
    <col min="1807" max="1807" width="1.1796875" style="63" customWidth="1"/>
    <col min="1808" max="1808" width="20.1796875" style="63" customWidth="1"/>
    <col min="1809" max="1809" width="16.54296875" style="63" customWidth="1"/>
    <col min="1810" max="1810" width="2.1796875" style="63" customWidth="1"/>
    <col min="1811" max="1811" width="18.453125" style="63" customWidth="1"/>
    <col min="1812" max="1812" width="16.54296875" style="63" customWidth="1"/>
    <col min="1813" max="1813" width="16.453125" style="63" customWidth="1"/>
    <col min="1814" max="1814" width="17.453125" style="63" customWidth="1"/>
    <col min="1815" max="1815" width="15.81640625" style="63" customWidth="1"/>
    <col min="1816" max="1816" width="1.54296875" style="63" customWidth="1"/>
    <col min="1817" max="1817" width="15.453125" style="63" customWidth="1"/>
    <col min="1818" max="1818" width="14" style="63" customWidth="1"/>
    <col min="1819" max="1819" width="9.1796875" style="63"/>
    <col min="1820" max="1820" width="17.453125" style="63" customWidth="1"/>
    <col min="1821" max="2054" width="9.1796875" style="63"/>
    <col min="2055" max="2055" width="65.453125" style="63" customWidth="1"/>
    <col min="2056" max="2056" width="1" style="63" customWidth="1"/>
    <col min="2057" max="2057" width="17" style="63" customWidth="1"/>
    <col min="2058" max="2058" width="16.1796875" style="63" customWidth="1"/>
    <col min="2059" max="2059" width="16.453125" style="63" customWidth="1"/>
    <col min="2060" max="2060" width="23.453125" style="63" customWidth="1"/>
    <col min="2061" max="2061" width="17.54296875" style="63" customWidth="1"/>
    <col min="2062" max="2062" width="21" style="63" customWidth="1"/>
    <col min="2063" max="2063" width="1.1796875" style="63" customWidth="1"/>
    <col min="2064" max="2064" width="20.1796875" style="63" customWidth="1"/>
    <col min="2065" max="2065" width="16.54296875" style="63" customWidth="1"/>
    <col min="2066" max="2066" width="2.1796875" style="63" customWidth="1"/>
    <col min="2067" max="2067" width="18.453125" style="63" customWidth="1"/>
    <col min="2068" max="2068" width="16.54296875" style="63" customWidth="1"/>
    <col min="2069" max="2069" width="16.453125" style="63" customWidth="1"/>
    <col min="2070" max="2070" width="17.453125" style="63" customWidth="1"/>
    <col min="2071" max="2071" width="15.81640625" style="63" customWidth="1"/>
    <col min="2072" max="2072" width="1.54296875" style="63" customWidth="1"/>
    <col min="2073" max="2073" width="15.453125" style="63" customWidth="1"/>
    <col min="2074" max="2074" width="14" style="63" customWidth="1"/>
    <col min="2075" max="2075" width="9.1796875" style="63"/>
    <col min="2076" max="2076" width="17.453125" style="63" customWidth="1"/>
    <col min="2077" max="2310" width="9.1796875" style="63"/>
    <col min="2311" max="2311" width="65.453125" style="63" customWidth="1"/>
    <col min="2312" max="2312" width="1" style="63" customWidth="1"/>
    <col min="2313" max="2313" width="17" style="63" customWidth="1"/>
    <col min="2314" max="2314" width="16.1796875" style="63" customWidth="1"/>
    <col min="2315" max="2315" width="16.453125" style="63" customWidth="1"/>
    <col min="2316" max="2316" width="23.453125" style="63" customWidth="1"/>
    <col min="2317" max="2317" width="17.54296875" style="63" customWidth="1"/>
    <col min="2318" max="2318" width="21" style="63" customWidth="1"/>
    <col min="2319" max="2319" width="1.1796875" style="63" customWidth="1"/>
    <col min="2320" max="2320" width="20.1796875" style="63" customWidth="1"/>
    <col min="2321" max="2321" width="16.54296875" style="63" customWidth="1"/>
    <col min="2322" max="2322" width="2.1796875" style="63" customWidth="1"/>
    <col min="2323" max="2323" width="18.453125" style="63" customWidth="1"/>
    <col min="2324" max="2324" width="16.54296875" style="63" customWidth="1"/>
    <col min="2325" max="2325" width="16.453125" style="63" customWidth="1"/>
    <col min="2326" max="2326" width="17.453125" style="63" customWidth="1"/>
    <col min="2327" max="2327" width="15.81640625" style="63" customWidth="1"/>
    <col min="2328" max="2328" width="1.54296875" style="63" customWidth="1"/>
    <col min="2329" max="2329" width="15.453125" style="63" customWidth="1"/>
    <col min="2330" max="2330" width="14" style="63" customWidth="1"/>
    <col min="2331" max="2331" width="9.1796875" style="63"/>
    <col min="2332" max="2332" width="17.453125" style="63" customWidth="1"/>
    <col min="2333" max="2566" width="9.1796875" style="63"/>
    <col min="2567" max="2567" width="65.453125" style="63" customWidth="1"/>
    <col min="2568" max="2568" width="1" style="63" customWidth="1"/>
    <col min="2569" max="2569" width="17" style="63" customWidth="1"/>
    <col min="2570" max="2570" width="16.1796875" style="63" customWidth="1"/>
    <col min="2571" max="2571" width="16.453125" style="63" customWidth="1"/>
    <col min="2572" max="2572" width="23.453125" style="63" customWidth="1"/>
    <col min="2573" max="2573" width="17.54296875" style="63" customWidth="1"/>
    <col min="2574" max="2574" width="21" style="63" customWidth="1"/>
    <col min="2575" max="2575" width="1.1796875" style="63" customWidth="1"/>
    <col min="2576" max="2576" width="20.1796875" style="63" customWidth="1"/>
    <col min="2577" max="2577" width="16.54296875" style="63" customWidth="1"/>
    <col min="2578" max="2578" width="2.1796875" style="63" customWidth="1"/>
    <col min="2579" max="2579" width="18.453125" style="63" customWidth="1"/>
    <col min="2580" max="2580" width="16.54296875" style="63" customWidth="1"/>
    <col min="2581" max="2581" width="16.453125" style="63" customWidth="1"/>
    <col min="2582" max="2582" width="17.453125" style="63" customWidth="1"/>
    <col min="2583" max="2583" width="15.81640625" style="63" customWidth="1"/>
    <col min="2584" max="2584" width="1.54296875" style="63" customWidth="1"/>
    <col min="2585" max="2585" width="15.453125" style="63" customWidth="1"/>
    <col min="2586" max="2586" width="14" style="63" customWidth="1"/>
    <col min="2587" max="2587" width="9.1796875" style="63"/>
    <col min="2588" max="2588" width="17.453125" style="63" customWidth="1"/>
    <col min="2589" max="2822" width="9.1796875" style="63"/>
    <col min="2823" max="2823" width="65.453125" style="63" customWidth="1"/>
    <col min="2824" max="2824" width="1" style="63" customWidth="1"/>
    <col min="2825" max="2825" width="17" style="63" customWidth="1"/>
    <col min="2826" max="2826" width="16.1796875" style="63" customWidth="1"/>
    <col min="2827" max="2827" width="16.453125" style="63" customWidth="1"/>
    <col min="2828" max="2828" width="23.453125" style="63" customWidth="1"/>
    <col min="2829" max="2829" width="17.54296875" style="63" customWidth="1"/>
    <col min="2830" max="2830" width="21" style="63" customWidth="1"/>
    <col min="2831" max="2831" width="1.1796875" style="63" customWidth="1"/>
    <col min="2832" max="2832" width="20.1796875" style="63" customWidth="1"/>
    <col min="2833" max="2833" width="16.54296875" style="63" customWidth="1"/>
    <col min="2834" max="2834" width="2.1796875" style="63" customWidth="1"/>
    <col min="2835" max="2835" width="18.453125" style="63" customWidth="1"/>
    <col min="2836" max="2836" width="16.54296875" style="63" customWidth="1"/>
    <col min="2837" max="2837" width="16.453125" style="63" customWidth="1"/>
    <col min="2838" max="2838" width="17.453125" style="63" customWidth="1"/>
    <col min="2839" max="2839" width="15.81640625" style="63" customWidth="1"/>
    <col min="2840" max="2840" width="1.54296875" style="63" customWidth="1"/>
    <col min="2841" max="2841" width="15.453125" style="63" customWidth="1"/>
    <col min="2842" max="2842" width="14" style="63" customWidth="1"/>
    <col min="2843" max="2843" width="9.1796875" style="63"/>
    <col min="2844" max="2844" width="17.453125" style="63" customWidth="1"/>
    <col min="2845" max="3078" width="9.1796875" style="63"/>
    <col min="3079" max="3079" width="65.453125" style="63" customWidth="1"/>
    <col min="3080" max="3080" width="1" style="63" customWidth="1"/>
    <col min="3081" max="3081" width="17" style="63" customWidth="1"/>
    <col min="3082" max="3082" width="16.1796875" style="63" customWidth="1"/>
    <col min="3083" max="3083" width="16.453125" style="63" customWidth="1"/>
    <col min="3084" max="3084" width="23.453125" style="63" customWidth="1"/>
    <col min="3085" max="3085" width="17.54296875" style="63" customWidth="1"/>
    <col min="3086" max="3086" width="21" style="63" customWidth="1"/>
    <col min="3087" max="3087" width="1.1796875" style="63" customWidth="1"/>
    <col min="3088" max="3088" width="20.1796875" style="63" customWidth="1"/>
    <col min="3089" max="3089" width="16.54296875" style="63" customWidth="1"/>
    <col min="3090" max="3090" width="2.1796875" style="63" customWidth="1"/>
    <col min="3091" max="3091" width="18.453125" style="63" customWidth="1"/>
    <col min="3092" max="3092" width="16.54296875" style="63" customWidth="1"/>
    <col min="3093" max="3093" width="16.453125" style="63" customWidth="1"/>
    <col min="3094" max="3094" width="17.453125" style="63" customWidth="1"/>
    <col min="3095" max="3095" width="15.81640625" style="63" customWidth="1"/>
    <col min="3096" max="3096" width="1.54296875" style="63" customWidth="1"/>
    <col min="3097" max="3097" width="15.453125" style="63" customWidth="1"/>
    <col min="3098" max="3098" width="14" style="63" customWidth="1"/>
    <col min="3099" max="3099" width="9.1796875" style="63"/>
    <col min="3100" max="3100" width="17.453125" style="63" customWidth="1"/>
    <col min="3101" max="3334" width="9.1796875" style="63"/>
    <col min="3335" max="3335" width="65.453125" style="63" customWidth="1"/>
    <col min="3336" max="3336" width="1" style="63" customWidth="1"/>
    <col min="3337" max="3337" width="17" style="63" customWidth="1"/>
    <col min="3338" max="3338" width="16.1796875" style="63" customWidth="1"/>
    <col min="3339" max="3339" width="16.453125" style="63" customWidth="1"/>
    <col min="3340" max="3340" width="23.453125" style="63" customWidth="1"/>
    <col min="3341" max="3341" width="17.54296875" style="63" customWidth="1"/>
    <col min="3342" max="3342" width="21" style="63" customWidth="1"/>
    <col min="3343" max="3343" width="1.1796875" style="63" customWidth="1"/>
    <col min="3344" max="3344" width="20.1796875" style="63" customWidth="1"/>
    <col min="3345" max="3345" width="16.54296875" style="63" customWidth="1"/>
    <col min="3346" max="3346" width="2.1796875" style="63" customWidth="1"/>
    <col min="3347" max="3347" width="18.453125" style="63" customWidth="1"/>
    <col min="3348" max="3348" width="16.54296875" style="63" customWidth="1"/>
    <col min="3349" max="3349" width="16.453125" style="63" customWidth="1"/>
    <col min="3350" max="3350" width="17.453125" style="63" customWidth="1"/>
    <col min="3351" max="3351" width="15.81640625" style="63" customWidth="1"/>
    <col min="3352" max="3352" width="1.54296875" style="63" customWidth="1"/>
    <col min="3353" max="3353" width="15.453125" style="63" customWidth="1"/>
    <col min="3354" max="3354" width="14" style="63" customWidth="1"/>
    <col min="3355" max="3355" width="9.1796875" style="63"/>
    <col min="3356" max="3356" width="17.453125" style="63" customWidth="1"/>
    <col min="3357" max="3590" width="9.1796875" style="63"/>
    <col min="3591" max="3591" width="65.453125" style="63" customWidth="1"/>
    <col min="3592" max="3592" width="1" style="63" customWidth="1"/>
    <col min="3593" max="3593" width="17" style="63" customWidth="1"/>
    <col min="3594" max="3594" width="16.1796875" style="63" customWidth="1"/>
    <col min="3595" max="3595" width="16.453125" style="63" customWidth="1"/>
    <col min="3596" max="3596" width="23.453125" style="63" customWidth="1"/>
    <col min="3597" max="3597" width="17.54296875" style="63" customWidth="1"/>
    <col min="3598" max="3598" width="21" style="63" customWidth="1"/>
    <col min="3599" max="3599" width="1.1796875" style="63" customWidth="1"/>
    <col min="3600" max="3600" width="20.1796875" style="63" customWidth="1"/>
    <col min="3601" max="3601" width="16.54296875" style="63" customWidth="1"/>
    <col min="3602" max="3602" width="2.1796875" style="63" customWidth="1"/>
    <col min="3603" max="3603" width="18.453125" style="63" customWidth="1"/>
    <col min="3604" max="3604" width="16.54296875" style="63" customWidth="1"/>
    <col min="3605" max="3605" width="16.453125" style="63" customWidth="1"/>
    <col min="3606" max="3606" width="17.453125" style="63" customWidth="1"/>
    <col min="3607" max="3607" width="15.81640625" style="63" customWidth="1"/>
    <col min="3608" max="3608" width="1.54296875" style="63" customWidth="1"/>
    <col min="3609" max="3609" width="15.453125" style="63" customWidth="1"/>
    <col min="3610" max="3610" width="14" style="63" customWidth="1"/>
    <col min="3611" max="3611" width="9.1796875" style="63"/>
    <col min="3612" max="3612" width="17.453125" style="63" customWidth="1"/>
    <col min="3613" max="3846" width="9.1796875" style="63"/>
    <col min="3847" max="3847" width="65.453125" style="63" customWidth="1"/>
    <col min="3848" max="3848" width="1" style="63" customWidth="1"/>
    <col min="3849" max="3849" width="17" style="63" customWidth="1"/>
    <col min="3850" max="3850" width="16.1796875" style="63" customWidth="1"/>
    <col min="3851" max="3851" width="16.453125" style="63" customWidth="1"/>
    <col min="3852" max="3852" width="23.453125" style="63" customWidth="1"/>
    <col min="3853" max="3853" width="17.54296875" style="63" customWidth="1"/>
    <col min="3854" max="3854" width="21" style="63" customWidth="1"/>
    <col min="3855" max="3855" width="1.1796875" style="63" customWidth="1"/>
    <col min="3856" max="3856" width="20.1796875" style="63" customWidth="1"/>
    <col min="3857" max="3857" width="16.54296875" style="63" customWidth="1"/>
    <col min="3858" max="3858" width="2.1796875" style="63" customWidth="1"/>
    <col min="3859" max="3859" width="18.453125" style="63" customWidth="1"/>
    <col min="3860" max="3860" width="16.54296875" style="63" customWidth="1"/>
    <col min="3861" max="3861" width="16.453125" style="63" customWidth="1"/>
    <col min="3862" max="3862" width="17.453125" style="63" customWidth="1"/>
    <col min="3863" max="3863" width="15.81640625" style="63" customWidth="1"/>
    <col min="3864" max="3864" width="1.54296875" style="63" customWidth="1"/>
    <col min="3865" max="3865" width="15.453125" style="63" customWidth="1"/>
    <col min="3866" max="3866" width="14" style="63" customWidth="1"/>
    <col min="3867" max="3867" width="9.1796875" style="63"/>
    <col min="3868" max="3868" width="17.453125" style="63" customWidth="1"/>
    <col min="3869" max="4102" width="9.1796875" style="63"/>
    <col min="4103" max="4103" width="65.453125" style="63" customWidth="1"/>
    <col min="4104" max="4104" width="1" style="63" customWidth="1"/>
    <col min="4105" max="4105" width="17" style="63" customWidth="1"/>
    <col min="4106" max="4106" width="16.1796875" style="63" customWidth="1"/>
    <col min="4107" max="4107" width="16.453125" style="63" customWidth="1"/>
    <col min="4108" max="4108" width="23.453125" style="63" customWidth="1"/>
    <col min="4109" max="4109" width="17.54296875" style="63" customWidth="1"/>
    <col min="4110" max="4110" width="21" style="63" customWidth="1"/>
    <col min="4111" max="4111" width="1.1796875" style="63" customWidth="1"/>
    <col min="4112" max="4112" width="20.1796875" style="63" customWidth="1"/>
    <col min="4113" max="4113" width="16.54296875" style="63" customWidth="1"/>
    <col min="4114" max="4114" width="2.1796875" style="63" customWidth="1"/>
    <col min="4115" max="4115" width="18.453125" style="63" customWidth="1"/>
    <col min="4116" max="4116" width="16.54296875" style="63" customWidth="1"/>
    <col min="4117" max="4117" width="16.453125" style="63" customWidth="1"/>
    <col min="4118" max="4118" width="17.453125" style="63" customWidth="1"/>
    <col min="4119" max="4119" width="15.81640625" style="63" customWidth="1"/>
    <col min="4120" max="4120" width="1.54296875" style="63" customWidth="1"/>
    <col min="4121" max="4121" width="15.453125" style="63" customWidth="1"/>
    <col min="4122" max="4122" width="14" style="63" customWidth="1"/>
    <col min="4123" max="4123" width="9.1796875" style="63"/>
    <col min="4124" max="4124" width="17.453125" style="63" customWidth="1"/>
    <col min="4125" max="4358" width="9.1796875" style="63"/>
    <col min="4359" max="4359" width="65.453125" style="63" customWidth="1"/>
    <col min="4360" max="4360" width="1" style="63" customWidth="1"/>
    <col min="4361" max="4361" width="17" style="63" customWidth="1"/>
    <col min="4362" max="4362" width="16.1796875" style="63" customWidth="1"/>
    <col min="4363" max="4363" width="16.453125" style="63" customWidth="1"/>
    <col min="4364" max="4364" width="23.453125" style="63" customWidth="1"/>
    <col min="4365" max="4365" width="17.54296875" style="63" customWidth="1"/>
    <col min="4366" max="4366" width="21" style="63" customWidth="1"/>
    <col min="4367" max="4367" width="1.1796875" style="63" customWidth="1"/>
    <col min="4368" max="4368" width="20.1796875" style="63" customWidth="1"/>
    <col min="4369" max="4369" width="16.54296875" style="63" customWidth="1"/>
    <col min="4370" max="4370" width="2.1796875" style="63" customWidth="1"/>
    <col min="4371" max="4371" width="18.453125" style="63" customWidth="1"/>
    <col min="4372" max="4372" width="16.54296875" style="63" customWidth="1"/>
    <col min="4373" max="4373" width="16.453125" style="63" customWidth="1"/>
    <col min="4374" max="4374" width="17.453125" style="63" customWidth="1"/>
    <col min="4375" max="4375" width="15.81640625" style="63" customWidth="1"/>
    <col min="4376" max="4376" width="1.54296875" style="63" customWidth="1"/>
    <col min="4377" max="4377" width="15.453125" style="63" customWidth="1"/>
    <col min="4378" max="4378" width="14" style="63" customWidth="1"/>
    <col min="4379" max="4379" width="9.1796875" style="63"/>
    <col min="4380" max="4380" width="17.453125" style="63" customWidth="1"/>
    <col min="4381" max="4614" width="9.1796875" style="63"/>
    <col min="4615" max="4615" width="65.453125" style="63" customWidth="1"/>
    <col min="4616" max="4616" width="1" style="63" customWidth="1"/>
    <col min="4617" max="4617" width="17" style="63" customWidth="1"/>
    <col min="4618" max="4618" width="16.1796875" style="63" customWidth="1"/>
    <col min="4619" max="4619" width="16.453125" style="63" customWidth="1"/>
    <col min="4620" max="4620" width="23.453125" style="63" customWidth="1"/>
    <col min="4621" max="4621" width="17.54296875" style="63" customWidth="1"/>
    <col min="4622" max="4622" width="21" style="63" customWidth="1"/>
    <col min="4623" max="4623" width="1.1796875" style="63" customWidth="1"/>
    <col min="4624" max="4624" width="20.1796875" style="63" customWidth="1"/>
    <col min="4625" max="4625" width="16.54296875" style="63" customWidth="1"/>
    <col min="4626" max="4626" width="2.1796875" style="63" customWidth="1"/>
    <col min="4627" max="4627" width="18.453125" style="63" customWidth="1"/>
    <col min="4628" max="4628" width="16.54296875" style="63" customWidth="1"/>
    <col min="4629" max="4629" width="16.453125" style="63" customWidth="1"/>
    <col min="4630" max="4630" width="17.453125" style="63" customWidth="1"/>
    <col min="4631" max="4631" width="15.81640625" style="63" customWidth="1"/>
    <col min="4632" max="4632" width="1.54296875" style="63" customWidth="1"/>
    <col min="4633" max="4633" width="15.453125" style="63" customWidth="1"/>
    <col min="4634" max="4634" width="14" style="63" customWidth="1"/>
    <col min="4635" max="4635" width="9.1796875" style="63"/>
    <col min="4636" max="4636" width="17.453125" style="63" customWidth="1"/>
    <col min="4637" max="4870" width="9.1796875" style="63"/>
    <col min="4871" max="4871" width="65.453125" style="63" customWidth="1"/>
    <col min="4872" max="4872" width="1" style="63" customWidth="1"/>
    <col min="4873" max="4873" width="17" style="63" customWidth="1"/>
    <col min="4874" max="4874" width="16.1796875" style="63" customWidth="1"/>
    <col min="4875" max="4875" width="16.453125" style="63" customWidth="1"/>
    <col min="4876" max="4876" width="23.453125" style="63" customWidth="1"/>
    <col min="4877" max="4877" width="17.54296875" style="63" customWidth="1"/>
    <col min="4878" max="4878" width="21" style="63" customWidth="1"/>
    <col min="4879" max="4879" width="1.1796875" style="63" customWidth="1"/>
    <col min="4880" max="4880" width="20.1796875" style="63" customWidth="1"/>
    <col min="4881" max="4881" width="16.54296875" style="63" customWidth="1"/>
    <col min="4882" max="4882" width="2.1796875" style="63" customWidth="1"/>
    <col min="4883" max="4883" width="18.453125" style="63" customWidth="1"/>
    <col min="4884" max="4884" width="16.54296875" style="63" customWidth="1"/>
    <col min="4885" max="4885" width="16.453125" style="63" customWidth="1"/>
    <col min="4886" max="4886" width="17.453125" style="63" customWidth="1"/>
    <col min="4887" max="4887" width="15.81640625" style="63" customWidth="1"/>
    <col min="4888" max="4888" width="1.54296875" style="63" customWidth="1"/>
    <col min="4889" max="4889" width="15.453125" style="63" customWidth="1"/>
    <col min="4890" max="4890" width="14" style="63" customWidth="1"/>
    <col min="4891" max="4891" width="9.1796875" style="63"/>
    <col min="4892" max="4892" width="17.453125" style="63" customWidth="1"/>
    <col min="4893" max="5126" width="9.1796875" style="63"/>
    <col min="5127" max="5127" width="65.453125" style="63" customWidth="1"/>
    <col min="5128" max="5128" width="1" style="63" customWidth="1"/>
    <col min="5129" max="5129" width="17" style="63" customWidth="1"/>
    <col min="5130" max="5130" width="16.1796875" style="63" customWidth="1"/>
    <col min="5131" max="5131" width="16.453125" style="63" customWidth="1"/>
    <col min="5132" max="5132" width="23.453125" style="63" customWidth="1"/>
    <col min="5133" max="5133" width="17.54296875" style="63" customWidth="1"/>
    <col min="5134" max="5134" width="21" style="63" customWidth="1"/>
    <col min="5135" max="5135" width="1.1796875" style="63" customWidth="1"/>
    <col min="5136" max="5136" width="20.1796875" style="63" customWidth="1"/>
    <col min="5137" max="5137" width="16.54296875" style="63" customWidth="1"/>
    <col min="5138" max="5138" width="2.1796875" style="63" customWidth="1"/>
    <col min="5139" max="5139" width="18.453125" style="63" customWidth="1"/>
    <col min="5140" max="5140" width="16.54296875" style="63" customWidth="1"/>
    <col min="5141" max="5141" width="16.453125" style="63" customWidth="1"/>
    <col min="5142" max="5142" width="17.453125" style="63" customWidth="1"/>
    <col min="5143" max="5143" width="15.81640625" style="63" customWidth="1"/>
    <col min="5144" max="5144" width="1.54296875" style="63" customWidth="1"/>
    <col min="5145" max="5145" width="15.453125" style="63" customWidth="1"/>
    <col min="5146" max="5146" width="14" style="63" customWidth="1"/>
    <col min="5147" max="5147" width="9.1796875" style="63"/>
    <col min="5148" max="5148" width="17.453125" style="63" customWidth="1"/>
    <col min="5149" max="5382" width="9.1796875" style="63"/>
    <col min="5383" max="5383" width="65.453125" style="63" customWidth="1"/>
    <col min="5384" max="5384" width="1" style="63" customWidth="1"/>
    <col min="5385" max="5385" width="17" style="63" customWidth="1"/>
    <col min="5386" max="5386" width="16.1796875" style="63" customWidth="1"/>
    <col min="5387" max="5387" width="16.453125" style="63" customWidth="1"/>
    <col min="5388" max="5388" width="23.453125" style="63" customWidth="1"/>
    <col min="5389" max="5389" width="17.54296875" style="63" customWidth="1"/>
    <col min="5390" max="5390" width="21" style="63" customWidth="1"/>
    <col min="5391" max="5391" width="1.1796875" style="63" customWidth="1"/>
    <col min="5392" max="5392" width="20.1796875" style="63" customWidth="1"/>
    <col min="5393" max="5393" width="16.54296875" style="63" customWidth="1"/>
    <col min="5394" max="5394" width="2.1796875" style="63" customWidth="1"/>
    <col min="5395" max="5395" width="18.453125" style="63" customWidth="1"/>
    <col min="5396" max="5396" width="16.54296875" style="63" customWidth="1"/>
    <col min="5397" max="5397" width="16.453125" style="63" customWidth="1"/>
    <col min="5398" max="5398" width="17.453125" style="63" customWidth="1"/>
    <col min="5399" max="5399" width="15.81640625" style="63" customWidth="1"/>
    <col min="5400" max="5400" width="1.54296875" style="63" customWidth="1"/>
    <col min="5401" max="5401" width="15.453125" style="63" customWidth="1"/>
    <col min="5402" max="5402" width="14" style="63" customWidth="1"/>
    <col min="5403" max="5403" width="9.1796875" style="63"/>
    <col min="5404" max="5404" width="17.453125" style="63" customWidth="1"/>
    <col min="5405" max="5638" width="9.1796875" style="63"/>
    <col min="5639" max="5639" width="65.453125" style="63" customWidth="1"/>
    <col min="5640" max="5640" width="1" style="63" customWidth="1"/>
    <col min="5641" max="5641" width="17" style="63" customWidth="1"/>
    <col min="5642" max="5642" width="16.1796875" style="63" customWidth="1"/>
    <col min="5643" max="5643" width="16.453125" style="63" customWidth="1"/>
    <col min="5644" max="5644" width="23.453125" style="63" customWidth="1"/>
    <col min="5645" max="5645" width="17.54296875" style="63" customWidth="1"/>
    <col min="5646" max="5646" width="21" style="63" customWidth="1"/>
    <col min="5647" max="5647" width="1.1796875" style="63" customWidth="1"/>
    <col min="5648" max="5648" width="20.1796875" style="63" customWidth="1"/>
    <col min="5649" max="5649" width="16.54296875" style="63" customWidth="1"/>
    <col min="5650" max="5650" width="2.1796875" style="63" customWidth="1"/>
    <col min="5651" max="5651" width="18.453125" style="63" customWidth="1"/>
    <col min="5652" max="5652" width="16.54296875" style="63" customWidth="1"/>
    <col min="5653" max="5653" width="16.453125" style="63" customWidth="1"/>
    <col min="5654" max="5654" width="17.453125" style="63" customWidth="1"/>
    <col min="5655" max="5655" width="15.81640625" style="63" customWidth="1"/>
    <col min="5656" max="5656" width="1.54296875" style="63" customWidth="1"/>
    <col min="5657" max="5657" width="15.453125" style="63" customWidth="1"/>
    <col min="5658" max="5658" width="14" style="63" customWidth="1"/>
    <col min="5659" max="5659" width="9.1796875" style="63"/>
    <col min="5660" max="5660" width="17.453125" style="63" customWidth="1"/>
    <col min="5661" max="5894" width="9.1796875" style="63"/>
    <col min="5895" max="5895" width="65.453125" style="63" customWidth="1"/>
    <col min="5896" max="5896" width="1" style="63" customWidth="1"/>
    <col min="5897" max="5897" width="17" style="63" customWidth="1"/>
    <col min="5898" max="5898" width="16.1796875" style="63" customWidth="1"/>
    <col min="5899" max="5899" width="16.453125" style="63" customWidth="1"/>
    <col min="5900" max="5900" width="23.453125" style="63" customWidth="1"/>
    <col min="5901" max="5901" width="17.54296875" style="63" customWidth="1"/>
    <col min="5902" max="5902" width="21" style="63" customWidth="1"/>
    <col min="5903" max="5903" width="1.1796875" style="63" customWidth="1"/>
    <col min="5904" max="5904" width="20.1796875" style="63" customWidth="1"/>
    <col min="5905" max="5905" width="16.54296875" style="63" customWidth="1"/>
    <col min="5906" max="5906" width="2.1796875" style="63" customWidth="1"/>
    <col min="5907" max="5907" width="18.453125" style="63" customWidth="1"/>
    <col min="5908" max="5908" width="16.54296875" style="63" customWidth="1"/>
    <col min="5909" max="5909" width="16.453125" style="63" customWidth="1"/>
    <col min="5910" max="5910" width="17.453125" style="63" customWidth="1"/>
    <col min="5911" max="5911" width="15.81640625" style="63" customWidth="1"/>
    <col min="5912" max="5912" width="1.54296875" style="63" customWidth="1"/>
    <col min="5913" max="5913" width="15.453125" style="63" customWidth="1"/>
    <col min="5914" max="5914" width="14" style="63" customWidth="1"/>
    <col min="5915" max="5915" width="9.1796875" style="63"/>
    <col min="5916" max="5916" width="17.453125" style="63" customWidth="1"/>
    <col min="5917" max="6150" width="9.1796875" style="63"/>
    <col min="6151" max="6151" width="65.453125" style="63" customWidth="1"/>
    <col min="6152" max="6152" width="1" style="63" customWidth="1"/>
    <col min="6153" max="6153" width="17" style="63" customWidth="1"/>
    <col min="6154" max="6154" width="16.1796875" style="63" customWidth="1"/>
    <col min="6155" max="6155" width="16.453125" style="63" customWidth="1"/>
    <col min="6156" max="6156" width="23.453125" style="63" customWidth="1"/>
    <col min="6157" max="6157" width="17.54296875" style="63" customWidth="1"/>
    <col min="6158" max="6158" width="21" style="63" customWidth="1"/>
    <col min="6159" max="6159" width="1.1796875" style="63" customWidth="1"/>
    <col min="6160" max="6160" width="20.1796875" style="63" customWidth="1"/>
    <col min="6161" max="6161" width="16.54296875" style="63" customWidth="1"/>
    <col min="6162" max="6162" width="2.1796875" style="63" customWidth="1"/>
    <col min="6163" max="6163" width="18.453125" style="63" customWidth="1"/>
    <col min="6164" max="6164" width="16.54296875" style="63" customWidth="1"/>
    <col min="6165" max="6165" width="16.453125" style="63" customWidth="1"/>
    <col min="6166" max="6166" width="17.453125" style="63" customWidth="1"/>
    <col min="6167" max="6167" width="15.81640625" style="63" customWidth="1"/>
    <col min="6168" max="6168" width="1.54296875" style="63" customWidth="1"/>
    <col min="6169" max="6169" width="15.453125" style="63" customWidth="1"/>
    <col min="6170" max="6170" width="14" style="63" customWidth="1"/>
    <col min="6171" max="6171" width="9.1796875" style="63"/>
    <col min="6172" max="6172" width="17.453125" style="63" customWidth="1"/>
    <col min="6173" max="6406" width="9.1796875" style="63"/>
    <col min="6407" max="6407" width="65.453125" style="63" customWidth="1"/>
    <col min="6408" max="6408" width="1" style="63" customWidth="1"/>
    <col min="6409" max="6409" width="17" style="63" customWidth="1"/>
    <col min="6410" max="6410" width="16.1796875" style="63" customWidth="1"/>
    <col min="6411" max="6411" width="16.453125" style="63" customWidth="1"/>
    <col min="6412" max="6412" width="23.453125" style="63" customWidth="1"/>
    <col min="6413" max="6413" width="17.54296875" style="63" customWidth="1"/>
    <col min="6414" max="6414" width="21" style="63" customWidth="1"/>
    <col min="6415" max="6415" width="1.1796875" style="63" customWidth="1"/>
    <col min="6416" max="6416" width="20.1796875" style="63" customWidth="1"/>
    <col min="6417" max="6417" width="16.54296875" style="63" customWidth="1"/>
    <col min="6418" max="6418" width="2.1796875" style="63" customWidth="1"/>
    <col min="6419" max="6419" width="18.453125" style="63" customWidth="1"/>
    <col min="6420" max="6420" width="16.54296875" style="63" customWidth="1"/>
    <col min="6421" max="6421" width="16.453125" style="63" customWidth="1"/>
    <col min="6422" max="6422" width="17.453125" style="63" customWidth="1"/>
    <col min="6423" max="6423" width="15.81640625" style="63" customWidth="1"/>
    <col min="6424" max="6424" width="1.54296875" style="63" customWidth="1"/>
    <col min="6425" max="6425" width="15.453125" style="63" customWidth="1"/>
    <col min="6426" max="6426" width="14" style="63" customWidth="1"/>
    <col min="6427" max="6427" width="9.1796875" style="63"/>
    <col min="6428" max="6428" width="17.453125" style="63" customWidth="1"/>
    <col min="6429" max="6662" width="9.1796875" style="63"/>
    <col min="6663" max="6663" width="65.453125" style="63" customWidth="1"/>
    <col min="6664" max="6664" width="1" style="63" customWidth="1"/>
    <col min="6665" max="6665" width="17" style="63" customWidth="1"/>
    <col min="6666" max="6666" width="16.1796875" style="63" customWidth="1"/>
    <col min="6667" max="6667" width="16.453125" style="63" customWidth="1"/>
    <col min="6668" max="6668" width="23.453125" style="63" customWidth="1"/>
    <col min="6669" max="6669" width="17.54296875" style="63" customWidth="1"/>
    <col min="6670" max="6670" width="21" style="63" customWidth="1"/>
    <col min="6671" max="6671" width="1.1796875" style="63" customWidth="1"/>
    <col min="6672" max="6672" width="20.1796875" style="63" customWidth="1"/>
    <col min="6673" max="6673" width="16.54296875" style="63" customWidth="1"/>
    <col min="6674" max="6674" width="2.1796875" style="63" customWidth="1"/>
    <col min="6675" max="6675" width="18.453125" style="63" customWidth="1"/>
    <col min="6676" max="6676" width="16.54296875" style="63" customWidth="1"/>
    <col min="6677" max="6677" width="16.453125" style="63" customWidth="1"/>
    <col min="6678" max="6678" width="17.453125" style="63" customWidth="1"/>
    <col min="6679" max="6679" width="15.81640625" style="63" customWidth="1"/>
    <col min="6680" max="6680" width="1.54296875" style="63" customWidth="1"/>
    <col min="6681" max="6681" width="15.453125" style="63" customWidth="1"/>
    <col min="6682" max="6682" width="14" style="63" customWidth="1"/>
    <col min="6683" max="6683" width="9.1796875" style="63"/>
    <col min="6684" max="6684" width="17.453125" style="63" customWidth="1"/>
    <col min="6685" max="6918" width="9.1796875" style="63"/>
    <col min="6919" max="6919" width="65.453125" style="63" customWidth="1"/>
    <col min="6920" max="6920" width="1" style="63" customWidth="1"/>
    <col min="6921" max="6921" width="17" style="63" customWidth="1"/>
    <col min="6922" max="6922" width="16.1796875" style="63" customWidth="1"/>
    <col min="6923" max="6923" width="16.453125" style="63" customWidth="1"/>
    <col min="6924" max="6924" width="23.453125" style="63" customWidth="1"/>
    <col min="6925" max="6925" width="17.54296875" style="63" customWidth="1"/>
    <col min="6926" max="6926" width="21" style="63" customWidth="1"/>
    <col min="6927" max="6927" width="1.1796875" style="63" customWidth="1"/>
    <col min="6928" max="6928" width="20.1796875" style="63" customWidth="1"/>
    <col min="6929" max="6929" width="16.54296875" style="63" customWidth="1"/>
    <col min="6930" max="6930" width="2.1796875" style="63" customWidth="1"/>
    <col min="6931" max="6931" width="18.453125" style="63" customWidth="1"/>
    <col min="6932" max="6932" width="16.54296875" style="63" customWidth="1"/>
    <col min="6933" max="6933" width="16.453125" style="63" customWidth="1"/>
    <col min="6934" max="6934" width="17.453125" style="63" customWidth="1"/>
    <col min="6935" max="6935" width="15.81640625" style="63" customWidth="1"/>
    <col min="6936" max="6936" width="1.54296875" style="63" customWidth="1"/>
    <col min="6937" max="6937" width="15.453125" style="63" customWidth="1"/>
    <col min="6938" max="6938" width="14" style="63" customWidth="1"/>
    <col min="6939" max="6939" width="9.1796875" style="63"/>
    <col min="6940" max="6940" width="17.453125" style="63" customWidth="1"/>
    <col min="6941" max="7174" width="9.1796875" style="63"/>
    <col min="7175" max="7175" width="65.453125" style="63" customWidth="1"/>
    <col min="7176" max="7176" width="1" style="63" customWidth="1"/>
    <col min="7177" max="7177" width="17" style="63" customWidth="1"/>
    <col min="7178" max="7178" width="16.1796875" style="63" customWidth="1"/>
    <col min="7179" max="7179" width="16.453125" style="63" customWidth="1"/>
    <col min="7180" max="7180" width="23.453125" style="63" customWidth="1"/>
    <col min="7181" max="7181" width="17.54296875" style="63" customWidth="1"/>
    <col min="7182" max="7182" width="21" style="63" customWidth="1"/>
    <col min="7183" max="7183" width="1.1796875" style="63" customWidth="1"/>
    <col min="7184" max="7184" width="20.1796875" style="63" customWidth="1"/>
    <col min="7185" max="7185" width="16.54296875" style="63" customWidth="1"/>
    <col min="7186" max="7186" width="2.1796875" style="63" customWidth="1"/>
    <col min="7187" max="7187" width="18.453125" style="63" customWidth="1"/>
    <col min="7188" max="7188" width="16.54296875" style="63" customWidth="1"/>
    <col min="7189" max="7189" width="16.453125" style="63" customWidth="1"/>
    <col min="7190" max="7190" width="17.453125" style="63" customWidth="1"/>
    <col min="7191" max="7191" width="15.81640625" style="63" customWidth="1"/>
    <col min="7192" max="7192" width="1.54296875" style="63" customWidth="1"/>
    <col min="7193" max="7193" width="15.453125" style="63" customWidth="1"/>
    <col min="7194" max="7194" width="14" style="63" customWidth="1"/>
    <col min="7195" max="7195" width="9.1796875" style="63"/>
    <col min="7196" max="7196" width="17.453125" style="63" customWidth="1"/>
    <col min="7197" max="7430" width="9.1796875" style="63"/>
    <col min="7431" max="7431" width="65.453125" style="63" customWidth="1"/>
    <col min="7432" max="7432" width="1" style="63" customWidth="1"/>
    <col min="7433" max="7433" width="17" style="63" customWidth="1"/>
    <col min="7434" max="7434" width="16.1796875" style="63" customWidth="1"/>
    <col min="7435" max="7435" width="16.453125" style="63" customWidth="1"/>
    <col min="7436" max="7436" width="23.453125" style="63" customWidth="1"/>
    <col min="7437" max="7437" width="17.54296875" style="63" customWidth="1"/>
    <col min="7438" max="7438" width="21" style="63" customWidth="1"/>
    <col min="7439" max="7439" width="1.1796875" style="63" customWidth="1"/>
    <col min="7440" max="7440" width="20.1796875" style="63" customWidth="1"/>
    <col min="7441" max="7441" width="16.54296875" style="63" customWidth="1"/>
    <col min="7442" max="7442" width="2.1796875" style="63" customWidth="1"/>
    <col min="7443" max="7443" width="18.453125" style="63" customWidth="1"/>
    <col min="7444" max="7444" width="16.54296875" style="63" customWidth="1"/>
    <col min="7445" max="7445" width="16.453125" style="63" customWidth="1"/>
    <col min="7446" max="7446" width="17.453125" style="63" customWidth="1"/>
    <col min="7447" max="7447" width="15.81640625" style="63" customWidth="1"/>
    <col min="7448" max="7448" width="1.54296875" style="63" customWidth="1"/>
    <col min="7449" max="7449" width="15.453125" style="63" customWidth="1"/>
    <col min="7450" max="7450" width="14" style="63" customWidth="1"/>
    <col min="7451" max="7451" width="9.1796875" style="63"/>
    <col min="7452" max="7452" width="17.453125" style="63" customWidth="1"/>
    <col min="7453" max="7686" width="9.1796875" style="63"/>
    <col min="7687" max="7687" width="65.453125" style="63" customWidth="1"/>
    <col min="7688" max="7688" width="1" style="63" customWidth="1"/>
    <col min="7689" max="7689" width="17" style="63" customWidth="1"/>
    <col min="7690" max="7690" width="16.1796875" style="63" customWidth="1"/>
    <col min="7691" max="7691" width="16.453125" style="63" customWidth="1"/>
    <col min="7692" max="7692" width="23.453125" style="63" customWidth="1"/>
    <col min="7693" max="7693" width="17.54296875" style="63" customWidth="1"/>
    <col min="7694" max="7694" width="21" style="63" customWidth="1"/>
    <col min="7695" max="7695" width="1.1796875" style="63" customWidth="1"/>
    <col min="7696" max="7696" width="20.1796875" style="63" customWidth="1"/>
    <col min="7697" max="7697" width="16.54296875" style="63" customWidth="1"/>
    <col min="7698" max="7698" width="2.1796875" style="63" customWidth="1"/>
    <col min="7699" max="7699" width="18.453125" style="63" customWidth="1"/>
    <col min="7700" max="7700" width="16.54296875" style="63" customWidth="1"/>
    <col min="7701" max="7701" width="16.453125" style="63" customWidth="1"/>
    <col min="7702" max="7702" width="17.453125" style="63" customWidth="1"/>
    <col min="7703" max="7703" width="15.81640625" style="63" customWidth="1"/>
    <col min="7704" max="7704" width="1.54296875" style="63" customWidth="1"/>
    <col min="7705" max="7705" width="15.453125" style="63" customWidth="1"/>
    <col min="7706" max="7706" width="14" style="63" customWidth="1"/>
    <col min="7707" max="7707" width="9.1796875" style="63"/>
    <col min="7708" max="7708" width="17.453125" style="63" customWidth="1"/>
    <col min="7709" max="7942" width="9.1796875" style="63"/>
    <col min="7943" max="7943" width="65.453125" style="63" customWidth="1"/>
    <col min="7944" max="7944" width="1" style="63" customWidth="1"/>
    <col min="7945" max="7945" width="17" style="63" customWidth="1"/>
    <col min="7946" max="7946" width="16.1796875" style="63" customWidth="1"/>
    <col min="7947" max="7947" width="16.453125" style="63" customWidth="1"/>
    <col min="7948" max="7948" width="23.453125" style="63" customWidth="1"/>
    <col min="7949" max="7949" width="17.54296875" style="63" customWidth="1"/>
    <col min="7950" max="7950" width="21" style="63" customWidth="1"/>
    <col min="7951" max="7951" width="1.1796875" style="63" customWidth="1"/>
    <col min="7952" max="7952" width="20.1796875" style="63" customWidth="1"/>
    <col min="7953" max="7953" width="16.54296875" style="63" customWidth="1"/>
    <col min="7954" max="7954" width="2.1796875" style="63" customWidth="1"/>
    <col min="7955" max="7955" width="18.453125" style="63" customWidth="1"/>
    <col min="7956" max="7956" width="16.54296875" style="63" customWidth="1"/>
    <col min="7957" max="7957" width="16.453125" style="63" customWidth="1"/>
    <col min="7958" max="7958" width="17.453125" style="63" customWidth="1"/>
    <col min="7959" max="7959" width="15.81640625" style="63" customWidth="1"/>
    <col min="7960" max="7960" width="1.54296875" style="63" customWidth="1"/>
    <col min="7961" max="7961" width="15.453125" style="63" customWidth="1"/>
    <col min="7962" max="7962" width="14" style="63" customWidth="1"/>
    <col min="7963" max="7963" width="9.1796875" style="63"/>
    <col min="7964" max="7964" width="17.453125" style="63" customWidth="1"/>
    <col min="7965" max="8198" width="9.1796875" style="63"/>
    <col min="8199" max="8199" width="65.453125" style="63" customWidth="1"/>
    <col min="8200" max="8200" width="1" style="63" customWidth="1"/>
    <col min="8201" max="8201" width="17" style="63" customWidth="1"/>
    <col min="8202" max="8202" width="16.1796875" style="63" customWidth="1"/>
    <col min="8203" max="8203" width="16.453125" style="63" customWidth="1"/>
    <col min="8204" max="8204" width="23.453125" style="63" customWidth="1"/>
    <col min="8205" max="8205" width="17.54296875" style="63" customWidth="1"/>
    <col min="8206" max="8206" width="21" style="63" customWidth="1"/>
    <col min="8207" max="8207" width="1.1796875" style="63" customWidth="1"/>
    <col min="8208" max="8208" width="20.1796875" style="63" customWidth="1"/>
    <col min="8209" max="8209" width="16.54296875" style="63" customWidth="1"/>
    <col min="8210" max="8210" width="2.1796875" style="63" customWidth="1"/>
    <col min="8211" max="8211" width="18.453125" style="63" customWidth="1"/>
    <col min="8212" max="8212" width="16.54296875" style="63" customWidth="1"/>
    <col min="8213" max="8213" width="16.453125" style="63" customWidth="1"/>
    <col min="8214" max="8214" width="17.453125" style="63" customWidth="1"/>
    <col min="8215" max="8215" width="15.81640625" style="63" customWidth="1"/>
    <col min="8216" max="8216" width="1.54296875" style="63" customWidth="1"/>
    <col min="8217" max="8217" width="15.453125" style="63" customWidth="1"/>
    <col min="8218" max="8218" width="14" style="63" customWidth="1"/>
    <col min="8219" max="8219" width="9.1796875" style="63"/>
    <col min="8220" max="8220" width="17.453125" style="63" customWidth="1"/>
    <col min="8221" max="8454" width="9.1796875" style="63"/>
    <col min="8455" max="8455" width="65.453125" style="63" customWidth="1"/>
    <col min="8456" max="8456" width="1" style="63" customWidth="1"/>
    <col min="8457" max="8457" width="17" style="63" customWidth="1"/>
    <col min="8458" max="8458" width="16.1796875" style="63" customWidth="1"/>
    <col min="8459" max="8459" width="16.453125" style="63" customWidth="1"/>
    <col min="8460" max="8460" width="23.453125" style="63" customWidth="1"/>
    <col min="8461" max="8461" width="17.54296875" style="63" customWidth="1"/>
    <col min="8462" max="8462" width="21" style="63" customWidth="1"/>
    <col min="8463" max="8463" width="1.1796875" style="63" customWidth="1"/>
    <col min="8464" max="8464" width="20.1796875" style="63" customWidth="1"/>
    <col min="8465" max="8465" width="16.54296875" style="63" customWidth="1"/>
    <col min="8466" max="8466" width="2.1796875" style="63" customWidth="1"/>
    <col min="8467" max="8467" width="18.453125" style="63" customWidth="1"/>
    <col min="8468" max="8468" width="16.54296875" style="63" customWidth="1"/>
    <col min="8469" max="8469" width="16.453125" style="63" customWidth="1"/>
    <col min="8470" max="8470" width="17.453125" style="63" customWidth="1"/>
    <col min="8471" max="8471" width="15.81640625" style="63" customWidth="1"/>
    <col min="8472" max="8472" width="1.54296875" style="63" customWidth="1"/>
    <col min="8473" max="8473" width="15.453125" style="63" customWidth="1"/>
    <col min="8474" max="8474" width="14" style="63" customWidth="1"/>
    <col min="8475" max="8475" width="9.1796875" style="63"/>
    <col min="8476" max="8476" width="17.453125" style="63" customWidth="1"/>
    <col min="8477" max="8710" width="9.1796875" style="63"/>
    <col min="8711" max="8711" width="65.453125" style="63" customWidth="1"/>
    <col min="8712" max="8712" width="1" style="63" customWidth="1"/>
    <col min="8713" max="8713" width="17" style="63" customWidth="1"/>
    <col min="8714" max="8714" width="16.1796875" style="63" customWidth="1"/>
    <col min="8715" max="8715" width="16.453125" style="63" customWidth="1"/>
    <col min="8716" max="8716" width="23.453125" style="63" customWidth="1"/>
    <col min="8717" max="8717" width="17.54296875" style="63" customWidth="1"/>
    <col min="8718" max="8718" width="21" style="63" customWidth="1"/>
    <col min="8719" max="8719" width="1.1796875" style="63" customWidth="1"/>
    <col min="8720" max="8720" width="20.1796875" style="63" customWidth="1"/>
    <col min="8721" max="8721" width="16.54296875" style="63" customWidth="1"/>
    <col min="8722" max="8722" width="2.1796875" style="63" customWidth="1"/>
    <col min="8723" max="8723" width="18.453125" style="63" customWidth="1"/>
    <col min="8724" max="8724" width="16.54296875" style="63" customWidth="1"/>
    <col min="8725" max="8725" width="16.453125" style="63" customWidth="1"/>
    <col min="8726" max="8726" width="17.453125" style="63" customWidth="1"/>
    <col min="8727" max="8727" width="15.81640625" style="63" customWidth="1"/>
    <col min="8728" max="8728" width="1.54296875" style="63" customWidth="1"/>
    <col min="8729" max="8729" width="15.453125" style="63" customWidth="1"/>
    <col min="8730" max="8730" width="14" style="63" customWidth="1"/>
    <col min="8731" max="8731" width="9.1796875" style="63"/>
    <col min="8732" max="8732" width="17.453125" style="63" customWidth="1"/>
    <col min="8733" max="8966" width="9.1796875" style="63"/>
    <col min="8967" max="8967" width="65.453125" style="63" customWidth="1"/>
    <col min="8968" max="8968" width="1" style="63" customWidth="1"/>
    <col min="8969" max="8969" width="17" style="63" customWidth="1"/>
    <col min="8970" max="8970" width="16.1796875" style="63" customWidth="1"/>
    <col min="8971" max="8971" width="16.453125" style="63" customWidth="1"/>
    <col min="8972" max="8972" width="23.453125" style="63" customWidth="1"/>
    <col min="8973" max="8973" width="17.54296875" style="63" customWidth="1"/>
    <col min="8974" max="8974" width="21" style="63" customWidth="1"/>
    <col min="8975" max="8975" width="1.1796875" style="63" customWidth="1"/>
    <col min="8976" max="8976" width="20.1796875" style="63" customWidth="1"/>
    <col min="8977" max="8977" width="16.54296875" style="63" customWidth="1"/>
    <col min="8978" max="8978" width="2.1796875" style="63" customWidth="1"/>
    <col min="8979" max="8979" width="18.453125" style="63" customWidth="1"/>
    <col min="8980" max="8980" width="16.54296875" style="63" customWidth="1"/>
    <col min="8981" max="8981" width="16.453125" style="63" customWidth="1"/>
    <col min="8982" max="8982" width="17.453125" style="63" customWidth="1"/>
    <col min="8983" max="8983" width="15.81640625" style="63" customWidth="1"/>
    <col min="8984" max="8984" width="1.54296875" style="63" customWidth="1"/>
    <col min="8985" max="8985" width="15.453125" style="63" customWidth="1"/>
    <col min="8986" max="8986" width="14" style="63" customWidth="1"/>
    <col min="8987" max="8987" width="9.1796875" style="63"/>
    <col min="8988" max="8988" width="17.453125" style="63" customWidth="1"/>
    <col min="8989" max="9222" width="9.1796875" style="63"/>
    <col min="9223" max="9223" width="65.453125" style="63" customWidth="1"/>
    <col min="9224" max="9224" width="1" style="63" customWidth="1"/>
    <col min="9225" max="9225" width="17" style="63" customWidth="1"/>
    <col min="9226" max="9226" width="16.1796875" style="63" customWidth="1"/>
    <col min="9227" max="9227" width="16.453125" style="63" customWidth="1"/>
    <col min="9228" max="9228" width="23.453125" style="63" customWidth="1"/>
    <col min="9229" max="9229" width="17.54296875" style="63" customWidth="1"/>
    <col min="9230" max="9230" width="21" style="63" customWidth="1"/>
    <col min="9231" max="9231" width="1.1796875" style="63" customWidth="1"/>
    <col min="9232" max="9232" width="20.1796875" style="63" customWidth="1"/>
    <col min="9233" max="9233" width="16.54296875" style="63" customWidth="1"/>
    <col min="9234" max="9234" width="2.1796875" style="63" customWidth="1"/>
    <col min="9235" max="9235" width="18.453125" style="63" customWidth="1"/>
    <col min="9236" max="9236" width="16.54296875" style="63" customWidth="1"/>
    <col min="9237" max="9237" width="16.453125" style="63" customWidth="1"/>
    <col min="9238" max="9238" width="17.453125" style="63" customWidth="1"/>
    <col min="9239" max="9239" width="15.81640625" style="63" customWidth="1"/>
    <col min="9240" max="9240" width="1.54296875" style="63" customWidth="1"/>
    <col min="9241" max="9241" width="15.453125" style="63" customWidth="1"/>
    <col min="9242" max="9242" width="14" style="63" customWidth="1"/>
    <col min="9243" max="9243" width="9.1796875" style="63"/>
    <col min="9244" max="9244" width="17.453125" style="63" customWidth="1"/>
    <col min="9245" max="9478" width="9.1796875" style="63"/>
    <col min="9479" max="9479" width="65.453125" style="63" customWidth="1"/>
    <col min="9480" max="9480" width="1" style="63" customWidth="1"/>
    <col min="9481" max="9481" width="17" style="63" customWidth="1"/>
    <col min="9482" max="9482" width="16.1796875" style="63" customWidth="1"/>
    <col min="9483" max="9483" width="16.453125" style="63" customWidth="1"/>
    <col min="9484" max="9484" width="23.453125" style="63" customWidth="1"/>
    <col min="9485" max="9485" width="17.54296875" style="63" customWidth="1"/>
    <col min="9486" max="9486" width="21" style="63" customWidth="1"/>
    <col min="9487" max="9487" width="1.1796875" style="63" customWidth="1"/>
    <col min="9488" max="9488" width="20.1796875" style="63" customWidth="1"/>
    <col min="9489" max="9489" width="16.54296875" style="63" customWidth="1"/>
    <col min="9490" max="9490" width="2.1796875" style="63" customWidth="1"/>
    <col min="9491" max="9491" width="18.453125" style="63" customWidth="1"/>
    <col min="9492" max="9492" width="16.54296875" style="63" customWidth="1"/>
    <col min="9493" max="9493" width="16.453125" style="63" customWidth="1"/>
    <col min="9494" max="9494" width="17.453125" style="63" customWidth="1"/>
    <col min="9495" max="9495" width="15.81640625" style="63" customWidth="1"/>
    <col min="9496" max="9496" width="1.54296875" style="63" customWidth="1"/>
    <col min="9497" max="9497" width="15.453125" style="63" customWidth="1"/>
    <col min="9498" max="9498" width="14" style="63" customWidth="1"/>
    <col min="9499" max="9499" width="9.1796875" style="63"/>
    <col min="9500" max="9500" width="17.453125" style="63" customWidth="1"/>
    <col min="9501" max="9734" width="9.1796875" style="63"/>
    <col min="9735" max="9735" width="65.453125" style="63" customWidth="1"/>
    <col min="9736" max="9736" width="1" style="63" customWidth="1"/>
    <col min="9737" max="9737" width="17" style="63" customWidth="1"/>
    <col min="9738" max="9738" width="16.1796875" style="63" customWidth="1"/>
    <col min="9739" max="9739" width="16.453125" style="63" customWidth="1"/>
    <col min="9740" max="9740" width="23.453125" style="63" customWidth="1"/>
    <col min="9741" max="9741" width="17.54296875" style="63" customWidth="1"/>
    <col min="9742" max="9742" width="21" style="63" customWidth="1"/>
    <col min="9743" max="9743" width="1.1796875" style="63" customWidth="1"/>
    <col min="9744" max="9744" width="20.1796875" style="63" customWidth="1"/>
    <col min="9745" max="9745" width="16.54296875" style="63" customWidth="1"/>
    <col min="9746" max="9746" width="2.1796875" style="63" customWidth="1"/>
    <col min="9747" max="9747" width="18.453125" style="63" customWidth="1"/>
    <col min="9748" max="9748" width="16.54296875" style="63" customWidth="1"/>
    <col min="9749" max="9749" width="16.453125" style="63" customWidth="1"/>
    <col min="9750" max="9750" width="17.453125" style="63" customWidth="1"/>
    <col min="9751" max="9751" width="15.81640625" style="63" customWidth="1"/>
    <col min="9752" max="9752" width="1.54296875" style="63" customWidth="1"/>
    <col min="9753" max="9753" width="15.453125" style="63" customWidth="1"/>
    <col min="9754" max="9754" width="14" style="63" customWidth="1"/>
    <col min="9755" max="9755" width="9.1796875" style="63"/>
    <col min="9756" max="9756" width="17.453125" style="63" customWidth="1"/>
    <col min="9757" max="9990" width="9.1796875" style="63"/>
    <col min="9991" max="9991" width="65.453125" style="63" customWidth="1"/>
    <col min="9992" max="9992" width="1" style="63" customWidth="1"/>
    <col min="9993" max="9993" width="17" style="63" customWidth="1"/>
    <col min="9994" max="9994" width="16.1796875" style="63" customWidth="1"/>
    <col min="9995" max="9995" width="16.453125" style="63" customWidth="1"/>
    <col min="9996" max="9996" width="23.453125" style="63" customWidth="1"/>
    <col min="9997" max="9997" width="17.54296875" style="63" customWidth="1"/>
    <col min="9998" max="9998" width="21" style="63" customWidth="1"/>
    <col min="9999" max="9999" width="1.1796875" style="63" customWidth="1"/>
    <col min="10000" max="10000" width="20.1796875" style="63" customWidth="1"/>
    <col min="10001" max="10001" width="16.54296875" style="63" customWidth="1"/>
    <col min="10002" max="10002" width="2.1796875" style="63" customWidth="1"/>
    <col min="10003" max="10003" width="18.453125" style="63" customWidth="1"/>
    <col min="10004" max="10004" width="16.54296875" style="63" customWidth="1"/>
    <col min="10005" max="10005" width="16.453125" style="63" customWidth="1"/>
    <col min="10006" max="10006" width="17.453125" style="63" customWidth="1"/>
    <col min="10007" max="10007" width="15.81640625" style="63" customWidth="1"/>
    <col min="10008" max="10008" width="1.54296875" style="63" customWidth="1"/>
    <col min="10009" max="10009" width="15.453125" style="63" customWidth="1"/>
    <col min="10010" max="10010" width="14" style="63" customWidth="1"/>
    <col min="10011" max="10011" width="9.1796875" style="63"/>
    <col min="10012" max="10012" width="17.453125" style="63" customWidth="1"/>
    <col min="10013" max="10246" width="9.1796875" style="63"/>
    <col min="10247" max="10247" width="65.453125" style="63" customWidth="1"/>
    <col min="10248" max="10248" width="1" style="63" customWidth="1"/>
    <col min="10249" max="10249" width="17" style="63" customWidth="1"/>
    <col min="10250" max="10250" width="16.1796875" style="63" customWidth="1"/>
    <col min="10251" max="10251" width="16.453125" style="63" customWidth="1"/>
    <col min="10252" max="10252" width="23.453125" style="63" customWidth="1"/>
    <col min="10253" max="10253" width="17.54296875" style="63" customWidth="1"/>
    <col min="10254" max="10254" width="21" style="63" customWidth="1"/>
    <col min="10255" max="10255" width="1.1796875" style="63" customWidth="1"/>
    <col min="10256" max="10256" width="20.1796875" style="63" customWidth="1"/>
    <col min="10257" max="10257" width="16.54296875" style="63" customWidth="1"/>
    <col min="10258" max="10258" width="2.1796875" style="63" customWidth="1"/>
    <col min="10259" max="10259" width="18.453125" style="63" customWidth="1"/>
    <col min="10260" max="10260" width="16.54296875" style="63" customWidth="1"/>
    <col min="10261" max="10261" width="16.453125" style="63" customWidth="1"/>
    <col min="10262" max="10262" width="17.453125" style="63" customWidth="1"/>
    <col min="10263" max="10263" width="15.81640625" style="63" customWidth="1"/>
    <col min="10264" max="10264" width="1.54296875" style="63" customWidth="1"/>
    <col min="10265" max="10265" width="15.453125" style="63" customWidth="1"/>
    <col min="10266" max="10266" width="14" style="63" customWidth="1"/>
    <col min="10267" max="10267" width="9.1796875" style="63"/>
    <col min="10268" max="10268" width="17.453125" style="63" customWidth="1"/>
    <col min="10269" max="10502" width="9.1796875" style="63"/>
    <col min="10503" max="10503" width="65.453125" style="63" customWidth="1"/>
    <col min="10504" max="10504" width="1" style="63" customWidth="1"/>
    <col min="10505" max="10505" width="17" style="63" customWidth="1"/>
    <col min="10506" max="10506" width="16.1796875" style="63" customWidth="1"/>
    <col min="10507" max="10507" width="16.453125" style="63" customWidth="1"/>
    <col min="10508" max="10508" width="23.453125" style="63" customWidth="1"/>
    <col min="10509" max="10509" width="17.54296875" style="63" customWidth="1"/>
    <col min="10510" max="10510" width="21" style="63" customWidth="1"/>
    <col min="10511" max="10511" width="1.1796875" style="63" customWidth="1"/>
    <col min="10512" max="10512" width="20.1796875" style="63" customWidth="1"/>
    <col min="10513" max="10513" width="16.54296875" style="63" customWidth="1"/>
    <col min="10514" max="10514" width="2.1796875" style="63" customWidth="1"/>
    <col min="10515" max="10515" width="18.453125" style="63" customWidth="1"/>
    <col min="10516" max="10516" width="16.54296875" style="63" customWidth="1"/>
    <col min="10517" max="10517" width="16.453125" style="63" customWidth="1"/>
    <col min="10518" max="10518" width="17.453125" style="63" customWidth="1"/>
    <col min="10519" max="10519" width="15.81640625" style="63" customWidth="1"/>
    <col min="10520" max="10520" width="1.54296875" style="63" customWidth="1"/>
    <col min="10521" max="10521" width="15.453125" style="63" customWidth="1"/>
    <col min="10522" max="10522" width="14" style="63" customWidth="1"/>
    <col min="10523" max="10523" width="9.1796875" style="63"/>
    <col min="10524" max="10524" width="17.453125" style="63" customWidth="1"/>
    <col min="10525" max="10758" width="9.1796875" style="63"/>
    <col min="10759" max="10759" width="65.453125" style="63" customWidth="1"/>
    <col min="10760" max="10760" width="1" style="63" customWidth="1"/>
    <col min="10761" max="10761" width="17" style="63" customWidth="1"/>
    <col min="10762" max="10762" width="16.1796875" style="63" customWidth="1"/>
    <col min="10763" max="10763" width="16.453125" style="63" customWidth="1"/>
    <col min="10764" max="10764" width="23.453125" style="63" customWidth="1"/>
    <col min="10765" max="10765" width="17.54296875" style="63" customWidth="1"/>
    <col min="10766" max="10766" width="21" style="63" customWidth="1"/>
    <col min="10767" max="10767" width="1.1796875" style="63" customWidth="1"/>
    <col min="10768" max="10768" width="20.1796875" style="63" customWidth="1"/>
    <col min="10769" max="10769" width="16.54296875" style="63" customWidth="1"/>
    <col min="10770" max="10770" width="2.1796875" style="63" customWidth="1"/>
    <col min="10771" max="10771" width="18.453125" style="63" customWidth="1"/>
    <col min="10772" max="10772" width="16.54296875" style="63" customWidth="1"/>
    <col min="10773" max="10773" width="16.453125" style="63" customWidth="1"/>
    <col min="10774" max="10774" width="17.453125" style="63" customWidth="1"/>
    <col min="10775" max="10775" width="15.81640625" style="63" customWidth="1"/>
    <col min="10776" max="10776" width="1.54296875" style="63" customWidth="1"/>
    <col min="10777" max="10777" width="15.453125" style="63" customWidth="1"/>
    <col min="10778" max="10778" width="14" style="63" customWidth="1"/>
    <col min="10779" max="10779" width="9.1796875" style="63"/>
    <col min="10780" max="10780" width="17.453125" style="63" customWidth="1"/>
    <col min="10781" max="11014" width="9.1796875" style="63"/>
    <col min="11015" max="11015" width="65.453125" style="63" customWidth="1"/>
    <col min="11016" max="11016" width="1" style="63" customWidth="1"/>
    <col min="11017" max="11017" width="17" style="63" customWidth="1"/>
    <col min="11018" max="11018" width="16.1796875" style="63" customWidth="1"/>
    <col min="11019" max="11019" width="16.453125" style="63" customWidth="1"/>
    <col min="11020" max="11020" width="23.453125" style="63" customWidth="1"/>
    <col min="11021" max="11021" width="17.54296875" style="63" customWidth="1"/>
    <col min="11022" max="11022" width="21" style="63" customWidth="1"/>
    <col min="11023" max="11023" width="1.1796875" style="63" customWidth="1"/>
    <col min="11024" max="11024" width="20.1796875" style="63" customWidth="1"/>
    <col min="11025" max="11025" width="16.54296875" style="63" customWidth="1"/>
    <col min="11026" max="11026" width="2.1796875" style="63" customWidth="1"/>
    <col min="11027" max="11027" width="18.453125" style="63" customWidth="1"/>
    <col min="11028" max="11028" width="16.54296875" style="63" customWidth="1"/>
    <col min="11029" max="11029" width="16.453125" style="63" customWidth="1"/>
    <col min="11030" max="11030" width="17.453125" style="63" customWidth="1"/>
    <col min="11031" max="11031" width="15.81640625" style="63" customWidth="1"/>
    <col min="11032" max="11032" width="1.54296875" style="63" customWidth="1"/>
    <col min="11033" max="11033" width="15.453125" style="63" customWidth="1"/>
    <col min="11034" max="11034" width="14" style="63" customWidth="1"/>
    <col min="11035" max="11035" width="9.1796875" style="63"/>
    <col min="11036" max="11036" width="17.453125" style="63" customWidth="1"/>
    <col min="11037" max="11270" width="9.1796875" style="63"/>
    <col min="11271" max="11271" width="65.453125" style="63" customWidth="1"/>
    <col min="11272" max="11272" width="1" style="63" customWidth="1"/>
    <col min="11273" max="11273" width="17" style="63" customWidth="1"/>
    <col min="11274" max="11274" width="16.1796875" style="63" customWidth="1"/>
    <col min="11275" max="11275" width="16.453125" style="63" customWidth="1"/>
    <col min="11276" max="11276" width="23.453125" style="63" customWidth="1"/>
    <col min="11277" max="11277" width="17.54296875" style="63" customWidth="1"/>
    <col min="11278" max="11278" width="21" style="63" customWidth="1"/>
    <col min="11279" max="11279" width="1.1796875" style="63" customWidth="1"/>
    <col min="11280" max="11280" width="20.1796875" style="63" customWidth="1"/>
    <col min="11281" max="11281" width="16.54296875" style="63" customWidth="1"/>
    <col min="11282" max="11282" width="2.1796875" style="63" customWidth="1"/>
    <col min="11283" max="11283" width="18.453125" style="63" customWidth="1"/>
    <col min="11284" max="11284" width="16.54296875" style="63" customWidth="1"/>
    <col min="11285" max="11285" width="16.453125" style="63" customWidth="1"/>
    <col min="11286" max="11286" width="17.453125" style="63" customWidth="1"/>
    <col min="11287" max="11287" width="15.81640625" style="63" customWidth="1"/>
    <col min="11288" max="11288" width="1.54296875" style="63" customWidth="1"/>
    <col min="11289" max="11289" width="15.453125" style="63" customWidth="1"/>
    <col min="11290" max="11290" width="14" style="63" customWidth="1"/>
    <col min="11291" max="11291" width="9.1796875" style="63"/>
    <col min="11292" max="11292" width="17.453125" style="63" customWidth="1"/>
    <col min="11293" max="11526" width="9.1796875" style="63"/>
    <col min="11527" max="11527" width="65.453125" style="63" customWidth="1"/>
    <col min="11528" max="11528" width="1" style="63" customWidth="1"/>
    <col min="11529" max="11529" width="17" style="63" customWidth="1"/>
    <col min="11530" max="11530" width="16.1796875" style="63" customWidth="1"/>
    <col min="11531" max="11531" width="16.453125" style="63" customWidth="1"/>
    <col min="11532" max="11532" width="23.453125" style="63" customWidth="1"/>
    <col min="11533" max="11533" width="17.54296875" style="63" customWidth="1"/>
    <col min="11534" max="11534" width="21" style="63" customWidth="1"/>
    <col min="11535" max="11535" width="1.1796875" style="63" customWidth="1"/>
    <col min="11536" max="11536" width="20.1796875" style="63" customWidth="1"/>
    <col min="11537" max="11537" width="16.54296875" style="63" customWidth="1"/>
    <col min="11538" max="11538" width="2.1796875" style="63" customWidth="1"/>
    <col min="11539" max="11539" width="18.453125" style="63" customWidth="1"/>
    <col min="11540" max="11540" width="16.54296875" style="63" customWidth="1"/>
    <col min="11541" max="11541" width="16.453125" style="63" customWidth="1"/>
    <col min="11542" max="11542" width="17.453125" style="63" customWidth="1"/>
    <col min="11543" max="11543" width="15.81640625" style="63" customWidth="1"/>
    <col min="11544" max="11544" width="1.54296875" style="63" customWidth="1"/>
    <col min="11545" max="11545" width="15.453125" style="63" customWidth="1"/>
    <col min="11546" max="11546" width="14" style="63" customWidth="1"/>
    <col min="11547" max="11547" width="9.1796875" style="63"/>
    <col min="11548" max="11548" width="17.453125" style="63" customWidth="1"/>
    <col min="11549" max="11782" width="9.1796875" style="63"/>
    <col min="11783" max="11783" width="65.453125" style="63" customWidth="1"/>
    <col min="11784" max="11784" width="1" style="63" customWidth="1"/>
    <col min="11785" max="11785" width="17" style="63" customWidth="1"/>
    <col min="11786" max="11786" width="16.1796875" style="63" customWidth="1"/>
    <col min="11787" max="11787" width="16.453125" style="63" customWidth="1"/>
    <col min="11788" max="11788" width="23.453125" style="63" customWidth="1"/>
    <col min="11789" max="11789" width="17.54296875" style="63" customWidth="1"/>
    <col min="11790" max="11790" width="21" style="63" customWidth="1"/>
    <col min="11791" max="11791" width="1.1796875" style="63" customWidth="1"/>
    <col min="11792" max="11792" width="20.1796875" style="63" customWidth="1"/>
    <col min="11793" max="11793" width="16.54296875" style="63" customWidth="1"/>
    <col min="11794" max="11794" width="2.1796875" style="63" customWidth="1"/>
    <col min="11795" max="11795" width="18.453125" style="63" customWidth="1"/>
    <col min="11796" max="11796" width="16.54296875" style="63" customWidth="1"/>
    <col min="11797" max="11797" width="16.453125" style="63" customWidth="1"/>
    <col min="11798" max="11798" width="17.453125" style="63" customWidth="1"/>
    <col min="11799" max="11799" width="15.81640625" style="63" customWidth="1"/>
    <col min="11800" max="11800" width="1.54296875" style="63" customWidth="1"/>
    <col min="11801" max="11801" width="15.453125" style="63" customWidth="1"/>
    <col min="11802" max="11802" width="14" style="63" customWidth="1"/>
    <col min="11803" max="11803" width="9.1796875" style="63"/>
    <col min="11804" max="11804" width="17.453125" style="63" customWidth="1"/>
    <col min="11805" max="12038" width="9.1796875" style="63"/>
    <col min="12039" max="12039" width="65.453125" style="63" customWidth="1"/>
    <col min="12040" max="12040" width="1" style="63" customWidth="1"/>
    <col min="12041" max="12041" width="17" style="63" customWidth="1"/>
    <col min="12042" max="12042" width="16.1796875" style="63" customWidth="1"/>
    <col min="12043" max="12043" width="16.453125" style="63" customWidth="1"/>
    <col min="12044" max="12044" width="23.453125" style="63" customWidth="1"/>
    <col min="12045" max="12045" width="17.54296875" style="63" customWidth="1"/>
    <col min="12046" max="12046" width="21" style="63" customWidth="1"/>
    <col min="12047" max="12047" width="1.1796875" style="63" customWidth="1"/>
    <col min="12048" max="12048" width="20.1796875" style="63" customWidth="1"/>
    <col min="12049" max="12049" width="16.54296875" style="63" customWidth="1"/>
    <col min="12050" max="12050" width="2.1796875" style="63" customWidth="1"/>
    <col min="12051" max="12051" width="18.453125" style="63" customWidth="1"/>
    <col min="12052" max="12052" width="16.54296875" style="63" customWidth="1"/>
    <col min="12053" max="12053" width="16.453125" style="63" customWidth="1"/>
    <col min="12054" max="12054" width="17.453125" style="63" customWidth="1"/>
    <col min="12055" max="12055" width="15.81640625" style="63" customWidth="1"/>
    <col min="12056" max="12056" width="1.54296875" style="63" customWidth="1"/>
    <col min="12057" max="12057" width="15.453125" style="63" customWidth="1"/>
    <col min="12058" max="12058" width="14" style="63" customWidth="1"/>
    <col min="12059" max="12059" width="9.1796875" style="63"/>
    <col min="12060" max="12060" width="17.453125" style="63" customWidth="1"/>
    <col min="12061" max="12294" width="9.1796875" style="63"/>
    <col min="12295" max="12295" width="65.453125" style="63" customWidth="1"/>
    <col min="12296" max="12296" width="1" style="63" customWidth="1"/>
    <col min="12297" max="12297" width="17" style="63" customWidth="1"/>
    <col min="12298" max="12298" width="16.1796875" style="63" customWidth="1"/>
    <col min="12299" max="12299" width="16.453125" style="63" customWidth="1"/>
    <col min="12300" max="12300" width="23.453125" style="63" customWidth="1"/>
    <col min="12301" max="12301" width="17.54296875" style="63" customWidth="1"/>
    <col min="12302" max="12302" width="21" style="63" customWidth="1"/>
    <col min="12303" max="12303" width="1.1796875" style="63" customWidth="1"/>
    <col min="12304" max="12304" width="20.1796875" style="63" customWidth="1"/>
    <col min="12305" max="12305" width="16.54296875" style="63" customWidth="1"/>
    <col min="12306" max="12306" width="2.1796875" style="63" customWidth="1"/>
    <col min="12307" max="12307" width="18.453125" style="63" customWidth="1"/>
    <col min="12308" max="12308" width="16.54296875" style="63" customWidth="1"/>
    <col min="12309" max="12309" width="16.453125" style="63" customWidth="1"/>
    <col min="12310" max="12310" width="17.453125" style="63" customWidth="1"/>
    <col min="12311" max="12311" width="15.81640625" style="63" customWidth="1"/>
    <col min="12312" max="12312" width="1.54296875" style="63" customWidth="1"/>
    <col min="12313" max="12313" width="15.453125" style="63" customWidth="1"/>
    <col min="12314" max="12314" width="14" style="63" customWidth="1"/>
    <col min="12315" max="12315" width="9.1796875" style="63"/>
    <col min="12316" max="12316" width="17.453125" style="63" customWidth="1"/>
    <col min="12317" max="12550" width="9.1796875" style="63"/>
    <col min="12551" max="12551" width="65.453125" style="63" customWidth="1"/>
    <col min="12552" max="12552" width="1" style="63" customWidth="1"/>
    <col min="12553" max="12553" width="17" style="63" customWidth="1"/>
    <col min="12554" max="12554" width="16.1796875" style="63" customWidth="1"/>
    <col min="12555" max="12555" width="16.453125" style="63" customWidth="1"/>
    <col min="12556" max="12556" width="23.453125" style="63" customWidth="1"/>
    <col min="12557" max="12557" width="17.54296875" style="63" customWidth="1"/>
    <col min="12558" max="12558" width="21" style="63" customWidth="1"/>
    <col min="12559" max="12559" width="1.1796875" style="63" customWidth="1"/>
    <col min="12560" max="12560" width="20.1796875" style="63" customWidth="1"/>
    <col min="12561" max="12561" width="16.54296875" style="63" customWidth="1"/>
    <col min="12562" max="12562" width="2.1796875" style="63" customWidth="1"/>
    <col min="12563" max="12563" width="18.453125" style="63" customWidth="1"/>
    <col min="12564" max="12564" width="16.54296875" style="63" customWidth="1"/>
    <col min="12565" max="12565" width="16.453125" style="63" customWidth="1"/>
    <col min="12566" max="12566" width="17.453125" style="63" customWidth="1"/>
    <col min="12567" max="12567" width="15.81640625" style="63" customWidth="1"/>
    <col min="12568" max="12568" width="1.54296875" style="63" customWidth="1"/>
    <col min="12569" max="12569" width="15.453125" style="63" customWidth="1"/>
    <col min="12570" max="12570" width="14" style="63" customWidth="1"/>
    <col min="12571" max="12571" width="9.1796875" style="63"/>
    <col min="12572" max="12572" width="17.453125" style="63" customWidth="1"/>
    <col min="12573" max="12806" width="9.1796875" style="63"/>
    <col min="12807" max="12807" width="65.453125" style="63" customWidth="1"/>
    <col min="12808" max="12808" width="1" style="63" customWidth="1"/>
    <col min="12809" max="12809" width="17" style="63" customWidth="1"/>
    <col min="12810" max="12810" width="16.1796875" style="63" customWidth="1"/>
    <col min="12811" max="12811" width="16.453125" style="63" customWidth="1"/>
    <col min="12812" max="12812" width="23.453125" style="63" customWidth="1"/>
    <col min="12813" max="12813" width="17.54296875" style="63" customWidth="1"/>
    <col min="12814" max="12814" width="21" style="63" customWidth="1"/>
    <col min="12815" max="12815" width="1.1796875" style="63" customWidth="1"/>
    <col min="12816" max="12816" width="20.1796875" style="63" customWidth="1"/>
    <col min="12817" max="12817" width="16.54296875" style="63" customWidth="1"/>
    <col min="12818" max="12818" width="2.1796875" style="63" customWidth="1"/>
    <col min="12819" max="12819" width="18.453125" style="63" customWidth="1"/>
    <col min="12820" max="12820" width="16.54296875" style="63" customWidth="1"/>
    <col min="12821" max="12821" width="16.453125" style="63" customWidth="1"/>
    <col min="12822" max="12822" width="17.453125" style="63" customWidth="1"/>
    <col min="12823" max="12823" width="15.81640625" style="63" customWidth="1"/>
    <col min="12824" max="12824" width="1.54296875" style="63" customWidth="1"/>
    <col min="12825" max="12825" width="15.453125" style="63" customWidth="1"/>
    <col min="12826" max="12826" width="14" style="63" customWidth="1"/>
    <col min="12827" max="12827" width="9.1796875" style="63"/>
    <col min="12828" max="12828" width="17.453125" style="63" customWidth="1"/>
    <col min="12829" max="13062" width="9.1796875" style="63"/>
    <col min="13063" max="13063" width="65.453125" style="63" customWidth="1"/>
    <col min="13064" max="13064" width="1" style="63" customWidth="1"/>
    <col min="13065" max="13065" width="17" style="63" customWidth="1"/>
    <col min="13066" max="13066" width="16.1796875" style="63" customWidth="1"/>
    <col min="13067" max="13067" width="16.453125" style="63" customWidth="1"/>
    <col min="13068" max="13068" width="23.453125" style="63" customWidth="1"/>
    <col min="13069" max="13069" width="17.54296875" style="63" customWidth="1"/>
    <col min="13070" max="13070" width="21" style="63" customWidth="1"/>
    <col min="13071" max="13071" width="1.1796875" style="63" customWidth="1"/>
    <col min="13072" max="13072" width="20.1796875" style="63" customWidth="1"/>
    <col min="13073" max="13073" width="16.54296875" style="63" customWidth="1"/>
    <col min="13074" max="13074" width="2.1796875" style="63" customWidth="1"/>
    <col min="13075" max="13075" width="18.453125" style="63" customWidth="1"/>
    <col min="13076" max="13076" width="16.54296875" style="63" customWidth="1"/>
    <col min="13077" max="13077" width="16.453125" style="63" customWidth="1"/>
    <col min="13078" max="13078" width="17.453125" style="63" customWidth="1"/>
    <col min="13079" max="13079" width="15.81640625" style="63" customWidth="1"/>
    <col min="13080" max="13080" width="1.54296875" style="63" customWidth="1"/>
    <col min="13081" max="13081" width="15.453125" style="63" customWidth="1"/>
    <col min="13082" max="13082" width="14" style="63" customWidth="1"/>
    <col min="13083" max="13083" width="9.1796875" style="63"/>
    <col min="13084" max="13084" width="17.453125" style="63" customWidth="1"/>
    <col min="13085" max="13318" width="9.1796875" style="63"/>
    <col min="13319" max="13319" width="65.453125" style="63" customWidth="1"/>
    <col min="13320" max="13320" width="1" style="63" customWidth="1"/>
    <col min="13321" max="13321" width="17" style="63" customWidth="1"/>
    <col min="13322" max="13322" width="16.1796875" style="63" customWidth="1"/>
    <col min="13323" max="13323" width="16.453125" style="63" customWidth="1"/>
    <col min="13324" max="13324" width="23.453125" style="63" customWidth="1"/>
    <col min="13325" max="13325" width="17.54296875" style="63" customWidth="1"/>
    <col min="13326" max="13326" width="21" style="63" customWidth="1"/>
    <col min="13327" max="13327" width="1.1796875" style="63" customWidth="1"/>
    <col min="13328" max="13328" width="20.1796875" style="63" customWidth="1"/>
    <col min="13329" max="13329" width="16.54296875" style="63" customWidth="1"/>
    <col min="13330" max="13330" width="2.1796875" style="63" customWidth="1"/>
    <col min="13331" max="13331" width="18.453125" style="63" customWidth="1"/>
    <col min="13332" max="13332" width="16.54296875" style="63" customWidth="1"/>
    <col min="13333" max="13333" width="16.453125" style="63" customWidth="1"/>
    <col min="13334" max="13334" width="17.453125" style="63" customWidth="1"/>
    <col min="13335" max="13335" width="15.81640625" style="63" customWidth="1"/>
    <col min="13336" max="13336" width="1.54296875" style="63" customWidth="1"/>
    <col min="13337" max="13337" width="15.453125" style="63" customWidth="1"/>
    <col min="13338" max="13338" width="14" style="63" customWidth="1"/>
    <col min="13339" max="13339" width="9.1796875" style="63"/>
    <col min="13340" max="13340" width="17.453125" style="63" customWidth="1"/>
    <col min="13341" max="13574" width="9.1796875" style="63"/>
    <col min="13575" max="13575" width="65.453125" style="63" customWidth="1"/>
    <col min="13576" max="13576" width="1" style="63" customWidth="1"/>
    <col min="13577" max="13577" width="17" style="63" customWidth="1"/>
    <col min="13578" max="13578" width="16.1796875" style="63" customWidth="1"/>
    <col min="13579" max="13579" width="16.453125" style="63" customWidth="1"/>
    <col min="13580" max="13580" width="23.453125" style="63" customWidth="1"/>
    <col min="13581" max="13581" width="17.54296875" style="63" customWidth="1"/>
    <col min="13582" max="13582" width="21" style="63" customWidth="1"/>
    <col min="13583" max="13583" width="1.1796875" style="63" customWidth="1"/>
    <col min="13584" max="13584" width="20.1796875" style="63" customWidth="1"/>
    <col min="13585" max="13585" width="16.54296875" style="63" customWidth="1"/>
    <col min="13586" max="13586" width="2.1796875" style="63" customWidth="1"/>
    <col min="13587" max="13587" width="18.453125" style="63" customWidth="1"/>
    <col min="13588" max="13588" width="16.54296875" style="63" customWidth="1"/>
    <col min="13589" max="13589" width="16.453125" style="63" customWidth="1"/>
    <col min="13590" max="13590" width="17.453125" style="63" customWidth="1"/>
    <col min="13591" max="13591" width="15.81640625" style="63" customWidth="1"/>
    <col min="13592" max="13592" width="1.54296875" style="63" customWidth="1"/>
    <col min="13593" max="13593" width="15.453125" style="63" customWidth="1"/>
    <col min="13594" max="13594" width="14" style="63" customWidth="1"/>
    <col min="13595" max="13595" width="9.1796875" style="63"/>
    <col min="13596" max="13596" width="17.453125" style="63" customWidth="1"/>
    <col min="13597" max="13830" width="9.1796875" style="63"/>
    <col min="13831" max="13831" width="65.453125" style="63" customWidth="1"/>
    <col min="13832" max="13832" width="1" style="63" customWidth="1"/>
    <col min="13833" max="13833" width="17" style="63" customWidth="1"/>
    <col min="13834" max="13834" width="16.1796875" style="63" customWidth="1"/>
    <col min="13835" max="13835" width="16.453125" style="63" customWidth="1"/>
    <col min="13836" max="13836" width="23.453125" style="63" customWidth="1"/>
    <col min="13837" max="13837" width="17.54296875" style="63" customWidth="1"/>
    <col min="13838" max="13838" width="21" style="63" customWidth="1"/>
    <col min="13839" max="13839" width="1.1796875" style="63" customWidth="1"/>
    <col min="13840" max="13840" width="20.1796875" style="63" customWidth="1"/>
    <col min="13841" max="13841" width="16.54296875" style="63" customWidth="1"/>
    <col min="13842" max="13842" width="2.1796875" style="63" customWidth="1"/>
    <col min="13843" max="13843" width="18.453125" style="63" customWidth="1"/>
    <col min="13844" max="13844" width="16.54296875" style="63" customWidth="1"/>
    <col min="13845" max="13845" width="16.453125" style="63" customWidth="1"/>
    <col min="13846" max="13846" width="17.453125" style="63" customWidth="1"/>
    <col min="13847" max="13847" width="15.81640625" style="63" customWidth="1"/>
    <col min="13848" max="13848" width="1.54296875" style="63" customWidth="1"/>
    <col min="13849" max="13849" width="15.453125" style="63" customWidth="1"/>
    <col min="13850" max="13850" width="14" style="63" customWidth="1"/>
    <col min="13851" max="13851" width="9.1796875" style="63"/>
    <col min="13852" max="13852" width="17.453125" style="63" customWidth="1"/>
    <col min="13853" max="14086" width="9.1796875" style="63"/>
    <col min="14087" max="14087" width="65.453125" style="63" customWidth="1"/>
    <col min="14088" max="14088" width="1" style="63" customWidth="1"/>
    <col min="14089" max="14089" width="17" style="63" customWidth="1"/>
    <col min="14090" max="14090" width="16.1796875" style="63" customWidth="1"/>
    <col min="14091" max="14091" width="16.453125" style="63" customWidth="1"/>
    <col min="14092" max="14092" width="23.453125" style="63" customWidth="1"/>
    <col min="14093" max="14093" width="17.54296875" style="63" customWidth="1"/>
    <col min="14094" max="14094" width="21" style="63" customWidth="1"/>
    <col min="14095" max="14095" width="1.1796875" style="63" customWidth="1"/>
    <col min="14096" max="14096" width="20.1796875" style="63" customWidth="1"/>
    <col min="14097" max="14097" width="16.54296875" style="63" customWidth="1"/>
    <col min="14098" max="14098" width="2.1796875" style="63" customWidth="1"/>
    <col min="14099" max="14099" width="18.453125" style="63" customWidth="1"/>
    <col min="14100" max="14100" width="16.54296875" style="63" customWidth="1"/>
    <col min="14101" max="14101" width="16.453125" style="63" customWidth="1"/>
    <col min="14102" max="14102" width="17.453125" style="63" customWidth="1"/>
    <col min="14103" max="14103" width="15.81640625" style="63" customWidth="1"/>
    <col min="14104" max="14104" width="1.54296875" style="63" customWidth="1"/>
    <col min="14105" max="14105" width="15.453125" style="63" customWidth="1"/>
    <col min="14106" max="14106" width="14" style="63" customWidth="1"/>
    <col min="14107" max="14107" width="9.1796875" style="63"/>
    <col min="14108" max="14108" width="17.453125" style="63" customWidth="1"/>
    <col min="14109" max="14342" width="9.1796875" style="63"/>
    <col min="14343" max="14343" width="65.453125" style="63" customWidth="1"/>
    <col min="14344" max="14344" width="1" style="63" customWidth="1"/>
    <col min="14345" max="14345" width="17" style="63" customWidth="1"/>
    <col min="14346" max="14346" width="16.1796875" style="63" customWidth="1"/>
    <col min="14347" max="14347" width="16.453125" style="63" customWidth="1"/>
    <col min="14348" max="14348" width="23.453125" style="63" customWidth="1"/>
    <col min="14349" max="14349" width="17.54296875" style="63" customWidth="1"/>
    <col min="14350" max="14350" width="21" style="63" customWidth="1"/>
    <col min="14351" max="14351" width="1.1796875" style="63" customWidth="1"/>
    <col min="14352" max="14352" width="20.1796875" style="63" customWidth="1"/>
    <col min="14353" max="14353" width="16.54296875" style="63" customWidth="1"/>
    <col min="14354" max="14354" width="2.1796875" style="63" customWidth="1"/>
    <col min="14355" max="14355" width="18.453125" style="63" customWidth="1"/>
    <col min="14356" max="14356" width="16.54296875" style="63" customWidth="1"/>
    <col min="14357" max="14357" width="16.453125" style="63" customWidth="1"/>
    <col min="14358" max="14358" width="17.453125" style="63" customWidth="1"/>
    <col min="14359" max="14359" width="15.81640625" style="63" customWidth="1"/>
    <col min="14360" max="14360" width="1.54296875" style="63" customWidth="1"/>
    <col min="14361" max="14361" width="15.453125" style="63" customWidth="1"/>
    <col min="14362" max="14362" width="14" style="63" customWidth="1"/>
    <col min="14363" max="14363" width="9.1796875" style="63"/>
    <col min="14364" max="14364" width="17.453125" style="63" customWidth="1"/>
    <col min="14365" max="14598" width="9.1796875" style="63"/>
    <col min="14599" max="14599" width="65.453125" style="63" customWidth="1"/>
    <col min="14600" max="14600" width="1" style="63" customWidth="1"/>
    <col min="14601" max="14601" width="17" style="63" customWidth="1"/>
    <col min="14602" max="14602" width="16.1796875" style="63" customWidth="1"/>
    <col min="14603" max="14603" width="16.453125" style="63" customWidth="1"/>
    <col min="14604" max="14604" width="23.453125" style="63" customWidth="1"/>
    <col min="14605" max="14605" width="17.54296875" style="63" customWidth="1"/>
    <col min="14606" max="14606" width="21" style="63" customWidth="1"/>
    <col min="14607" max="14607" width="1.1796875" style="63" customWidth="1"/>
    <col min="14608" max="14608" width="20.1796875" style="63" customWidth="1"/>
    <col min="14609" max="14609" width="16.54296875" style="63" customWidth="1"/>
    <col min="14610" max="14610" width="2.1796875" style="63" customWidth="1"/>
    <col min="14611" max="14611" width="18.453125" style="63" customWidth="1"/>
    <col min="14612" max="14612" width="16.54296875" style="63" customWidth="1"/>
    <col min="14613" max="14613" width="16.453125" style="63" customWidth="1"/>
    <col min="14614" max="14614" width="17.453125" style="63" customWidth="1"/>
    <col min="14615" max="14615" width="15.81640625" style="63" customWidth="1"/>
    <col min="14616" max="14616" width="1.54296875" style="63" customWidth="1"/>
    <col min="14617" max="14617" width="15.453125" style="63" customWidth="1"/>
    <col min="14618" max="14618" width="14" style="63" customWidth="1"/>
    <col min="14619" max="14619" width="9.1796875" style="63"/>
    <col min="14620" max="14620" width="17.453125" style="63" customWidth="1"/>
    <col min="14621" max="14854" width="9.1796875" style="63"/>
    <col min="14855" max="14855" width="65.453125" style="63" customWidth="1"/>
    <col min="14856" max="14856" width="1" style="63" customWidth="1"/>
    <col min="14857" max="14857" width="17" style="63" customWidth="1"/>
    <col min="14858" max="14858" width="16.1796875" style="63" customWidth="1"/>
    <col min="14859" max="14859" width="16.453125" style="63" customWidth="1"/>
    <col min="14860" max="14860" width="23.453125" style="63" customWidth="1"/>
    <col min="14861" max="14861" width="17.54296875" style="63" customWidth="1"/>
    <col min="14862" max="14862" width="21" style="63" customWidth="1"/>
    <col min="14863" max="14863" width="1.1796875" style="63" customWidth="1"/>
    <col min="14864" max="14864" width="20.1796875" style="63" customWidth="1"/>
    <col min="14865" max="14865" width="16.54296875" style="63" customWidth="1"/>
    <col min="14866" max="14866" width="2.1796875" style="63" customWidth="1"/>
    <col min="14867" max="14867" width="18.453125" style="63" customWidth="1"/>
    <col min="14868" max="14868" width="16.54296875" style="63" customWidth="1"/>
    <col min="14869" max="14869" width="16.453125" style="63" customWidth="1"/>
    <col min="14870" max="14870" width="17.453125" style="63" customWidth="1"/>
    <col min="14871" max="14871" width="15.81640625" style="63" customWidth="1"/>
    <col min="14872" max="14872" width="1.54296875" style="63" customWidth="1"/>
    <col min="14873" max="14873" width="15.453125" style="63" customWidth="1"/>
    <col min="14874" max="14874" width="14" style="63" customWidth="1"/>
    <col min="14875" max="14875" width="9.1796875" style="63"/>
    <col min="14876" max="14876" width="17.453125" style="63" customWidth="1"/>
    <col min="14877" max="15110" width="9.1796875" style="63"/>
    <col min="15111" max="15111" width="65.453125" style="63" customWidth="1"/>
    <col min="15112" max="15112" width="1" style="63" customWidth="1"/>
    <col min="15113" max="15113" width="17" style="63" customWidth="1"/>
    <col min="15114" max="15114" width="16.1796875" style="63" customWidth="1"/>
    <col min="15115" max="15115" width="16.453125" style="63" customWidth="1"/>
    <col min="15116" max="15116" width="23.453125" style="63" customWidth="1"/>
    <col min="15117" max="15117" width="17.54296875" style="63" customWidth="1"/>
    <col min="15118" max="15118" width="21" style="63" customWidth="1"/>
    <col min="15119" max="15119" width="1.1796875" style="63" customWidth="1"/>
    <col min="15120" max="15120" width="20.1796875" style="63" customWidth="1"/>
    <col min="15121" max="15121" width="16.54296875" style="63" customWidth="1"/>
    <col min="15122" max="15122" width="2.1796875" style="63" customWidth="1"/>
    <col min="15123" max="15123" width="18.453125" style="63" customWidth="1"/>
    <col min="15124" max="15124" width="16.54296875" style="63" customWidth="1"/>
    <col min="15125" max="15125" width="16.453125" style="63" customWidth="1"/>
    <col min="15126" max="15126" width="17.453125" style="63" customWidth="1"/>
    <col min="15127" max="15127" width="15.81640625" style="63" customWidth="1"/>
    <col min="15128" max="15128" width="1.54296875" style="63" customWidth="1"/>
    <col min="15129" max="15129" width="15.453125" style="63" customWidth="1"/>
    <col min="15130" max="15130" width="14" style="63" customWidth="1"/>
    <col min="15131" max="15131" width="9.1796875" style="63"/>
    <col min="15132" max="15132" width="17.453125" style="63" customWidth="1"/>
    <col min="15133" max="15366" width="9.1796875" style="63"/>
    <col min="15367" max="15367" width="65.453125" style="63" customWidth="1"/>
    <col min="15368" max="15368" width="1" style="63" customWidth="1"/>
    <col min="15369" max="15369" width="17" style="63" customWidth="1"/>
    <col min="15370" max="15370" width="16.1796875" style="63" customWidth="1"/>
    <col min="15371" max="15371" width="16.453125" style="63" customWidth="1"/>
    <col min="15372" max="15372" width="23.453125" style="63" customWidth="1"/>
    <col min="15373" max="15373" width="17.54296875" style="63" customWidth="1"/>
    <col min="15374" max="15374" width="21" style="63" customWidth="1"/>
    <col min="15375" max="15375" width="1.1796875" style="63" customWidth="1"/>
    <col min="15376" max="15376" width="20.1796875" style="63" customWidth="1"/>
    <col min="15377" max="15377" width="16.54296875" style="63" customWidth="1"/>
    <col min="15378" max="15378" width="2.1796875" style="63" customWidth="1"/>
    <col min="15379" max="15379" width="18.453125" style="63" customWidth="1"/>
    <col min="15380" max="15380" width="16.54296875" style="63" customWidth="1"/>
    <col min="15381" max="15381" width="16.453125" style="63" customWidth="1"/>
    <col min="15382" max="15382" width="17.453125" style="63" customWidth="1"/>
    <col min="15383" max="15383" width="15.81640625" style="63" customWidth="1"/>
    <col min="15384" max="15384" width="1.54296875" style="63" customWidth="1"/>
    <col min="15385" max="15385" width="15.453125" style="63" customWidth="1"/>
    <col min="15386" max="15386" width="14" style="63" customWidth="1"/>
    <col min="15387" max="15387" width="9.1796875" style="63"/>
    <col min="15388" max="15388" width="17.453125" style="63" customWidth="1"/>
    <col min="15389" max="15622" width="9.1796875" style="63"/>
    <col min="15623" max="15623" width="65.453125" style="63" customWidth="1"/>
    <col min="15624" max="15624" width="1" style="63" customWidth="1"/>
    <col min="15625" max="15625" width="17" style="63" customWidth="1"/>
    <col min="15626" max="15626" width="16.1796875" style="63" customWidth="1"/>
    <col min="15627" max="15627" width="16.453125" style="63" customWidth="1"/>
    <col min="15628" max="15628" width="23.453125" style="63" customWidth="1"/>
    <col min="15629" max="15629" width="17.54296875" style="63" customWidth="1"/>
    <col min="15630" max="15630" width="21" style="63" customWidth="1"/>
    <col min="15631" max="15631" width="1.1796875" style="63" customWidth="1"/>
    <col min="15632" max="15632" width="20.1796875" style="63" customWidth="1"/>
    <col min="15633" max="15633" width="16.54296875" style="63" customWidth="1"/>
    <col min="15634" max="15634" width="2.1796875" style="63" customWidth="1"/>
    <col min="15635" max="15635" width="18.453125" style="63" customWidth="1"/>
    <col min="15636" max="15636" width="16.54296875" style="63" customWidth="1"/>
    <col min="15637" max="15637" width="16.453125" style="63" customWidth="1"/>
    <col min="15638" max="15638" width="17.453125" style="63" customWidth="1"/>
    <col min="15639" max="15639" width="15.81640625" style="63" customWidth="1"/>
    <col min="15640" max="15640" width="1.54296875" style="63" customWidth="1"/>
    <col min="15641" max="15641" width="15.453125" style="63" customWidth="1"/>
    <col min="15642" max="15642" width="14" style="63" customWidth="1"/>
    <col min="15643" max="15643" width="9.1796875" style="63"/>
    <col min="15644" max="15644" width="17.453125" style="63" customWidth="1"/>
    <col min="15645" max="15878" width="9.1796875" style="63"/>
    <col min="15879" max="15879" width="65.453125" style="63" customWidth="1"/>
    <col min="15880" max="15880" width="1" style="63" customWidth="1"/>
    <col min="15881" max="15881" width="17" style="63" customWidth="1"/>
    <col min="15882" max="15882" width="16.1796875" style="63" customWidth="1"/>
    <col min="15883" max="15883" width="16.453125" style="63" customWidth="1"/>
    <col min="15884" max="15884" width="23.453125" style="63" customWidth="1"/>
    <col min="15885" max="15885" width="17.54296875" style="63" customWidth="1"/>
    <col min="15886" max="15886" width="21" style="63" customWidth="1"/>
    <col min="15887" max="15887" width="1.1796875" style="63" customWidth="1"/>
    <col min="15888" max="15888" width="20.1796875" style="63" customWidth="1"/>
    <col min="15889" max="15889" width="16.54296875" style="63" customWidth="1"/>
    <col min="15890" max="15890" width="2.1796875" style="63" customWidth="1"/>
    <col min="15891" max="15891" width="18.453125" style="63" customWidth="1"/>
    <col min="15892" max="15892" width="16.54296875" style="63" customWidth="1"/>
    <col min="15893" max="15893" width="16.453125" style="63" customWidth="1"/>
    <col min="15894" max="15894" width="17.453125" style="63" customWidth="1"/>
    <col min="15895" max="15895" width="15.81640625" style="63" customWidth="1"/>
    <col min="15896" max="15896" width="1.54296875" style="63" customWidth="1"/>
    <col min="15897" max="15897" width="15.453125" style="63" customWidth="1"/>
    <col min="15898" max="15898" width="14" style="63" customWidth="1"/>
    <col min="15899" max="15899" width="9.1796875" style="63"/>
    <col min="15900" max="15900" width="17.453125" style="63" customWidth="1"/>
    <col min="15901" max="16134" width="9.1796875" style="63"/>
    <col min="16135" max="16135" width="65.453125" style="63" customWidth="1"/>
    <col min="16136" max="16136" width="1" style="63" customWidth="1"/>
    <col min="16137" max="16137" width="17" style="63" customWidth="1"/>
    <col min="16138" max="16138" width="16.1796875" style="63" customWidth="1"/>
    <col min="16139" max="16139" width="16.453125" style="63" customWidth="1"/>
    <col min="16140" max="16140" width="23.453125" style="63" customWidth="1"/>
    <col min="16141" max="16141" width="17.54296875" style="63" customWidth="1"/>
    <col min="16142" max="16142" width="21" style="63" customWidth="1"/>
    <col min="16143" max="16143" width="1.1796875" style="63" customWidth="1"/>
    <col min="16144" max="16144" width="20.1796875" style="63" customWidth="1"/>
    <col min="16145" max="16145" width="16.54296875" style="63" customWidth="1"/>
    <col min="16146" max="16146" width="2.1796875" style="63" customWidth="1"/>
    <col min="16147" max="16147" width="18.453125" style="63" customWidth="1"/>
    <col min="16148" max="16148" width="16.54296875" style="63" customWidth="1"/>
    <col min="16149" max="16149" width="16.453125" style="63" customWidth="1"/>
    <col min="16150" max="16150" width="17.453125" style="63" customWidth="1"/>
    <col min="16151" max="16151" width="15.81640625" style="63" customWidth="1"/>
    <col min="16152" max="16152" width="1.54296875" style="63" customWidth="1"/>
    <col min="16153" max="16153" width="15.453125" style="63" customWidth="1"/>
    <col min="16154" max="16154" width="14" style="63" customWidth="1"/>
    <col min="16155" max="16155" width="9.1796875" style="63"/>
    <col min="16156" max="16156" width="17.453125" style="63" customWidth="1"/>
    <col min="16157" max="16384" width="9.1796875" style="63"/>
  </cols>
  <sheetData>
    <row r="1" spans="1:28" ht="19">
      <c r="A1" s="64" t="s">
        <v>1575</v>
      </c>
      <c r="B1" s="64"/>
      <c r="N1" s="63" t="s">
        <v>1576</v>
      </c>
    </row>
    <row r="2" spans="1:28" ht="19">
      <c r="A2" s="64" t="s">
        <v>1577</v>
      </c>
      <c r="B2" s="64"/>
      <c r="M2" s="110" t="s">
        <v>1578</v>
      </c>
      <c r="N2" s="111">
        <f>[99]BS!N25</f>
        <v>278962</v>
      </c>
      <c r="O2" s="110" t="s">
        <v>1578</v>
      </c>
      <c r="R2" s="91">
        <v>0</v>
      </c>
    </row>
    <row r="3" spans="1:28" ht="19">
      <c r="A3" s="64" t="s">
        <v>1579</v>
      </c>
      <c r="B3" s="64"/>
      <c r="N3" s="112"/>
      <c r="R3" s="91"/>
    </row>
    <row r="4" spans="1:28">
      <c r="M4" s="63" t="s">
        <v>1580</v>
      </c>
      <c r="N4" s="113">
        <v>0</v>
      </c>
      <c r="O4" s="63" t="s">
        <v>1581</v>
      </c>
      <c r="R4" s="91">
        <v>2230288</v>
      </c>
    </row>
    <row r="5" spans="1:28" ht="19">
      <c r="A5" s="64" t="s">
        <v>42</v>
      </c>
      <c r="B5" s="64"/>
      <c r="C5" s="1567">
        <v>2020</v>
      </c>
      <c r="D5" s="1568"/>
      <c r="E5" s="1568"/>
      <c r="F5" s="1568"/>
      <c r="G5" s="1568"/>
      <c r="H5" s="1569"/>
      <c r="M5" s="63" t="s">
        <v>1582</v>
      </c>
      <c r="N5" s="114">
        <f>+P8-N4</f>
        <v>0</v>
      </c>
      <c r="R5" s="91"/>
    </row>
    <row r="6" spans="1:28">
      <c r="F6" s="1570" t="s">
        <v>1583</v>
      </c>
      <c r="G6" s="1570"/>
      <c r="I6" s="87"/>
      <c r="J6" s="107"/>
      <c r="K6" s="1571" t="str">
        <f>Y6</f>
        <v>Transfer to</v>
      </c>
      <c r="L6" s="1571"/>
      <c r="N6" s="112"/>
      <c r="R6" s="91"/>
      <c r="S6" s="1567">
        <v>2010</v>
      </c>
      <c r="T6" s="1568"/>
      <c r="U6" s="1568"/>
      <c r="V6" s="1568"/>
      <c r="W6" s="1569"/>
      <c r="Y6" s="1567" t="s">
        <v>1584</v>
      </c>
      <c r="Z6" s="1569"/>
    </row>
    <row r="7" spans="1:28" s="62" customFormat="1" ht="43.5">
      <c r="C7" s="65" t="s">
        <v>1585</v>
      </c>
      <c r="D7" s="65" t="s">
        <v>1586</v>
      </c>
      <c r="E7" s="88" t="s">
        <v>1587</v>
      </c>
      <c r="F7" s="88" t="s">
        <v>1588</v>
      </c>
      <c r="G7" s="88" t="s">
        <v>1589</v>
      </c>
      <c r="H7" s="65" t="s">
        <v>1590</v>
      </c>
      <c r="I7" s="65"/>
      <c r="J7" s="108"/>
      <c r="K7" s="65" t="str">
        <f>Y7</f>
        <v>Deferred Tax Income</v>
      </c>
      <c r="L7" s="65" t="str">
        <f>Z7</f>
        <v>Equity (remaining balance)</v>
      </c>
      <c r="M7" s="105" t="s">
        <v>1591</v>
      </c>
      <c r="N7" s="115" t="e">
        <f>H26</f>
        <v>#REF!</v>
      </c>
      <c r="O7" s="105" t="s">
        <v>1591</v>
      </c>
      <c r="R7" s="120"/>
      <c r="S7" s="65" t="s">
        <v>1585</v>
      </c>
      <c r="T7" s="65" t="s">
        <v>1586</v>
      </c>
      <c r="U7" s="88" t="s">
        <v>1587</v>
      </c>
      <c r="V7" s="65" t="s">
        <v>1592</v>
      </c>
      <c r="W7" s="65" t="s">
        <v>1593</v>
      </c>
      <c r="Y7" s="88" t="s">
        <v>1594</v>
      </c>
      <c r="Z7" s="65" t="s">
        <v>1595</v>
      </c>
    </row>
    <row r="8" spans="1:28" s="62" customFormat="1">
      <c r="H8" s="89">
        <v>0.28999999999999998</v>
      </c>
      <c r="I8" s="109">
        <v>0</v>
      </c>
      <c r="M8" s="63"/>
      <c r="N8" s="116" t="e">
        <f>SUM(N2:N7)</f>
        <v>#REF!</v>
      </c>
      <c r="O8" s="63"/>
      <c r="R8" s="116">
        <f>SUM(R2:R7)</f>
        <v>2230288</v>
      </c>
    </row>
    <row r="9" spans="1:28">
      <c r="A9" s="66" t="s">
        <v>1532</v>
      </c>
      <c r="B9" s="66"/>
      <c r="C9" s="67"/>
    </row>
    <row r="10" spans="1:28">
      <c r="C10" s="68"/>
      <c r="S10" s="67"/>
      <c r="T10" s="67"/>
      <c r="U10" s="67"/>
      <c r="V10" s="67"/>
      <c r="W10" s="67"/>
    </row>
    <row r="11" spans="1:28" hidden="1">
      <c r="A11" s="63" t="s">
        <v>1596</v>
      </c>
      <c r="C11" s="68"/>
      <c r="S11" s="67"/>
      <c r="T11" s="67"/>
      <c r="U11" s="67"/>
      <c r="V11" s="67"/>
      <c r="W11" s="67"/>
    </row>
    <row r="12" spans="1:28">
      <c r="A12" s="63" t="s">
        <v>1597</v>
      </c>
      <c r="C12" s="67">
        <f>'FA-04'!F5</f>
        <v>850000</v>
      </c>
      <c r="D12" s="67">
        <f>'Tax Dep. Sch-20'!L27</f>
        <v>10213288.35</v>
      </c>
      <c r="E12" s="67">
        <v>0</v>
      </c>
      <c r="F12" s="67">
        <f>C12-D12</f>
        <v>-9363288.3499999996</v>
      </c>
      <c r="G12" s="67">
        <v>0</v>
      </c>
      <c r="H12" s="80">
        <f>F12*$H$8</f>
        <v>-2715353.6214999999</v>
      </c>
      <c r="I12" s="80"/>
      <c r="J12" s="80"/>
      <c r="S12" s="80">
        <v>824808671.08616495</v>
      </c>
      <c r="T12" s="100">
        <v>267072633</v>
      </c>
      <c r="U12" s="80">
        <v>99600000</v>
      </c>
      <c r="V12" s="80">
        <v>458136038.08616501</v>
      </c>
      <c r="W12" s="80">
        <v>160347613</v>
      </c>
      <c r="AB12" s="63">
        <v>99600000</v>
      </c>
    </row>
    <row r="13" spans="1:28" hidden="1">
      <c r="A13" s="63" t="s">
        <v>1598</v>
      </c>
      <c r="C13" s="67">
        <v>0</v>
      </c>
      <c r="D13" s="67">
        <v>0</v>
      </c>
      <c r="E13" s="67">
        <v>0</v>
      </c>
      <c r="F13" s="67">
        <f>C13-D13</f>
        <v>0</v>
      </c>
      <c r="G13" s="67"/>
      <c r="H13" s="80">
        <f>F13*$H$8</f>
        <v>0</v>
      </c>
      <c r="I13" s="80"/>
      <c r="J13" s="80"/>
      <c r="S13" s="80"/>
      <c r="T13" s="100"/>
      <c r="U13" s="80"/>
      <c r="V13" s="80"/>
      <c r="W13" s="80"/>
    </row>
    <row r="14" spans="1:28" hidden="1">
      <c r="A14" s="63" t="s">
        <v>1599</v>
      </c>
      <c r="C14" s="67">
        <v>0</v>
      </c>
      <c r="D14" s="67">
        <v>0</v>
      </c>
      <c r="E14" s="67">
        <v>0</v>
      </c>
      <c r="F14" s="67">
        <f>C14-D14</f>
        <v>0</v>
      </c>
      <c r="G14" s="67">
        <v>0</v>
      </c>
      <c r="H14" s="80">
        <f>F14*$H$8</f>
        <v>0</v>
      </c>
      <c r="I14" s="80"/>
      <c r="J14" s="80"/>
      <c r="S14" s="80">
        <v>4325418</v>
      </c>
      <c r="T14" s="100">
        <v>0</v>
      </c>
      <c r="U14" s="80"/>
      <c r="V14" s="80">
        <v>-4325418</v>
      </c>
      <c r="W14" s="80">
        <v>-1513896</v>
      </c>
    </row>
    <row r="15" spans="1:28" hidden="1">
      <c r="A15" s="63" t="s">
        <v>1600</v>
      </c>
      <c r="C15" s="67">
        <v>0</v>
      </c>
      <c r="D15" s="67">
        <f>C15</f>
        <v>0</v>
      </c>
      <c r="E15" s="67">
        <v>0</v>
      </c>
      <c r="F15" s="67">
        <v>0</v>
      </c>
      <c r="G15" s="67">
        <v>0</v>
      </c>
      <c r="H15" s="80">
        <v>0</v>
      </c>
      <c r="I15" s="80"/>
      <c r="J15" s="80"/>
      <c r="S15" s="80"/>
      <c r="T15" s="100"/>
      <c r="U15" s="80"/>
      <c r="V15" s="80"/>
      <c r="W15" s="80"/>
    </row>
    <row r="16" spans="1:28" hidden="1">
      <c r="A16" s="63" t="s">
        <v>1103</v>
      </c>
      <c r="C16" s="67">
        <v>0</v>
      </c>
      <c r="D16" s="67">
        <v>0</v>
      </c>
      <c r="E16" s="67">
        <v>0</v>
      </c>
      <c r="F16" s="67">
        <f>C16-D16</f>
        <v>0</v>
      </c>
      <c r="G16" s="67">
        <f>C16-D16-E16</f>
        <v>0</v>
      </c>
      <c r="H16" s="80">
        <f>F16*$H$8</f>
        <v>0</v>
      </c>
      <c r="I16" s="80"/>
      <c r="J16" s="80"/>
      <c r="S16" s="80">
        <v>150352612.24000001</v>
      </c>
      <c r="T16" s="80">
        <v>156635221.99000001</v>
      </c>
      <c r="U16" s="80"/>
      <c r="V16" s="80">
        <v>-6282609.75</v>
      </c>
      <c r="W16" s="80">
        <v>-2198913</v>
      </c>
    </row>
    <row r="17" spans="1:23" hidden="1">
      <c r="A17" s="63" t="s">
        <v>1601</v>
      </c>
      <c r="C17" s="67">
        <v>0</v>
      </c>
      <c r="D17" s="67">
        <v>0</v>
      </c>
      <c r="E17" s="67">
        <v>0</v>
      </c>
      <c r="F17" s="67">
        <f>C17-D17</f>
        <v>0</v>
      </c>
      <c r="G17" s="67">
        <f>C17-D17-E17</f>
        <v>0</v>
      </c>
      <c r="H17" s="80">
        <f>F17*$H$8</f>
        <v>0</v>
      </c>
      <c r="I17" s="80"/>
      <c r="J17" s="80"/>
      <c r="S17" s="80">
        <v>3050336.52</v>
      </c>
      <c r="T17" s="80">
        <v>8317277.5199999996</v>
      </c>
      <c r="U17" s="80"/>
      <c r="V17" s="80">
        <v>-5266941</v>
      </c>
      <c r="W17" s="80">
        <v>-1843429</v>
      </c>
    </row>
    <row r="18" spans="1:23" hidden="1">
      <c r="A18" s="63" t="s">
        <v>1602</v>
      </c>
      <c r="C18" s="67">
        <v>0</v>
      </c>
      <c r="D18" s="67">
        <v>0</v>
      </c>
      <c r="E18" s="67">
        <v>0</v>
      </c>
      <c r="F18" s="67"/>
      <c r="G18" s="67"/>
      <c r="H18" s="90">
        <f>G18*$H$8</f>
        <v>0</v>
      </c>
      <c r="I18" s="80"/>
      <c r="J18" s="80"/>
      <c r="S18" s="80">
        <v>43705439.109999999</v>
      </c>
      <c r="T18" s="80">
        <v>43705439.109999999</v>
      </c>
      <c r="U18" s="80"/>
      <c r="V18" s="80">
        <v>0</v>
      </c>
      <c r="W18" s="80">
        <v>0</v>
      </c>
    </row>
    <row r="19" spans="1:23">
      <c r="C19" s="67"/>
      <c r="D19" s="67"/>
      <c r="E19" s="67"/>
      <c r="F19" s="67"/>
      <c r="G19" s="67"/>
      <c r="H19" s="90"/>
      <c r="I19" s="80"/>
      <c r="J19" s="80"/>
      <c r="S19" s="80"/>
      <c r="T19" s="80"/>
      <c r="U19" s="80"/>
      <c r="V19" s="80"/>
      <c r="W19" s="80"/>
    </row>
    <row r="20" spans="1:23">
      <c r="A20" s="66" t="s">
        <v>1553</v>
      </c>
      <c r="B20" s="66"/>
      <c r="C20" s="67"/>
      <c r="D20" s="67"/>
      <c r="E20" s="67"/>
      <c r="F20" s="67"/>
      <c r="G20" s="67"/>
      <c r="H20" s="90"/>
      <c r="I20" s="80"/>
      <c r="J20" s="80"/>
      <c r="S20" s="80"/>
      <c r="T20" s="80"/>
      <c r="U20" s="80"/>
      <c r="V20" s="80"/>
      <c r="W20" s="80">
        <v>0</v>
      </c>
    </row>
    <row r="21" spans="1:23" hidden="1">
      <c r="A21" s="63" t="s">
        <v>1603</v>
      </c>
      <c r="B21" s="66"/>
      <c r="D21" s="68"/>
      <c r="G21" s="91">
        <v>0</v>
      </c>
      <c r="I21" s="66"/>
      <c r="J21" s="66"/>
      <c r="K21" s="80">
        <f>D21</f>
        <v>0</v>
      </c>
      <c r="S21" s="80"/>
      <c r="T21" s="80"/>
      <c r="U21" s="80"/>
      <c r="V21" s="80"/>
      <c r="W21" s="80">
        <v>0</v>
      </c>
    </row>
    <row r="22" spans="1:23" hidden="1">
      <c r="A22" s="63" t="s">
        <v>1604</v>
      </c>
      <c r="C22" s="67">
        <v>0</v>
      </c>
      <c r="D22" s="67">
        <v>0</v>
      </c>
      <c r="E22" s="67">
        <v>0</v>
      </c>
      <c r="F22" s="67">
        <v>0</v>
      </c>
      <c r="G22" s="91">
        <f>C22-D22-E22</f>
        <v>0</v>
      </c>
      <c r="H22" s="92">
        <f>-G22*$H$8</f>
        <v>0</v>
      </c>
      <c r="I22" s="80"/>
      <c r="J22" s="80"/>
      <c r="S22" s="80">
        <v>5006101</v>
      </c>
      <c r="T22" s="80"/>
      <c r="U22" s="80"/>
      <c r="V22" s="80">
        <v>-5006101</v>
      </c>
      <c r="W22" s="80">
        <v>-1752135</v>
      </c>
    </row>
    <row r="23" spans="1:23">
      <c r="A23" s="63" t="s">
        <v>1605</v>
      </c>
      <c r="C23" s="67">
        <v>0</v>
      </c>
      <c r="D23" s="69" t="e">
        <f>#REF!</f>
        <v>#REF!</v>
      </c>
      <c r="E23" s="67">
        <v>0</v>
      </c>
      <c r="F23" s="67">
        <v>0</v>
      </c>
      <c r="G23" s="67" t="e">
        <f>C23-D23-E23</f>
        <v>#REF!</v>
      </c>
      <c r="H23" s="92" t="e">
        <f>-G23*$H$8</f>
        <v>#REF!</v>
      </c>
      <c r="I23" s="80"/>
      <c r="J23" s="80"/>
      <c r="S23" s="80"/>
      <c r="T23" s="80"/>
      <c r="U23" s="80"/>
      <c r="V23" s="80"/>
      <c r="W23" s="80"/>
    </row>
    <row r="24" spans="1:23" hidden="1">
      <c r="A24" s="70" t="s">
        <v>1606</v>
      </c>
      <c r="B24" s="70"/>
      <c r="C24" s="71">
        <v>0</v>
      </c>
      <c r="D24" s="72">
        <v>0</v>
      </c>
      <c r="E24" s="93"/>
      <c r="F24" s="93"/>
      <c r="G24" s="71">
        <f>D24</f>
        <v>0</v>
      </c>
      <c r="H24" s="90">
        <f>G24*$H$8</f>
        <v>0</v>
      </c>
      <c r="I24" s="80"/>
      <c r="J24" s="100"/>
      <c r="K24" s="66"/>
      <c r="L24" s="66"/>
      <c r="M24" s="66"/>
      <c r="N24" s="66"/>
      <c r="O24" s="66"/>
      <c r="P24" s="66"/>
      <c r="Q24" s="66"/>
      <c r="R24" s="66"/>
      <c r="S24" s="100"/>
      <c r="T24" s="100">
        <v>16265051</v>
      </c>
      <c r="U24" s="100"/>
      <c r="V24" s="100">
        <v>-16265051</v>
      </c>
      <c r="W24" s="100">
        <v>-16265051</v>
      </c>
    </row>
    <row r="25" spans="1:23">
      <c r="A25" s="73" t="s">
        <v>1607</v>
      </c>
      <c r="B25" s="73"/>
      <c r="C25" s="74">
        <v>0</v>
      </c>
      <c r="D25" s="74">
        <f>D33+D34</f>
        <v>-13569741</v>
      </c>
      <c r="E25" s="94"/>
      <c r="F25" s="94"/>
      <c r="G25" s="67">
        <f>C25-D25-E25</f>
        <v>13569741</v>
      </c>
      <c r="H25" s="92">
        <f>K21-G25*$H$8</f>
        <v>-3935224.89</v>
      </c>
      <c r="I25" s="80"/>
      <c r="J25" s="100"/>
      <c r="K25" s="99" t="e">
        <f>H25+H23+K21</f>
        <v>#REF!</v>
      </c>
      <c r="L25" s="66"/>
      <c r="M25" s="66"/>
      <c r="N25" s="66"/>
      <c r="O25" s="66"/>
      <c r="P25" s="66"/>
      <c r="Q25" s="66"/>
      <c r="R25" s="66"/>
      <c r="S25" s="100"/>
      <c r="T25" s="100"/>
      <c r="U25" s="100"/>
      <c r="V25" s="100"/>
      <c r="W25" s="100"/>
    </row>
    <row r="26" spans="1:23">
      <c r="A26" s="73"/>
      <c r="B26" s="73"/>
      <c r="C26" s="74"/>
      <c r="D26" s="75"/>
      <c r="E26" s="94"/>
      <c r="F26" s="94"/>
      <c r="G26" s="74"/>
      <c r="H26" s="95" t="e">
        <f>SUM(H10:H25)</f>
        <v>#REF!</v>
      </c>
      <c r="I26" s="80"/>
      <c r="J26" s="100"/>
      <c r="K26" s="66"/>
      <c r="L26" s="66"/>
      <c r="M26" s="66"/>
      <c r="N26" s="66"/>
      <c r="O26" s="66"/>
      <c r="P26" s="66"/>
      <c r="Q26" s="66"/>
      <c r="R26" s="66"/>
      <c r="S26" s="100"/>
      <c r="T26" s="100"/>
      <c r="U26" s="100"/>
      <c r="V26" s="100"/>
      <c r="W26" s="100"/>
    </row>
    <row r="27" spans="1:23">
      <c r="A27" s="73"/>
      <c r="B27" s="73"/>
      <c r="C27" s="74"/>
      <c r="D27" s="75"/>
      <c r="E27" s="94"/>
      <c r="F27" s="94"/>
      <c r="G27" s="74"/>
      <c r="H27" s="96"/>
      <c r="I27" s="80"/>
      <c r="J27" s="100"/>
      <c r="K27" s="66"/>
      <c r="L27" s="66"/>
      <c r="M27" s="66"/>
      <c r="N27" s="66"/>
      <c r="O27" s="66"/>
      <c r="P27" s="66"/>
      <c r="Q27" s="66"/>
      <c r="R27" s="66"/>
      <c r="S27" s="100"/>
      <c r="T27" s="100"/>
      <c r="U27" s="100"/>
      <c r="V27" s="100"/>
      <c r="W27" s="100"/>
    </row>
    <row r="28" spans="1:23">
      <c r="A28" s="73"/>
      <c r="B28" s="67"/>
      <c r="C28" s="76" t="s">
        <v>1608</v>
      </c>
      <c r="D28" s="77" t="s">
        <v>1609</v>
      </c>
      <c r="E28" s="97"/>
      <c r="F28" s="67"/>
      <c r="G28" s="67"/>
      <c r="H28" s="67"/>
      <c r="I28" s="80"/>
      <c r="J28" s="100"/>
      <c r="K28" s="66"/>
      <c r="L28" s="66"/>
      <c r="M28" s="66"/>
      <c r="N28" s="66"/>
      <c r="O28" s="66"/>
      <c r="P28" s="66"/>
      <c r="Q28" s="66"/>
      <c r="R28" s="66"/>
      <c r="S28" s="100"/>
      <c r="T28" s="100"/>
      <c r="U28" s="100"/>
      <c r="V28" s="100"/>
      <c r="W28" s="100"/>
    </row>
    <row r="29" spans="1:23" hidden="1">
      <c r="A29" s="73"/>
      <c r="B29" s="67"/>
      <c r="C29" s="76">
        <v>2013</v>
      </c>
      <c r="D29" s="67"/>
      <c r="E29" s="67"/>
      <c r="F29" s="67"/>
      <c r="G29" s="67"/>
      <c r="H29" s="67"/>
      <c r="I29" s="80"/>
      <c r="J29" s="100"/>
      <c r="K29" s="66"/>
      <c r="L29" s="66"/>
      <c r="M29" s="66"/>
      <c r="N29" s="66"/>
      <c r="O29" s="66"/>
      <c r="P29" s="66"/>
      <c r="Q29" s="66"/>
      <c r="R29" s="66"/>
      <c r="S29" s="100"/>
      <c r="T29" s="100"/>
      <c r="U29" s="100"/>
      <c r="V29" s="100"/>
      <c r="W29" s="100"/>
    </row>
    <row r="30" spans="1:23" hidden="1">
      <c r="A30" s="73"/>
      <c r="B30" s="67"/>
      <c r="C30" s="76">
        <v>2014</v>
      </c>
      <c r="D30" s="67"/>
      <c r="E30" s="67"/>
      <c r="F30" s="67"/>
      <c r="G30" s="67"/>
      <c r="H30" s="67"/>
      <c r="I30" s="80"/>
      <c r="J30" s="100"/>
      <c r="K30" s="66"/>
      <c r="L30" s="66"/>
      <c r="M30" s="66"/>
      <c r="N30" s="66"/>
      <c r="O30" s="66"/>
      <c r="P30" s="66"/>
      <c r="Q30" s="66"/>
      <c r="R30" s="66"/>
      <c r="S30" s="100"/>
      <c r="T30" s="100"/>
      <c r="U30" s="100"/>
      <c r="V30" s="100"/>
      <c r="W30" s="100"/>
    </row>
    <row r="31" spans="1:23" hidden="1">
      <c r="A31" s="73"/>
      <c r="B31" s="67"/>
      <c r="C31" s="76">
        <v>2015</v>
      </c>
      <c r="D31" s="67"/>
      <c r="E31" s="67"/>
      <c r="F31" s="67"/>
      <c r="G31" s="67"/>
      <c r="H31" s="67"/>
      <c r="I31" s="80"/>
      <c r="J31" s="100"/>
      <c r="K31" s="66"/>
      <c r="L31" s="66"/>
      <c r="M31" s="66"/>
      <c r="N31" s="66"/>
      <c r="O31" s="66"/>
      <c r="P31" s="66"/>
      <c r="Q31" s="66"/>
      <c r="R31" s="66"/>
      <c r="S31" s="100"/>
      <c r="T31" s="100"/>
      <c r="U31" s="100"/>
      <c r="V31" s="100"/>
      <c r="W31" s="100"/>
    </row>
    <row r="32" spans="1:23" hidden="1">
      <c r="A32" s="73"/>
      <c r="B32" s="67"/>
      <c r="C32" s="76">
        <v>2016</v>
      </c>
      <c r="D32" s="67">
        <v>0</v>
      </c>
      <c r="E32" s="67"/>
      <c r="F32" s="67"/>
      <c r="G32" s="67"/>
      <c r="H32" s="67"/>
      <c r="I32" s="80"/>
      <c r="J32" s="100"/>
      <c r="K32" s="66"/>
      <c r="L32" s="66"/>
      <c r="M32" s="66"/>
      <c r="N32" s="66"/>
      <c r="O32" s="66"/>
      <c r="P32" s="66"/>
      <c r="Q32" s="66"/>
      <c r="R32" s="66"/>
      <c r="S32" s="100"/>
      <c r="T32" s="100"/>
      <c r="U32" s="100"/>
      <c r="V32" s="100"/>
      <c r="W32" s="100"/>
    </row>
    <row r="33" spans="1:28" hidden="1">
      <c r="A33" s="73"/>
      <c r="B33" s="67"/>
      <c r="C33" s="76">
        <v>2018</v>
      </c>
      <c r="D33" s="78">
        <v>0</v>
      </c>
      <c r="E33" s="67"/>
      <c r="F33" s="67"/>
      <c r="G33" s="67"/>
      <c r="H33" s="67"/>
      <c r="I33" s="80"/>
      <c r="J33" s="100"/>
      <c r="K33" s="66"/>
      <c r="L33" s="66"/>
      <c r="M33" s="66"/>
      <c r="N33" s="66"/>
      <c r="O33" s="66"/>
      <c r="P33" s="66"/>
      <c r="Q33" s="66"/>
      <c r="R33" s="66"/>
      <c r="S33" s="100"/>
      <c r="T33" s="100"/>
      <c r="U33" s="100"/>
      <c r="V33" s="100"/>
      <c r="W33" s="100"/>
    </row>
    <row r="34" spans="1:28">
      <c r="A34" s="73"/>
      <c r="B34" s="67"/>
      <c r="C34" s="76">
        <v>2019</v>
      </c>
      <c r="D34" s="78">
        <v>-13569741</v>
      </c>
      <c r="E34" s="67"/>
      <c r="F34" s="67"/>
      <c r="G34" s="67"/>
      <c r="H34" s="67"/>
      <c r="I34" s="80"/>
      <c r="J34" s="100"/>
      <c r="K34" s="66"/>
      <c r="L34" s="66"/>
      <c r="M34" s="66"/>
      <c r="N34" s="66"/>
      <c r="O34" s="66"/>
      <c r="P34" s="66"/>
      <c r="Q34" s="66"/>
      <c r="R34" s="66"/>
      <c r="S34" s="100"/>
      <c r="T34" s="100"/>
      <c r="U34" s="100"/>
      <c r="V34" s="100"/>
      <c r="W34" s="100"/>
    </row>
    <row r="35" spans="1:28">
      <c r="A35" s="73"/>
      <c r="B35" s="67"/>
      <c r="C35" s="76">
        <v>2020</v>
      </c>
      <c r="D35" s="79" t="e">
        <f>#REF!</f>
        <v>#REF!</v>
      </c>
      <c r="E35" s="67"/>
      <c r="F35" s="67"/>
      <c r="G35" s="67"/>
      <c r="H35" s="67"/>
      <c r="I35" s="80"/>
      <c r="J35" s="100"/>
      <c r="K35" s="66"/>
      <c r="L35" s="66"/>
      <c r="M35" s="66"/>
      <c r="N35" s="66"/>
      <c r="O35" s="66"/>
      <c r="P35" s="66"/>
      <c r="Q35" s="66"/>
      <c r="R35" s="66"/>
      <c r="S35" s="100"/>
      <c r="T35" s="100"/>
      <c r="U35" s="100"/>
      <c r="V35" s="100"/>
      <c r="W35" s="100"/>
    </row>
    <row r="36" spans="1:28">
      <c r="A36" s="73"/>
      <c r="B36" s="67"/>
      <c r="C36" s="76" t="s">
        <v>701</v>
      </c>
      <c r="D36" s="80" t="e">
        <f>SUM(D32:D35)</f>
        <v>#REF!</v>
      </c>
      <c r="E36" s="67"/>
      <c r="F36" s="67"/>
      <c r="G36" s="67"/>
      <c r="H36" s="67"/>
      <c r="I36" s="80"/>
      <c r="J36" s="100"/>
      <c r="K36" s="66"/>
      <c r="L36" s="66"/>
      <c r="M36" s="66"/>
      <c r="N36" s="66"/>
      <c r="O36" s="66"/>
      <c r="P36" s="66"/>
      <c r="Q36" s="66"/>
      <c r="R36" s="66"/>
      <c r="S36" s="100"/>
      <c r="T36" s="100"/>
      <c r="U36" s="100"/>
      <c r="V36" s="100"/>
      <c r="W36" s="100"/>
    </row>
    <row r="37" spans="1:28">
      <c r="A37" s="73"/>
      <c r="B37" s="73"/>
      <c r="C37" s="74"/>
      <c r="D37" s="75"/>
      <c r="E37" s="94"/>
      <c r="F37" s="94"/>
      <c r="G37" s="74"/>
      <c r="H37" s="96"/>
      <c r="I37" s="80"/>
      <c r="J37" s="100"/>
      <c r="K37" s="66"/>
      <c r="L37" s="66"/>
      <c r="M37" s="66"/>
      <c r="N37" s="66"/>
      <c r="O37" s="66"/>
      <c r="P37" s="66"/>
      <c r="Q37" s="66"/>
      <c r="R37" s="66"/>
      <c r="S37" s="100"/>
      <c r="T37" s="100"/>
      <c r="U37" s="100"/>
      <c r="V37" s="100"/>
      <c r="W37" s="100"/>
    </row>
    <row r="38" spans="1:28">
      <c r="A38" s="73"/>
      <c r="B38" s="73"/>
      <c r="C38" s="74"/>
      <c r="D38" s="75"/>
      <c r="E38" s="94"/>
      <c r="F38" s="94"/>
      <c r="G38" s="74"/>
      <c r="H38" s="96"/>
      <c r="I38" s="80"/>
      <c r="J38" s="100"/>
      <c r="K38" s="66"/>
      <c r="L38" s="66"/>
      <c r="M38" s="66"/>
      <c r="N38" s="66"/>
      <c r="O38" s="66"/>
      <c r="P38" s="66"/>
      <c r="Q38" s="66"/>
      <c r="R38" s="66"/>
      <c r="S38" s="100"/>
      <c r="T38" s="100"/>
      <c r="U38" s="100"/>
      <c r="V38" s="100"/>
      <c r="W38" s="100"/>
    </row>
    <row r="39" spans="1:28">
      <c r="A39" s="73"/>
      <c r="B39" s="73"/>
      <c r="C39" s="74"/>
      <c r="D39" s="75"/>
      <c r="E39" s="94"/>
      <c r="F39" s="94"/>
      <c r="G39" s="74"/>
      <c r="H39" s="96"/>
      <c r="I39" s="80"/>
      <c r="J39" s="100"/>
      <c r="K39" s="66"/>
      <c r="L39" s="66"/>
      <c r="M39" s="66"/>
      <c r="N39" s="66"/>
      <c r="O39" s="66"/>
      <c r="P39" s="66"/>
      <c r="Q39" s="66"/>
      <c r="R39" s="66"/>
      <c r="S39" s="100"/>
      <c r="T39" s="100"/>
      <c r="U39" s="100"/>
      <c r="V39" s="100"/>
      <c r="W39" s="100"/>
    </row>
    <row r="40" spans="1:28">
      <c r="A40" s="73"/>
      <c r="B40" s="73"/>
      <c r="C40" s="74"/>
      <c r="D40" s="75"/>
      <c r="E40" s="94"/>
      <c r="F40" s="94"/>
      <c r="G40" s="74"/>
      <c r="H40" s="96"/>
      <c r="I40" s="80"/>
      <c r="J40" s="100"/>
      <c r="K40" s="66"/>
      <c r="L40" s="66"/>
      <c r="M40" s="66"/>
      <c r="N40" s="66"/>
      <c r="O40" s="66"/>
      <c r="P40" s="66"/>
      <c r="Q40" s="66"/>
      <c r="R40" s="66"/>
      <c r="S40" s="100"/>
      <c r="T40" s="100"/>
      <c r="U40" s="100"/>
      <c r="V40" s="100"/>
      <c r="W40" s="100"/>
    </row>
    <row r="41" spans="1:28">
      <c r="A41" s="73"/>
      <c r="B41" s="73"/>
      <c r="C41" s="74"/>
      <c r="D41" s="75"/>
      <c r="E41" s="94"/>
      <c r="F41" s="94"/>
      <c r="G41" s="74"/>
      <c r="H41" s="96"/>
      <c r="I41" s="80"/>
      <c r="J41" s="100"/>
      <c r="K41" s="66"/>
      <c r="L41" s="66"/>
      <c r="M41" s="66"/>
      <c r="N41" s="66"/>
      <c r="O41" s="66"/>
      <c r="P41" s="66"/>
      <c r="Q41" s="66"/>
      <c r="R41" s="66"/>
      <c r="S41" s="100"/>
      <c r="T41" s="100"/>
      <c r="U41" s="100"/>
      <c r="V41" s="100"/>
      <c r="W41" s="100"/>
    </row>
    <row r="42" spans="1:28">
      <c r="A42" s="73"/>
      <c r="B42" s="73"/>
      <c r="C42" s="74"/>
      <c r="D42" s="75"/>
      <c r="E42" s="94"/>
      <c r="F42" s="94"/>
      <c r="G42" s="74"/>
      <c r="H42" s="98"/>
      <c r="I42" s="80"/>
      <c r="J42" s="100"/>
      <c r="K42" s="66"/>
      <c r="L42" s="66"/>
      <c r="M42" s="66"/>
      <c r="N42" s="66"/>
      <c r="O42" s="66"/>
      <c r="P42" s="66"/>
      <c r="Q42" s="66"/>
      <c r="R42" s="66"/>
      <c r="S42" s="100"/>
      <c r="T42" s="100"/>
      <c r="U42" s="100"/>
      <c r="V42" s="100"/>
      <c r="W42" s="100"/>
    </row>
    <row r="43" spans="1:28">
      <c r="A43" s="66" t="s">
        <v>1610</v>
      </c>
      <c r="B43" s="66"/>
      <c r="C43" s="81">
        <v>7103705</v>
      </c>
      <c r="D43" s="81">
        <v>10084</v>
      </c>
      <c r="E43" s="81">
        <v>1412660</v>
      </c>
      <c r="F43" s="81"/>
      <c r="G43" s="81">
        <f>3834601+1334712</f>
        <v>5169313</v>
      </c>
      <c r="H43" s="99">
        <f>SUM(C43:G43)</f>
        <v>13695762</v>
      </c>
      <c r="U43" s="100"/>
      <c r="V43" s="100"/>
      <c r="W43" s="80"/>
      <c r="X43" s="80"/>
      <c r="Y43" s="80"/>
    </row>
    <row r="44" spans="1:28">
      <c r="A44" s="63" t="s">
        <v>1611</v>
      </c>
      <c r="C44" s="67">
        <v>0</v>
      </c>
      <c r="D44" s="82">
        <f>(-60710771-8718579-28767141-10044417)*0</f>
        <v>0</v>
      </c>
      <c r="G44" s="67">
        <f>D44</f>
        <v>0</v>
      </c>
      <c r="H44" s="80">
        <f>G44*H8*I8</f>
        <v>0</v>
      </c>
      <c r="K44" s="80">
        <f>G44*0.33</f>
        <v>0</v>
      </c>
      <c r="L44" s="80"/>
      <c r="U44" s="100"/>
      <c r="V44" s="100">
        <v>262456050</v>
      </c>
      <c r="W44" s="80"/>
      <c r="X44" s="80">
        <v>-262456050</v>
      </c>
      <c r="Y44" s="80">
        <v>-91859618</v>
      </c>
    </row>
    <row r="45" spans="1:28">
      <c r="C45" s="67"/>
      <c r="D45" s="83"/>
      <c r="U45" s="100"/>
      <c r="V45" s="100"/>
      <c r="W45" s="80"/>
      <c r="X45" s="80"/>
      <c r="Y45" s="80"/>
    </row>
    <row r="46" spans="1:28">
      <c r="A46" s="63" t="s">
        <v>1612</v>
      </c>
      <c r="C46" s="84">
        <v>0</v>
      </c>
      <c r="D46" s="85">
        <v>0</v>
      </c>
      <c r="G46" s="84">
        <f>D46</f>
        <v>0</v>
      </c>
      <c r="H46" s="100">
        <f>G46*$H$8*$I$8</f>
        <v>0</v>
      </c>
      <c r="K46" s="80"/>
      <c r="L46" s="100"/>
      <c r="V46" s="100">
        <v>89775680.3805843</v>
      </c>
      <c r="X46" s="100">
        <v>-89775680.3805843</v>
      </c>
      <c r="Y46" s="100">
        <v>-31421488</v>
      </c>
      <c r="AB46" s="103"/>
    </row>
    <row r="47" spans="1:28">
      <c r="A47" s="63" t="s">
        <v>1613</v>
      </c>
      <c r="D47" s="84" t="e">
        <f>'[99]Tax Provision-17'!C31</f>
        <v>#REF!</v>
      </c>
      <c r="G47" s="84" t="e">
        <f>D47</f>
        <v>#REF!</v>
      </c>
      <c r="H47" s="100" t="e">
        <f>G47*$H$8</f>
        <v>#REF!</v>
      </c>
      <c r="U47" s="100"/>
      <c r="V47" s="100"/>
      <c r="W47" s="100"/>
      <c r="X47" s="100"/>
      <c r="Y47" s="100"/>
    </row>
    <row r="48" spans="1:28">
      <c r="A48" s="63" t="s">
        <v>1613</v>
      </c>
      <c r="U48" s="100"/>
      <c r="V48" s="100"/>
      <c r="W48" s="100"/>
      <c r="X48" s="100"/>
      <c r="Y48" s="100"/>
    </row>
    <row r="49" spans="1:25">
      <c r="A49" s="63" t="s">
        <v>1613</v>
      </c>
      <c r="U49" s="66"/>
      <c r="V49" s="66"/>
      <c r="W49" s="66"/>
      <c r="X49" s="66"/>
      <c r="Y49" s="100"/>
    </row>
    <row r="50" spans="1:25">
      <c r="A50" s="66" t="s">
        <v>1614</v>
      </c>
      <c r="B50" s="66"/>
      <c r="H50" s="101" t="e">
        <f>SUM(H12:H47)</f>
        <v>#REF!</v>
      </c>
      <c r="K50" s="68"/>
      <c r="L50" s="99"/>
      <c r="M50" s="78"/>
      <c r="N50" s="66"/>
      <c r="O50" s="66"/>
      <c r="P50" s="66"/>
      <c r="Q50" s="66"/>
      <c r="R50" s="66"/>
      <c r="S50" s="66"/>
      <c r="V50" s="66"/>
      <c r="W50" s="66"/>
      <c r="X50" s="66"/>
      <c r="Y50" s="101">
        <v>29018543</v>
      </c>
    </row>
    <row r="51" spans="1:25">
      <c r="A51" s="66" t="s">
        <v>1615</v>
      </c>
      <c r="B51" s="66"/>
      <c r="M51" s="117" t="e">
        <f>+#REF!</f>
        <v>#REF!</v>
      </c>
      <c r="N51" s="66"/>
      <c r="O51" s="66"/>
      <c r="P51" s="66"/>
      <c r="Q51" s="66"/>
      <c r="R51" s="66"/>
      <c r="S51" s="66"/>
      <c r="V51" s="80"/>
      <c r="W51" s="80">
        <f>(35-34)%*V51</f>
        <v>0</v>
      </c>
      <c r="X51" s="66"/>
      <c r="Y51" s="99"/>
    </row>
    <row r="52" spans="1:25">
      <c r="A52" s="66" t="s">
        <v>1616</v>
      </c>
      <c r="B52" s="66"/>
      <c r="M52" s="79">
        <v>0</v>
      </c>
      <c r="N52" s="80"/>
      <c r="O52" s="80"/>
      <c r="P52" s="80"/>
      <c r="Q52" s="80"/>
      <c r="R52" s="80"/>
      <c r="S52" s="80"/>
      <c r="V52" s="66"/>
      <c r="W52" s="66"/>
      <c r="X52" s="66"/>
      <c r="Y52" s="99"/>
    </row>
    <row r="53" spans="1:25">
      <c r="A53" s="63" t="s">
        <v>1617</v>
      </c>
      <c r="M53" s="99" t="e">
        <f>SUM(M50:M52)</f>
        <v>#REF!</v>
      </c>
      <c r="N53" s="104" t="e">
        <f>H50-M53</f>
        <v>#REF!</v>
      </c>
      <c r="O53" s="99"/>
      <c r="P53" s="99"/>
      <c r="Q53" s="99"/>
      <c r="R53" s="99"/>
      <c r="S53" s="99"/>
    </row>
    <row r="54" spans="1:25">
      <c r="N54" s="68"/>
      <c r="O54" s="68"/>
      <c r="P54" s="68"/>
      <c r="Q54" s="68"/>
      <c r="R54" s="68"/>
      <c r="S54" s="68"/>
      <c r="V54" s="68"/>
    </row>
    <row r="55" spans="1:25">
      <c r="C55" s="63">
        <v>2017</v>
      </c>
      <c r="D55" s="63">
        <v>2016</v>
      </c>
      <c r="E55" s="63">
        <v>2015</v>
      </c>
      <c r="G55" s="102" t="s">
        <v>701</v>
      </c>
      <c r="N55" s="67"/>
      <c r="O55" s="67"/>
      <c r="P55" s="67"/>
      <c r="Q55" s="67"/>
      <c r="R55" s="67"/>
      <c r="S55" s="67"/>
    </row>
    <row r="56" spans="1:25">
      <c r="A56" s="63" t="s">
        <v>1618</v>
      </c>
      <c r="C56" s="67" t="e">
        <f>+#REF!</f>
        <v>#REF!</v>
      </c>
      <c r="D56" s="67" t="e">
        <f>+#REF!</f>
        <v>#REF!</v>
      </c>
      <c r="E56" s="67">
        <v>9540702</v>
      </c>
      <c r="F56" s="67"/>
      <c r="G56" s="99" t="e">
        <f>+(C56+D56+E56)</f>
        <v>#REF!</v>
      </c>
      <c r="H56" s="103" t="e">
        <f>+G56/$G$59*100</f>
        <v>#REF!</v>
      </c>
      <c r="K56" s="63" t="s">
        <v>1619</v>
      </c>
      <c r="M56" s="67" t="e">
        <f>H50</f>
        <v>#REF!</v>
      </c>
      <c r="U56" s="68" t="e">
        <f>H50-M53</f>
        <v>#REF!</v>
      </c>
    </row>
    <row r="57" spans="1:25">
      <c r="A57" s="63" t="s">
        <v>1620</v>
      </c>
      <c r="C57" s="67" t="e">
        <f>+#REF!</f>
        <v>#REF!</v>
      </c>
      <c r="D57" s="67" t="e">
        <f>+#REF!</f>
        <v>#REF!</v>
      </c>
      <c r="E57" s="67">
        <v>1641882640.25</v>
      </c>
      <c r="F57" s="67"/>
      <c r="G57" s="99" t="e">
        <f>+(C57+D57+E57)</f>
        <v>#REF!</v>
      </c>
      <c r="H57" s="103" t="e">
        <f>+G57/$G$59*100</f>
        <v>#REF!</v>
      </c>
      <c r="K57" s="63" t="s">
        <v>1615</v>
      </c>
      <c r="M57" s="67" t="e">
        <f>-M51</f>
        <v>#REF!</v>
      </c>
      <c r="U57" s="68"/>
    </row>
    <row r="58" spans="1:25">
      <c r="A58" s="63" t="s">
        <v>1621</v>
      </c>
      <c r="C58" s="67" t="e">
        <f>+#REF!</f>
        <v>#REF!</v>
      </c>
      <c r="D58" s="67" t="e">
        <f>+#REF!</f>
        <v>#REF!</v>
      </c>
      <c r="E58" s="67">
        <v>31896137</v>
      </c>
      <c r="F58" s="67"/>
      <c r="G58" s="99" t="e">
        <f>+(C58+D58+E58)</f>
        <v>#REF!</v>
      </c>
      <c r="H58" s="103" t="e">
        <f>+G58/$G$59*100</f>
        <v>#REF!</v>
      </c>
      <c r="K58" s="63" t="s">
        <v>1622</v>
      </c>
      <c r="M58" s="118" t="e">
        <f>M51/33*3*0</f>
        <v>#REF!</v>
      </c>
    </row>
    <row r="59" spans="1:25">
      <c r="C59" s="86" t="e">
        <f>+C56+C57+C58</f>
        <v>#REF!</v>
      </c>
      <c r="D59" s="86" t="e">
        <f>+D56+D57+D58</f>
        <v>#REF!</v>
      </c>
      <c r="E59" s="86">
        <f>SUM(E56:E58)</f>
        <v>1683319479.25</v>
      </c>
      <c r="F59" s="86"/>
      <c r="G59" s="104" t="e">
        <f>+G56+G57+G58</f>
        <v>#REF!</v>
      </c>
      <c r="H59" s="103" t="e">
        <f>SUM(H57:H58)</f>
        <v>#REF!</v>
      </c>
      <c r="K59" s="63" t="s">
        <v>1623</v>
      </c>
      <c r="M59" s="67" t="e">
        <f>-#REF!</f>
        <v>#REF!</v>
      </c>
      <c r="N59" s="68"/>
      <c r="O59" s="68"/>
      <c r="P59" s="68"/>
      <c r="Q59" s="68"/>
      <c r="R59" s="68"/>
      <c r="S59" s="68"/>
      <c r="U59" s="68" t="e">
        <f>M60-M59-M58</f>
        <v>#REF!</v>
      </c>
      <c r="W59" s="78">
        <v>0</v>
      </c>
    </row>
    <row r="60" spans="1:25">
      <c r="K60" s="63" t="s">
        <v>1624</v>
      </c>
      <c r="M60" s="67" t="e">
        <f>SUM(M56:M59)</f>
        <v>#REF!</v>
      </c>
      <c r="N60" s="63" t="s">
        <v>701</v>
      </c>
      <c r="W60" s="117"/>
    </row>
    <row r="61" spans="1:25">
      <c r="M61" s="67" t="s">
        <v>1625</v>
      </c>
      <c r="N61" s="67" t="e">
        <f>-#REF!</f>
        <v>#REF!</v>
      </c>
      <c r="O61" s="67"/>
      <c r="P61" s="67"/>
      <c r="Q61" s="67"/>
      <c r="R61" s="67"/>
      <c r="S61" s="67"/>
      <c r="U61" s="68"/>
      <c r="W61" s="121">
        <v>-78518364</v>
      </c>
    </row>
    <row r="62" spans="1:25">
      <c r="K62" s="68"/>
      <c r="L62" s="68"/>
      <c r="M62" s="68" t="s">
        <v>1626</v>
      </c>
      <c r="N62" s="68" t="e">
        <f>M60-N61</f>
        <v>#REF!</v>
      </c>
      <c r="O62" s="68"/>
      <c r="P62" s="68"/>
      <c r="Q62" s="68"/>
      <c r="R62" s="68"/>
      <c r="S62" s="68"/>
      <c r="U62" s="68" t="e">
        <f>+N53-N62</f>
        <v>#REF!</v>
      </c>
      <c r="V62" s="68" t="e">
        <f>+U62+M51</f>
        <v>#REF!</v>
      </c>
      <c r="W62" s="68">
        <v>-78518364</v>
      </c>
      <c r="X62" s="1380" t="s">
        <v>1627</v>
      </c>
      <c r="Y62" s="78">
        <v>-27481427</v>
      </c>
    </row>
    <row r="63" spans="1:25">
      <c r="W63" s="68" t="e">
        <f>+N62-H50</f>
        <v>#REF!</v>
      </c>
      <c r="Y63" s="68"/>
    </row>
    <row r="64" spans="1:25" ht="43.5">
      <c r="G64" s="105" t="s">
        <v>1628</v>
      </c>
      <c r="H64" s="106">
        <v>2017</v>
      </c>
      <c r="K64" s="102"/>
      <c r="L64" s="102"/>
      <c r="M64" s="119" t="s">
        <v>1629</v>
      </c>
      <c r="N64" s="102"/>
      <c r="O64" s="102"/>
      <c r="P64" s="102"/>
      <c r="Q64" s="102"/>
      <c r="R64" s="102"/>
      <c r="S64" s="102"/>
      <c r="T64" s="102"/>
      <c r="U64" s="122">
        <v>2010</v>
      </c>
      <c r="V64" s="119" t="s">
        <v>1629</v>
      </c>
      <c r="Y64" s="68"/>
    </row>
    <row r="65" spans="1:25">
      <c r="A65" s="66" t="s">
        <v>1630</v>
      </c>
      <c r="B65" s="66"/>
      <c r="E65" s="68"/>
      <c r="F65" s="68"/>
      <c r="H65" s="124"/>
      <c r="Y65" s="68"/>
    </row>
    <row r="66" spans="1:25" hidden="1">
      <c r="C66" s="102">
        <v>2006</v>
      </c>
      <c r="D66" s="123"/>
      <c r="E66" s="123"/>
      <c r="F66" s="123"/>
      <c r="G66" s="123"/>
      <c r="H66" s="125">
        <f>3177898.635*0</f>
        <v>0</v>
      </c>
      <c r="K66" s="131"/>
      <c r="L66" s="132"/>
      <c r="M66" s="134">
        <f>635579727*0</f>
        <v>0</v>
      </c>
      <c r="N66" s="127"/>
      <c r="O66" s="127"/>
      <c r="P66" s="127"/>
      <c r="Q66" s="127"/>
      <c r="R66" s="127"/>
      <c r="S66" s="127"/>
      <c r="T66" s="126"/>
      <c r="U66" s="84">
        <v>3181170</v>
      </c>
      <c r="V66" s="84">
        <v>636234000</v>
      </c>
      <c r="W66" s="68">
        <v>654273</v>
      </c>
      <c r="X66" s="103">
        <v>228995.55</v>
      </c>
    </row>
    <row r="67" spans="1:25">
      <c r="C67" s="102">
        <v>2009</v>
      </c>
      <c r="D67" s="123"/>
      <c r="E67" s="126"/>
      <c r="F67" s="126"/>
      <c r="G67" s="127"/>
      <c r="H67" s="125"/>
      <c r="K67" s="131"/>
      <c r="L67" s="132"/>
      <c r="M67" s="134">
        <v>955367397</v>
      </c>
      <c r="N67" s="127">
        <f>M67*0.005</f>
        <v>4776836.9850000003</v>
      </c>
      <c r="O67" s="127"/>
      <c r="P67" s="127"/>
      <c r="Q67" s="127"/>
      <c r="R67" s="127"/>
      <c r="S67" s="127"/>
      <c r="T67" s="126"/>
      <c r="U67" s="84">
        <v>3127623</v>
      </c>
      <c r="V67" s="84">
        <v>625524600</v>
      </c>
      <c r="W67" s="68">
        <v>113670</v>
      </c>
      <c r="X67" s="103">
        <v>39784.5</v>
      </c>
      <c r="Y67" s="68"/>
    </row>
    <row r="68" spans="1:25">
      <c r="C68" s="102">
        <v>2010</v>
      </c>
      <c r="D68" s="123"/>
      <c r="E68" s="126">
        <f>H68-G68</f>
        <v>0</v>
      </c>
      <c r="F68" s="126"/>
      <c r="G68" s="127">
        <v>0</v>
      </c>
      <c r="H68" s="125"/>
      <c r="K68" s="131"/>
      <c r="L68" s="132"/>
      <c r="M68" s="135">
        <v>999307273</v>
      </c>
      <c r="N68" s="127">
        <f>M68*0.005</f>
        <v>4996536.3650000002</v>
      </c>
      <c r="O68" s="127"/>
      <c r="P68" s="127"/>
      <c r="Q68" s="127"/>
      <c r="R68" s="127"/>
      <c r="S68" s="127"/>
      <c r="T68" s="126"/>
      <c r="U68" s="84">
        <v>4776837</v>
      </c>
      <c r="V68" s="84">
        <v>955367400</v>
      </c>
      <c r="W68" s="84">
        <v>3</v>
      </c>
      <c r="X68" s="103">
        <v>1.05</v>
      </c>
      <c r="Y68" s="68"/>
    </row>
    <row r="69" spans="1:25">
      <c r="C69" s="102">
        <v>2011</v>
      </c>
      <c r="D69" s="123"/>
      <c r="E69" s="128"/>
      <c r="F69" s="128"/>
      <c r="G69" s="127"/>
      <c r="H69" s="125"/>
      <c r="K69" s="131"/>
      <c r="L69" s="132"/>
      <c r="M69" s="135">
        <v>1458437901</v>
      </c>
      <c r="N69" s="127">
        <f>M69*0.005</f>
        <v>7292189.5049999999</v>
      </c>
      <c r="O69" s="127"/>
      <c r="P69" s="127"/>
      <c r="Q69" s="127"/>
      <c r="R69" s="127"/>
      <c r="S69" s="127"/>
      <c r="T69" s="126"/>
      <c r="U69" s="84">
        <v>5179420.63</v>
      </c>
      <c r="V69" s="84">
        <v>1035884126</v>
      </c>
      <c r="W69" s="68">
        <v>36576853</v>
      </c>
      <c r="X69" s="103">
        <v>12801898.550000001</v>
      </c>
      <c r="Y69" s="68"/>
    </row>
    <row r="70" spans="1:25">
      <c r="C70" s="102">
        <v>2012</v>
      </c>
      <c r="D70" s="123"/>
      <c r="E70" s="128"/>
      <c r="F70" s="128"/>
      <c r="G70" s="127">
        <v>0</v>
      </c>
      <c r="H70" s="125">
        <f t="shared" ref="H70:H75" si="0">+E70</f>
        <v>0</v>
      </c>
      <c r="K70" s="131"/>
      <c r="L70" s="126"/>
      <c r="M70" s="135">
        <v>2306513029</v>
      </c>
      <c r="N70" s="127">
        <f>M70*0.01</f>
        <v>23065130.289999999</v>
      </c>
      <c r="O70" s="127"/>
      <c r="P70" s="127"/>
      <c r="Q70" s="127"/>
      <c r="R70" s="127"/>
      <c r="S70" s="127"/>
      <c r="T70" s="126"/>
      <c r="U70" s="84">
        <v>0</v>
      </c>
      <c r="V70" s="84"/>
      <c r="Y70" s="68"/>
    </row>
    <row r="71" spans="1:25">
      <c r="C71" s="102">
        <f>C70+1</f>
        <v>2013</v>
      </c>
      <c r="D71" s="123"/>
      <c r="E71" s="128">
        <v>11964165.747300001</v>
      </c>
      <c r="F71" s="128"/>
      <c r="G71" s="126">
        <v>0</v>
      </c>
      <c r="H71" s="125">
        <f t="shared" si="0"/>
        <v>11964165.747300001</v>
      </c>
      <c r="K71" s="131"/>
      <c r="L71" s="126"/>
      <c r="M71" s="135">
        <v>1675478440</v>
      </c>
      <c r="N71" s="127">
        <f>M71*0.01</f>
        <v>16754784.4</v>
      </c>
      <c r="O71" s="127"/>
      <c r="P71" s="127"/>
      <c r="Q71" s="127"/>
      <c r="R71" s="127"/>
      <c r="S71" s="127"/>
      <c r="T71" s="126"/>
      <c r="U71" s="84"/>
      <c r="V71" s="84"/>
      <c r="Y71" s="68"/>
    </row>
    <row r="72" spans="1:25">
      <c r="C72" s="102">
        <f>C71+1</f>
        <v>2014</v>
      </c>
      <c r="D72" s="123"/>
      <c r="E72" s="128">
        <v>21860323</v>
      </c>
      <c r="F72" s="128"/>
      <c r="G72" s="126">
        <v>0</v>
      </c>
      <c r="H72" s="125">
        <f t="shared" si="0"/>
        <v>21860323</v>
      </c>
      <c r="K72" s="131"/>
      <c r="L72" s="126"/>
      <c r="M72" s="135">
        <f>+'[99]Tax Provision-17'!E41</f>
        <v>1743206239.1500001</v>
      </c>
      <c r="N72" s="127">
        <f>M72*0.005</f>
        <v>8716031.19575</v>
      </c>
      <c r="O72" s="127"/>
      <c r="P72" s="127"/>
      <c r="Q72" s="127"/>
      <c r="R72" s="127"/>
      <c r="S72" s="127"/>
      <c r="T72" s="126"/>
      <c r="U72" s="84"/>
      <c r="V72" s="84"/>
      <c r="Y72" s="68"/>
    </row>
    <row r="73" spans="1:25">
      <c r="C73" s="102">
        <f>C72+1</f>
        <v>2015</v>
      </c>
      <c r="D73" s="123"/>
      <c r="E73" s="126">
        <f>+N73</f>
        <v>16737787.77</v>
      </c>
      <c r="F73" s="126"/>
      <c r="G73" s="126"/>
      <c r="H73" s="125">
        <f t="shared" si="0"/>
        <v>16737787.77</v>
      </c>
      <c r="K73" s="131"/>
      <c r="L73" s="126"/>
      <c r="M73" s="135">
        <f>1641882640+31896137</f>
        <v>1673778777</v>
      </c>
      <c r="N73" s="127">
        <f>M73*0.01</f>
        <v>16737787.77</v>
      </c>
      <c r="O73" s="127"/>
      <c r="P73" s="127"/>
      <c r="Q73" s="127"/>
      <c r="R73" s="127"/>
      <c r="S73" s="127"/>
      <c r="T73" s="126"/>
      <c r="U73" s="84"/>
      <c r="V73" s="84"/>
      <c r="Y73" s="68"/>
    </row>
    <row r="74" spans="1:25">
      <c r="C74" s="102">
        <v>2016</v>
      </c>
      <c r="D74" s="123"/>
      <c r="E74" s="126" t="e">
        <f>+N74</f>
        <v>#REF!</v>
      </c>
      <c r="F74" s="126"/>
      <c r="G74" s="126"/>
      <c r="H74" s="125" t="e">
        <f t="shared" si="0"/>
        <v>#REF!</v>
      </c>
      <c r="K74" s="131"/>
      <c r="L74" s="126"/>
      <c r="M74" s="135" t="e">
        <f>+#REF!+#REF!</f>
        <v>#REF!</v>
      </c>
      <c r="N74" s="127" t="e">
        <f>M74*0.01</f>
        <v>#REF!</v>
      </c>
      <c r="O74" s="127"/>
      <c r="P74" s="127"/>
      <c r="Q74" s="127"/>
      <c r="R74" s="127"/>
      <c r="S74" s="127"/>
      <c r="T74" s="126"/>
      <c r="U74" s="84"/>
      <c r="V74" s="84"/>
      <c r="Y74" s="68"/>
    </row>
    <row r="75" spans="1:25">
      <c r="C75" s="102">
        <v>2017</v>
      </c>
      <c r="D75" s="123"/>
      <c r="E75" s="126" t="e">
        <f>N75</f>
        <v>#REF!</v>
      </c>
      <c r="F75" s="126"/>
      <c r="G75" s="126"/>
      <c r="H75" s="129" t="e">
        <f t="shared" si="0"/>
        <v>#REF!</v>
      </c>
      <c r="K75" s="131"/>
      <c r="L75" s="126"/>
      <c r="M75" s="136" t="e">
        <f>+#REF!</f>
        <v>#REF!</v>
      </c>
      <c r="N75" s="127" t="e">
        <f>M75*0.01</f>
        <v>#REF!</v>
      </c>
      <c r="O75" s="127"/>
      <c r="P75" s="127"/>
      <c r="Q75" s="127"/>
      <c r="R75" s="127"/>
      <c r="S75" s="127"/>
      <c r="T75" s="126"/>
      <c r="U75" s="84"/>
      <c r="V75" s="84"/>
      <c r="Y75" s="68"/>
    </row>
    <row r="76" spans="1:25">
      <c r="E76" s="130" t="e">
        <f>SUM(E68:E75)</f>
        <v>#REF!</v>
      </c>
      <c r="F76" s="99"/>
      <c r="H76" s="130" t="e">
        <f>SUM(H68:H75)</f>
        <v>#REF!</v>
      </c>
      <c r="K76" s="133"/>
      <c r="L76" s="99"/>
      <c r="M76" s="130" t="e">
        <f>SUM(M66:M75)</f>
        <v>#REF!</v>
      </c>
      <c r="N76" s="103"/>
      <c r="O76" s="103"/>
      <c r="P76" s="103"/>
      <c r="Q76" s="103"/>
      <c r="R76" s="103"/>
      <c r="S76" s="103"/>
      <c r="U76" s="104">
        <v>16265050.630000001</v>
      </c>
      <c r="Y76" s="68"/>
    </row>
    <row r="77" spans="1:25">
      <c r="M77" s="67"/>
    </row>
    <row r="78" spans="1:25">
      <c r="K78" s="103" t="e">
        <f>'[99]Tax Provision-17'!C47</f>
        <v>#REF!</v>
      </c>
      <c r="M78" s="67"/>
      <c r="T78" s="68"/>
    </row>
    <row r="79" spans="1:25">
      <c r="G79" s="67" t="e">
        <f>'[99]Tax Provision-17'!C31*0.35</f>
        <v>#REF!</v>
      </c>
      <c r="H79" s="68" t="e">
        <f>G79-'[99]Tax Provision-17'!C45</f>
        <v>#REF!</v>
      </c>
      <c r="M79" s="67"/>
    </row>
    <row r="81" spans="7:24">
      <c r="V81" s="63" t="s">
        <v>1631</v>
      </c>
    </row>
    <row r="82" spans="7:24">
      <c r="U82" s="110"/>
      <c r="V82" s="111"/>
      <c r="W82" s="110" t="s">
        <v>1578</v>
      </c>
      <c r="X82" s="137" t="e">
        <f>+M51</f>
        <v>#REF!</v>
      </c>
    </row>
    <row r="83" spans="7:24">
      <c r="G83" s="67" t="e">
        <f>#REF!*0.35</f>
        <v>#REF!</v>
      </c>
      <c r="V83" s="112"/>
      <c r="W83" s="63" t="s">
        <v>1632</v>
      </c>
      <c r="X83" s="68" t="e">
        <f>+#REF!</f>
        <v>#REF!</v>
      </c>
    </row>
    <row r="84" spans="7:24">
      <c r="G84" s="67" t="e">
        <f>#REF!*0.35</f>
        <v>#REF!</v>
      </c>
      <c r="U84" s="63" t="s">
        <v>1580</v>
      </c>
      <c r="V84" s="113" t="e">
        <f>+#REF!</f>
        <v>#REF!</v>
      </c>
    </row>
    <row r="85" spans="7:24">
      <c r="U85" s="63" t="s">
        <v>1582</v>
      </c>
      <c r="V85" s="114" t="e">
        <f>+X88-V84</f>
        <v>#REF!</v>
      </c>
    </row>
    <row r="86" spans="7:24">
      <c r="V86" s="112"/>
    </row>
    <row r="87" spans="7:24">
      <c r="U87" s="63" t="s">
        <v>1591</v>
      </c>
      <c r="V87" s="112">
        <v>0</v>
      </c>
      <c r="W87" s="63" t="s">
        <v>1591</v>
      </c>
      <c r="X87" s="68" t="e">
        <f>+-M60</f>
        <v>#REF!</v>
      </c>
    </row>
    <row r="88" spans="7:24">
      <c r="V88" s="67" t="e">
        <f>SUM(V82:V87)</f>
        <v>#REF!</v>
      </c>
      <c r="X88" s="67" t="e">
        <f>SUM(X82:X87)</f>
        <v>#REF!</v>
      </c>
    </row>
  </sheetData>
  <mergeCells count="5">
    <mergeCell ref="C5:H5"/>
    <mergeCell ref="F6:G6"/>
    <mergeCell ref="K6:L6"/>
    <mergeCell ref="S6:W6"/>
    <mergeCell ref="Y6:Z6"/>
  </mergeCells>
  <pageMargins left="0.5" right="0.25" top="0.5" bottom="0.5" header="0.5" footer="0.5"/>
  <pageSetup paperSize="9" scale="96" fitToHeight="0"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B1:WVL27"/>
  <sheetViews>
    <sheetView workbookViewId="0">
      <selection activeCell="E23" sqref="E23"/>
    </sheetView>
  </sheetViews>
  <sheetFormatPr defaultColWidth="8.81640625" defaultRowHeight="12.5"/>
  <cols>
    <col min="1" max="1" width="1.1796875" style="21" customWidth="1"/>
    <col min="2" max="2" width="43.453125" style="21" customWidth="1"/>
    <col min="3" max="3" width="16" style="21" customWidth="1"/>
    <col min="4" max="4" width="16.453125" style="21" hidden="1" customWidth="1"/>
    <col min="5" max="5" width="14.453125" style="21" customWidth="1"/>
    <col min="6" max="6" width="13.453125" style="21" customWidth="1"/>
    <col min="7" max="7" width="16.81640625" style="21" customWidth="1"/>
    <col min="8" max="8" width="5.81640625" style="21" customWidth="1"/>
    <col min="9" max="9" width="18.1796875" style="21" customWidth="1"/>
    <col min="10" max="10" width="14.453125" style="21" customWidth="1"/>
    <col min="11" max="11" width="16.81640625" style="21" customWidth="1"/>
    <col min="12" max="12" width="17.54296875" style="21" customWidth="1"/>
    <col min="13" max="13" width="11.453125" style="21" customWidth="1"/>
    <col min="14" max="256" width="9.1796875" style="21"/>
    <col min="257" max="257" width="1.1796875" style="21" customWidth="1"/>
    <col min="258" max="258" width="43.453125" style="21" customWidth="1"/>
    <col min="259" max="259" width="16" style="21" customWidth="1"/>
    <col min="260" max="260" width="8.81640625" style="21" hidden="1" customWidth="1"/>
    <col min="261" max="261" width="16" style="21" customWidth="1"/>
    <col min="262" max="262" width="14.453125" style="21" customWidth="1"/>
    <col min="263" max="263" width="16.81640625" style="21" customWidth="1"/>
    <col min="264" max="264" width="5.54296875" style="21" customWidth="1"/>
    <col min="265" max="265" width="18.1796875" style="21" customWidth="1"/>
    <col min="266" max="266" width="16" style="21" customWidth="1"/>
    <col min="267" max="267" width="16.81640625" style="21" customWidth="1"/>
    <col min="268" max="268" width="17.54296875" style="21" customWidth="1"/>
    <col min="269" max="269" width="11.453125" style="21" customWidth="1"/>
    <col min="270" max="512" width="9.1796875" style="21"/>
    <col min="513" max="513" width="1.1796875" style="21" customWidth="1"/>
    <col min="514" max="514" width="43.453125" style="21" customWidth="1"/>
    <col min="515" max="515" width="16" style="21" customWidth="1"/>
    <col min="516" max="516" width="8.81640625" style="21" hidden="1" customWidth="1"/>
    <col min="517" max="517" width="16" style="21" customWidth="1"/>
    <col min="518" max="518" width="14.453125" style="21" customWidth="1"/>
    <col min="519" max="519" width="16.81640625" style="21" customWidth="1"/>
    <col min="520" max="520" width="5.54296875" style="21" customWidth="1"/>
    <col min="521" max="521" width="18.1796875" style="21" customWidth="1"/>
    <col min="522" max="522" width="16" style="21" customWidth="1"/>
    <col min="523" max="523" width="16.81640625" style="21" customWidth="1"/>
    <col min="524" max="524" width="17.54296875" style="21" customWidth="1"/>
    <col min="525" max="525" width="11.453125" style="21" customWidth="1"/>
    <col min="526" max="768" width="9.1796875" style="21"/>
    <col min="769" max="769" width="1.1796875" style="21" customWidth="1"/>
    <col min="770" max="770" width="43.453125" style="21" customWidth="1"/>
    <col min="771" max="771" width="16" style="21" customWidth="1"/>
    <col min="772" max="772" width="8.81640625" style="21" hidden="1" customWidth="1"/>
    <col min="773" max="773" width="16" style="21" customWidth="1"/>
    <col min="774" max="774" width="14.453125" style="21" customWidth="1"/>
    <col min="775" max="775" width="16.81640625" style="21" customWidth="1"/>
    <col min="776" max="776" width="5.54296875" style="21" customWidth="1"/>
    <col min="777" max="777" width="18.1796875" style="21" customWidth="1"/>
    <col min="778" max="778" width="16" style="21" customWidth="1"/>
    <col min="779" max="779" width="16.81640625" style="21" customWidth="1"/>
    <col min="780" max="780" width="17.54296875" style="21" customWidth="1"/>
    <col min="781" max="781" width="11.453125" style="21" customWidth="1"/>
    <col min="782" max="1024" width="9.1796875" style="21"/>
    <col min="1025" max="1025" width="1.1796875" style="21" customWidth="1"/>
    <col min="1026" max="1026" width="43.453125" style="21" customWidth="1"/>
    <col min="1027" max="1027" width="16" style="21" customWidth="1"/>
    <col min="1028" max="1028" width="8.81640625" style="21" hidden="1" customWidth="1"/>
    <col min="1029" max="1029" width="16" style="21" customWidth="1"/>
    <col min="1030" max="1030" width="14.453125" style="21" customWidth="1"/>
    <col min="1031" max="1031" width="16.81640625" style="21" customWidth="1"/>
    <col min="1032" max="1032" width="5.54296875" style="21" customWidth="1"/>
    <col min="1033" max="1033" width="18.1796875" style="21" customWidth="1"/>
    <col min="1034" max="1034" width="16" style="21" customWidth="1"/>
    <col min="1035" max="1035" width="16.81640625" style="21" customWidth="1"/>
    <col min="1036" max="1036" width="17.54296875" style="21" customWidth="1"/>
    <col min="1037" max="1037" width="11.453125" style="21" customWidth="1"/>
    <col min="1038" max="1280" width="9.1796875" style="21"/>
    <col min="1281" max="1281" width="1.1796875" style="21" customWidth="1"/>
    <col min="1282" max="1282" width="43.453125" style="21" customWidth="1"/>
    <col min="1283" max="1283" width="16" style="21" customWidth="1"/>
    <col min="1284" max="1284" width="8.81640625" style="21" hidden="1" customWidth="1"/>
    <col min="1285" max="1285" width="16" style="21" customWidth="1"/>
    <col min="1286" max="1286" width="14.453125" style="21" customWidth="1"/>
    <col min="1287" max="1287" width="16.81640625" style="21" customWidth="1"/>
    <col min="1288" max="1288" width="5.54296875" style="21" customWidth="1"/>
    <col min="1289" max="1289" width="18.1796875" style="21" customWidth="1"/>
    <col min="1290" max="1290" width="16" style="21" customWidth="1"/>
    <col min="1291" max="1291" width="16.81640625" style="21" customWidth="1"/>
    <col min="1292" max="1292" width="17.54296875" style="21" customWidth="1"/>
    <col min="1293" max="1293" width="11.453125" style="21" customWidth="1"/>
    <col min="1294" max="1536" width="9.1796875" style="21"/>
    <col min="1537" max="1537" width="1.1796875" style="21" customWidth="1"/>
    <col min="1538" max="1538" width="43.453125" style="21" customWidth="1"/>
    <col min="1539" max="1539" width="16" style="21" customWidth="1"/>
    <col min="1540" max="1540" width="8.81640625" style="21" hidden="1" customWidth="1"/>
    <col min="1541" max="1541" width="16" style="21" customWidth="1"/>
    <col min="1542" max="1542" width="14.453125" style="21" customWidth="1"/>
    <col min="1543" max="1543" width="16.81640625" style="21" customWidth="1"/>
    <col min="1544" max="1544" width="5.54296875" style="21" customWidth="1"/>
    <col min="1545" max="1545" width="18.1796875" style="21" customWidth="1"/>
    <col min="1546" max="1546" width="16" style="21" customWidth="1"/>
    <col min="1547" max="1547" width="16.81640625" style="21" customWidth="1"/>
    <col min="1548" max="1548" width="17.54296875" style="21" customWidth="1"/>
    <col min="1549" max="1549" width="11.453125" style="21" customWidth="1"/>
    <col min="1550" max="1792" width="9.1796875" style="21"/>
    <col min="1793" max="1793" width="1.1796875" style="21" customWidth="1"/>
    <col min="1794" max="1794" width="43.453125" style="21" customWidth="1"/>
    <col min="1795" max="1795" width="16" style="21" customWidth="1"/>
    <col min="1796" max="1796" width="8.81640625" style="21" hidden="1" customWidth="1"/>
    <col min="1797" max="1797" width="16" style="21" customWidth="1"/>
    <col min="1798" max="1798" width="14.453125" style="21" customWidth="1"/>
    <col min="1799" max="1799" width="16.81640625" style="21" customWidth="1"/>
    <col min="1800" max="1800" width="5.54296875" style="21" customWidth="1"/>
    <col min="1801" max="1801" width="18.1796875" style="21" customWidth="1"/>
    <col min="1802" max="1802" width="16" style="21" customWidth="1"/>
    <col min="1803" max="1803" width="16.81640625" style="21" customWidth="1"/>
    <col min="1804" max="1804" width="17.54296875" style="21" customWidth="1"/>
    <col min="1805" max="1805" width="11.453125" style="21" customWidth="1"/>
    <col min="1806" max="2048" width="9.1796875" style="21"/>
    <col min="2049" max="2049" width="1.1796875" style="21" customWidth="1"/>
    <col min="2050" max="2050" width="43.453125" style="21" customWidth="1"/>
    <col min="2051" max="2051" width="16" style="21" customWidth="1"/>
    <col min="2052" max="2052" width="8.81640625" style="21" hidden="1" customWidth="1"/>
    <col min="2053" max="2053" width="16" style="21" customWidth="1"/>
    <col min="2054" max="2054" width="14.453125" style="21" customWidth="1"/>
    <col min="2055" max="2055" width="16.81640625" style="21" customWidth="1"/>
    <col min="2056" max="2056" width="5.54296875" style="21" customWidth="1"/>
    <col min="2057" max="2057" width="18.1796875" style="21" customWidth="1"/>
    <col min="2058" max="2058" width="16" style="21" customWidth="1"/>
    <col min="2059" max="2059" width="16.81640625" style="21" customWidth="1"/>
    <col min="2060" max="2060" width="17.54296875" style="21" customWidth="1"/>
    <col min="2061" max="2061" width="11.453125" style="21" customWidth="1"/>
    <col min="2062" max="2304" width="9.1796875" style="21"/>
    <col min="2305" max="2305" width="1.1796875" style="21" customWidth="1"/>
    <col min="2306" max="2306" width="43.453125" style="21" customWidth="1"/>
    <col min="2307" max="2307" width="16" style="21" customWidth="1"/>
    <col min="2308" max="2308" width="8.81640625" style="21" hidden="1" customWidth="1"/>
    <col min="2309" max="2309" width="16" style="21" customWidth="1"/>
    <col min="2310" max="2310" width="14.453125" style="21" customWidth="1"/>
    <col min="2311" max="2311" width="16.81640625" style="21" customWidth="1"/>
    <col min="2312" max="2312" width="5.54296875" style="21" customWidth="1"/>
    <col min="2313" max="2313" width="18.1796875" style="21" customWidth="1"/>
    <col min="2314" max="2314" width="16" style="21" customWidth="1"/>
    <col min="2315" max="2315" width="16.81640625" style="21" customWidth="1"/>
    <col min="2316" max="2316" width="17.54296875" style="21" customWidth="1"/>
    <col min="2317" max="2317" width="11.453125" style="21" customWidth="1"/>
    <col min="2318" max="2560" width="9.1796875" style="21"/>
    <col min="2561" max="2561" width="1.1796875" style="21" customWidth="1"/>
    <col min="2562" max="2562" width="43.453125" style="21" customWidth="1"/>
    <col min="2563" max="2563" width="16" style="21" customWidth="1"/>
    <col min="2564" max="2564" width="8.81640625" style="21" hidden="1" customWidth="1"/>
    <col min="2565" max="2565" width="16" style="21" customWidth="1"/>
    <col min="2566" max="2566" width="14.453125" style="21" customWidth="1"/>
    <col min="2567" max="2567" width="16.81640625" style="21" customWidth="1"/>
    <col min="2568" max="2568" width="5.54296875" style="21" customWidth="1"/>
    <col min="2569" max="2569" width="18.1796875" style="21" customWidth="1"/>
    <col min="2570" max="2570" width="16" style="21" customWidth="1"/>
    <col min="2571" max="2571" width="16.81640625" style="21" customWidth="1"/>
    <col min="2572" max="2572" width="17.54296875" style="21" customWidth="1"/>
    <col min="2573" max="2573" width="11.453125" style="21" customWidth="1"/>
    <col min="2574" max="2816" width="9.1796875" style="21"/>
    <col min="2817" max="2817" width="1.1796875" style="21" customWidth="1"/>
    <col min="2818" max="2818" width="43.453125" style="21" customWidth="1"/>
    <col min="2819" max="2819" width="16" style="21" customWidth="1"/>
    <col min="2820" max="2820" width="8.81640625" style="21" hidden="1" customWidth="1"/>
    <col min="2821" max="2821" width="16" style="21" customWidth="1"/>
    <col min="2822" max="2822" width="14.453125" style="21" customWidth="1"/>
    <col min="2823" max="2823" width="16.81640625" style="21" customWidth="1"/>
    <col min="2824" max="2824" width="5.54296875" style="21" customWidth="1"/>
    <col min="2825" max="2825" width="18.1796875" style="21" customWidth="1"/>
    <col min="2826" max="2826" width="16" style="21" customWidth="1"/>
    <col min="2827" max="2827" width="16.81640625" style="21" customWidth="1"/>
    <col min="2828" max="2828" width="17.54296875" style="21" customWidth="1"/>
    <col min="2829" max="2829" width="11.453125" style="21" customWidth="1"/>
    <col min="2830" max="3072" width="9.1796875" style="21"/>
    <col min="3073" max="3073" width="1.1796875" style="21" customWidth="1"/>
    <col min="3074" max="3074" width="43.453125" style="21" customWidth="1"/>
    <col min="3075" max="3075" width="16" style="21" customWidth="1"/>
    <col min="3076" max="3076" width="8.81640625" style="21" hidden="1" customWidth="1"/>
    <col min="3077" max="3077" width="16" style="21" customWidth="1"/>
    <col min="3078" max="3078" width="14.453125" style="21" customWidth="1"/>
    <col min="3079" max="3079" width="16.81640625" style="21" customWidth="1"/>
    <col min="3080" max="3080" width="5.54296875" style="21" customWidth="1"/>
    <col min="3081" max="3081" width="18.1796875" style="21" customWidth="1"/>
    <col min="3082" max="3082" width="16" style="21" customWidth="1"/>
    <col min="3083" max="3083" width="16.81640625" style="21" customWidth="1"/>
    <col min="3084" max="3084" width="17.54296875" style="21" customWidth="1"/>
    <col min="3085" max="3085" width="11.453125" style="21" customWidth="1"/>
    <col min="3086" max="3328" width="9.1796875" style="21"/>
    <col min="3329" max="3329" width="1.1796875" style="21" customWidth="1"/>
    <col min="3330" max="3330" width="43.453125" style="21" customWidth="1"/>
    <col min="3331" max="3331" width="16" style="21" customWidth="1"/>
    <col min="3332" max="3332" width="8.81640625" style="21" hidden="1" customWidth="1"/>
    <col min="3333" max="3333" width="16" style="21" customWidth="1"/>
    <col min="3334" max="3334" width="14.453125" style="21" customWidth="1"/>
    <col min="3335" max="3335" width="16.81640625" style="21" customWidth="1"/>
    <col min="3336" max="3336" width="5.54296875" style="21" customWidth="1"/>
    <col min="3337" max="3337" width="18.1796875" style="21" customWidth="1"/>
    <col min="3338" max="3338" width="16" style="21" customWidth="1"/>
    <col min="3339" max="3339" width="16.81640625" style="21" customWidth="1"/>
    <col min="3340" max="3340" width="17.54296875" style="21" customWidth="1"/>
    <col min="3341" max="3341" width="11.453125" style="21" customWidth="1"/>
    <col min="3342" max="3584" width="9.1796875" style="21"/>
    <col min="3585" max="3585" width="1.1796875" style="21" customWidth="1"/>
    <col min="3586" max="3586" width="43.453125" style="21" customWidth="1"/>
    <col min="3587" max="3587" width="16" style="21" customWidth="1"/>
    <col min="3588" max="3588" width="8.81640625" style="21" hidden="1" customWidth="1"/>
    <col min="3589" max="3589" width="16" style="21" customWidth="1"/>
    <col min="3590" max="3590" width="14.453125" style="21" customWidth="1"/>
    <col min="3591" max="3591" width="16.81640625" style="21" customWidth="1"/>
    <col min="3592" max="3592" width="5.54296875" style="21" customWidth="1"/>
    <col min="3593" max="3593" width="18.1796875" style="21" customWidth="1"/>
    <col min="3594" max="3594" width="16" style="21" customWidth="1"/>
    <col min="3595" max="3595" width="16.81640625" style="21" customWidth="1"/>
    <col min="3596" max="3596" width="17.54296875" style="21" customWidth="1"/>
    <col min="3597" max="3597" width="11.453125" style="21" customWidth="1"/>
    <col min="3598" max="3840" width="9.1796875" style="21"/>
    <col min="3841" max="3841" width="1.1796875" style="21" customWidth="1"/>
    <col min="3842" max="3842" width="43.453125" style="21" customWidth="1"/>
    <col min="3843" max="3843" width="16" style="21" customWidth="1"/>
    <col min="3844" max="3844" width="8.81640625" style="21" hidden="1" customWidth="1"/>
    <col min="3845" max="3845" width="16" style="21" customWidth="1"/>
    <col min="3846" max="3846" width="14.453125" style="21" customWidth="1"/>
    <col min="3847" max="3847" width="16.81640625" style="21" customWidth="1"/>
    <col min="3848" max="3848" width="5.54296875" style="21" customWidth="1"/>
    <col min="3849" max="3849" width="18.1796875" style="21" customWidth="1"/>
    <col min="3850" max="3850" width="16" style="21" customWidth="1"/>
    <col min="3851" max="3851" width="16.81640625" style="21" customWidth="1"/>
    <col min="3852" max="3852" width="17.54296875" style="21" customWidth="1"/>
    <col min="3853" max="3853" width="11.453125" style="21" customWidth="1"/>
    <col min="3854" max="4096" width="9.1796875" style="21"/>
    <col min="4097" max="4097" width="1.1796875" style="21" customWidth="1"/>
    <col min="4098" max="4098" width="43.453125" style="21" customWidth="1"/>
    <col min="4099" max="4099" width="16" style="21" customWidth="1"/>
    <col min="4100" max="4100" width="8.81640625" style="21" hidden="1" customWidth="1"/>
    <col min="4101" max="4101" width="16" style="21" customWidth="1"/>
    <col min="4102" max="4102" width="14.453125" style="21" customWidth="1"/>
    <col min="4103" max="4103" width="16.81640625" style="21" customWidth="1"/>
    <col min="4104" max="4104" width="5.54296875" style="21" customWidth="1"/>
    <col min="4105" max="4105" width="18.1796875" style="21" customWidth="1"/>
    <col min="4106" max="4106" width="16" style="21" customWidth="1"/>
    <col min="4107" max="4107" width="16.81640625" style="21" customWidth="1"/>
    <col min="4108" max="4108" width="17.54296875" style="21" customWidth="1"/>
    <col min="4109" max="4109" width="11.453125" style="21" customWidth="1"/>
    <col min="4110" max="4352" width="9.1796875" style="21"/>
    <col min="4353" max="4353" width="1.1796875" style="21" customWidth="1"/>
    <col min="4354" max="4354" width="43.453125" style="21" customWidth="1"/>
    <col min="4355" max="4355" width="16" style="21" customWidth="1"/>
    <col min="4356" max="4356" width="8.81640625" style="21" hidden="1" customWidth="1"/>
    <col min="4357" max="4357" width="16" style="21" customWidth="1"/>
    <col min="4358" max="4358" width="14.453125" style="21" customWidth="1"/>
    <col min="4359" max="4359" width="16.81640625" style="21" customWidth="1"/>
    <col min="4360" max="4360" width="5.54296875" style="21" customWidth="1"/>
    <col min="4361" max="4361" width="18.1796875" style="21" customWidth="1"/>
    <col min="4362" max="4362" width="16" style="21" customWidth="1"/>
    <col min="4363" max="4363" width="16.81640625" style="21" customWidth="1"/>
    <col min="4364" max="4364" width="17.54296875" style="21" customWidth="1"/>
    <col min="4365" max="4365" width="11.453125" style="21" customWidth="1"/>
    <col min="4366" max="4608" width="9.1796875" style="21"/>
    <col min="4609" max="4609" width="1.1796875" style="21" customWidth="1"/>
    <col min="4610" max="4610" width="43.453125" style="21" customWidth="1"/>
    <col min="4611" max="4611" width="16" style="21" customWidth="1"/>
    <col min="4612" max="4612" width="8.81640625" style="21" hidden="1" customWidth="1"/>
    <col min="4613" max="4613" width="16" style="21" customWidth="1"/>
    <col min="4614" max="4614" width="14.453125" style="21" customWidth="1"/>
    <col min="4615" max="4615" width="16.81640625" style="21" customWidth="1"/>
    <col min="4616" max="4616" width="5.54296875" style="21" customWidth="1"/>
    <col min="4617" max="4617" width="18.1796875" style="21" customWidth="1"/>
    <col min="4618" max="4618" width="16" style="21" customWidth="1"/>
    <col min="4619" max="4619" width="16.81640625" style="21" customWidth="1"/>
    <col min="4620" max="4620" width="17.54296875" style="21" customWidth="1"/>
    <col min="4621" max="4621" width="11.453125" style="21" customWidth="1"/>
    <col min="4622" max="4864" width="9.1796875" style="21"/>
    <col min="4865" max="4865" width="1.1796875" style="21" customWidth="1"/>
    <col min="4866" max="4866" width="43.453125" style="21" customWidth="1"/>
    <col min="4867" max="4867" width="16" style="21" customWidth="1"/>
    <col min="4868" max="4868" width="8.81640625" style="21" hidden="1" customWidth="1"/>
    <col min="4869" max="4869" width="16" style="21" customWidth="1"/>
    <col min="4870" max="4870" width="14.453125" style="21" customWidth="1"/>
    <col min="4871" max="4871" width="16.81640625" style="21" customWidth="1"/>
    <col min="4872" max="4872" width="5.54296875" style="21" customWidth="1"/>
    <col min="4873" max="4873" width="18.1796875" style="21" customWidth="1"/>
    <col min="4874" max="4874" width="16" style="21" customWidth="1"/>
    <col min="4875" max="4875" width="16.81640625" style="21" customWidth="1"/>
    <col min="4876" max="4876" width="17.54296875" style="21" customWidth="1"/>
    <col min="4877" max="4877" width="11.453125" style="21" customWidth="1"/>
    <col min="4878" max="5120" width="9.1796875" style="21"/>
    <col min="5121" max="5121" width="1.1796875" style="21" customWidth="1"/>
    <col min="5122" max="5122" width="43.453125" style="21" customWidth="1"/>
    <col min="5123" max="5123" width="16" style="21" customWidth="1"/>
    <col min="5124" max="5124" width="8.81640625" style="21" hidden="1" customWidth="1"/>
    <col min="5125" max="5125" width="16" style="21" customWidth="1"/>
    <col min="5126" max="5126" width="14.453125" style="21" customWidth="1"/>
    <col min="5127" max="5127" width="16.81640625" style="21" customWidth="1"/>
    <col min="5128" max="5128" width="5.54296875" style="21" customWidth="1"/>
    <col min="5129" max="5129" width="18.1796875" style="21" customWidth="1"/>
    <col min="5130" max="5130" width="16" style="21" customWidth="1"/>
    <col min="5131" max="5131" width="16.81640625" style="21" customWidth="1"/>
    <col min="5132" max="5132" width="17.54296875" style="21" customWidth="1"/>
    <col min="5133" max="5133" width="11.453125" style="21" customWidth="1"/>
    <col min="5134" max="5376" width="9.1796875" style="21"/>
    <col min="5377" max="5377" width="1.1796875" style="21" customWidth="1"/>
    <col min="5378" max="5378" width="43.453125" style="21" customWidth="1"/>
    <col min="5379" max="5379" width="16" style="21" customWidth="1"/>
    <col min="5380" max="5380" width="8.81640625" style="21" hidden="1" customWidth="1"/>
    <col min="5381" max="5381" width="16" style="21" customWidth="1"/>
    <col min="5382" max="5382" width="14.453125" style="21" customWidth="1"/>
    <col min="5383" max="5383" width="16.81640625" style="21" customWidth="1"/>
    <col min="5384" max="5384" width="5.54296875" style="21" customWidth="1"/>
    <col min="5385" max="5385" width="18.1796875" style="21" customWidth="1"/>
    <col min="5386" max="5386" width="16" style="21" customWidth="1"/>
    <col min="5387" max="5387" width="16.81640625" style="21" customWidth="1"/>
    <col min="5388" max="5388" width="17.54296875" style="21" customWidth="1"/>
    <col min="5389" max="5389" width="11.453125" style="21" customWidth="1"/>
    <col min="5390" max="5632" width="9.1796875" style="21"/>
    <col min="5633" max="5633" width="1.1796875" style="21" customWidth="1"/>
    <col min="5634" max="5634" width="43.453125" style="21" customWidth="1"/>
    <col min="5635" max="5635" width="16" style="21" customWidth="1"/>
    <col min="5636" max="5636" width="8.81640625" style="21" hidden="1" customWidth="1"/>
    <col min="5637" max="5637" width="16" style="21" customWidth="1"/>
    <col min="5638" max="5638" width="14.453125" style="21" customWidth="1"/>
    <col min="5639" max="5639" width="16.81640625" style="21" customWidth="1"/>
    <col min="5640" max="5640" width="5.54296875" style="21" customWidth="1"/>
    <col min="5641" max="5641" width="18.1796875" style="21" customWidth="1"/>
    <col min="5642" max="5642" width="16" style="21" customWidth="1"/>
    <col min="5643" max="5643" width="16.81640625" style="21" customWidth="1"/>
    <col min="5644" max="5644" width="17.54296875" style="21" customWidth="1"/>
    <col min="5645" max="5645" width="11.453125" style="21" customWidth="1"/>
    <col min="5646" max="5888" width="9.1796875" style="21"/>
    <col min="5889" max="5889" width="1.1796875" style="21" customWidth="1"/>
    <col min="5890" max="5890" width="43.453125" style="21" customWidth="1"/>
    <col min="5891" max="5891" width="16" style="21" customWidth="1"/>
    <col min="5892" max="5892" width="8.81640625" style="21" hidden="1" customWidth="1"/>
    <col min="5893" max="5893" width="16" style="21" customWidth="1"/>
    <col min="5894" max="5894" width="14.453125" style="21" customWidth="1"/>
    <col min="5895" max="5895" width="16.81640625" style="21" customWidth="1"/>
    <col min="5896" max="5896" width="5.54296875" style="21" customWidth="1"/>
    <col min="5897" max="5897" width="18.1796875" style="21" customWidth="1"/>
    <col min="5898" max="5898" width="16" style="21" customWidth="1"/>
    <col min="5899" max="5899" width="16.81640625" style="21" customWidth="1"/>
    <col min="5900" max="5900" width="17.54296875" style="21" customWidth="1"/>
    <col min="5901" max="5901" width="11.453125" style="21" customWidth="1"/>
    <col min="5902" max="6144" width="9.1796875" style="21"/>
    <col min="6145" max="6145" width="1.1796875" style="21" customWidth="1"/>
    <col min="6146" max="6146" width="43.453125" style="21" customWidth="1"/>
    <col min="6147" max="6147" width="16" style="21" customWidth="1"/>
    <col min="6148" max="6148" width="8.81640625" style="21" hidden="1" customWidth="1"/>
    <col min="6149" max="6149" width="16" style="21" customWidth="1"/>
    <col min="6150" max="6150" width="14.453125" style="21" customWidth="1"/>
    <col min="6151" max="6151" width="16.81640625" style="21" customWidth="1"/>
    <col min="6152" max="6152" width="5.54296875" style="21" customWidth="1"/>
    <col min="6153" max="6153" width="18.1796875" style="21" customWidth="1"/>
    <col min="6154" max="6154" width="16" style="21" customWidth="1"/>
    <col min="6155" max="6155" width="16.81640625" style="21" customWidth="1"/>
    <col min="6156" max="6156" width="17.54296875" style="21" customWidth="1"/>
    <col min="6157" max="6157" width="11.453125" style="21" customWidth="1"/>
    <col min="6158" max="6400" width="9.1796875" style="21"/>
    <col min="6401" max="6401" width="1.1796875" style="21" customWidth="1"/>
    <col min="6402" max="6402" width="43.453125" style="21" customWidth="1"/>
    <col min="6403" max="6403" width="16" style="21" customWidth="1"/>
    <col min="6404" max="6404" width="8.81640625" style="21" hidden="1" customWidth="1"/>
    <col min="6405" max="6405" width="16" style="21" customWidth="1"/>
    <col min="6406" max="6406" width="14.453125" style="21" customWidth="1"/>
    <col min="6407" max="6407" width="16.81640625" style="21" customWidth="1"/>
    <col min="6408" max="6408" width="5.54296875" style="21" customWidth="1"/>
    <col min="6409" max="6409" width="18.1796875" style="21" customWidth="1"/>
    <col min="6410" max="6410" width="16" style="21" customWidth="1"/>
    <col min="6411" max="6411" width="16.81640625" style="21" customWidth="1"/>
    <col min="6412" max="6412" width="17.54296875" style="21" customWidth="1"/>
    <col min="6413" max="6413" width="11.453125" style="21" customWidth="1"/>
    <col min="6414" max="6656" width="9.1796875" style="21"/>
    <col min="6657" max="6657" width="1.1796875" style="21" customWidth="1"/>
    <col min="6658" max="6658" width="43.453125" style="21" customWidth="1"/>
    <col min="6659" max="6659" width="16" style="21" customWidth="1"/>
    <col min="6660" max="6660" width="8.81640625" style="21" hidden="1" customWidth="1"/>
    <col min="6661" max="6661" width="16" style="21" customWidth="1"/>
    <col min="6662" max="6662" width="14.453125" style="21" customWidth="1"/>
    <col min="6663" max="6663" width="16.81640625" style="21" customWidth="1"/>
    <col min="6664" max="6664" width="5.54296875" style="21" customWidth="1"/>
    <col min="6665" max="6665" width="18.1796875" style="21" customWidth="1"/>
    <col min="6666" max="6666" width="16" style="21" customWidth="1"/>
    <col min="6667" max="6667" width="16.81640625" style="21" customWidth="1"/>
    <col min="6668" max="6668" width="17.54296875" style="21" customWidth="1"/>
    <col min="6669" max="6669" width="11.453125" style="21" customWidth="1"/>
    <col min="6670" max="6912" width="9.1796875" style="21"/>
    <col min="6913" max="6913" width="1.1796875" style="21" customWidth="1"/>
    <col min="6914" max="6914" width="43.453125" style="21" customWidth="1"/>
    <col min="6915" max="6915" width="16" style="21" customWidth="1"/>
    <col min="6916" max="6916" width="8.81640625" style="21" hidden="1" customWidth="1"/>
    <col min="6917" max="6917" width="16" style="21" customWidth="1"/>
    <col min="6918" max="6918" width="14.453125" style="21" customWidth="1"/>
    <col min="6919" max="6919" width="16.81640625" style="21" customWidth="1"/>
    <col min="6920" max="6920" width="5.54296875" style="21" customWidth="1"/>
    <col min="6921" max="6921" width="18.1796875" style="21" customWidth="1"/>
    <col min="6922" max="6922" width="16" style="21" customWidth="1"/>
    <col min="6923" max="6923" width="16.81640625" style="21" customWidth="1"/>
    <col min="6924" max="6924" width="17.54296875" style="21" customWidth="1"/>
    <col min="6925" max="6925" width="11.453125" style="21" customWidth="1"/>
    <col min="6926" max="7168" width="9.1796875" style="21"/>
    <col min="7169" max="7169" width="1.1796875" style="21" customWidth="1"/>
    <col min="7170" max="7170" width="43.453125" style="21" customWidth="1"/>
    <col min="7171" max="7171" width="16" style="21" customWidth="1"/>
    <col min="7172" max="7172" width="8.81640625" style="21" hidden="1" customWidth="1"/>
    <col min="7173" max="7173" width="16" style="21" customWidth="1"/>
    <col min="7174" max="7174" width="14.453125" style="21" customWidth="1"/>
    <col min="7175" max="7175" width="16.81640625" style="21" customWidth="1"/>
    <col min="7176" max="7176" width="5.54296875" style="21" customWidth="1"/>
    <col min="7177" max="7177" width="18.1796875" style="21" customWidth="1"/>
    <col min="7178" max="7178" width="16" style="21" customWidth="1"/>
    <col min="7179" max="7179" width="16.81640625" style="21" customWidth="1"/>
    <col min="7180" max="7180" width="17.54296875" style="21" customWidth="1"/>
    <col min="7181" max="7181" width="11.453125" style="21" customWidth="1"/>
    <col min="7182" max="7424" width="9.1796875" style="21"/>
    <col min="7425" max="7425" width="1.1796875" style="21" customWidth="1"/>
    <col min="7426" max="7426" width="43.453125" style="21" customWidth="1"/>
    <col min="7427" max="7427" width="16" style="21" customWidth="1"/>
    <col min="7428" max="7428" width="8.81640625" style="21" hidden="1" customWidth="1"/>
    <col min="7429" max="7429" width="16" style="21" customWidth="1"/>
    <col min="7430" max="7430" width="14.453125" style="21" customWidth="1"/>
    <col min="7431" max="7431" width="16.81640625" style="21" customWidth="1"/>
    <col min="7432" max="7432" width="5.54296875" style="21" customWidth="1"/>
    <col min="7433" max="7433" width="18.1796875" style="21" customWidth="1"/>
    <col min="7434" max="7434" width="16" style="21" customWidth="1"/>
    <col min="7435" max="7435" width="16.81640625" style="21" customWidth="1"/>
    <col min="7436" max="7436" width="17.54296875" style="21" customWidth="1"/>
    <col min="7437" max="7437" width="11.453125" style="21" customWidth="1"/>
    <col min="7438" max="7680" width="9.1796875" style="21"/>
    <col min="7681" max="7681" width="1.1796875" style="21" customWidth="1"/>
    <col min="7682" max="7682" width="43.453125" style="21" customWidth="1"/>
    <col min="7683" max="7683" width="16" style="21" customWidth="1"/>
    <col min="7684" max="7684" width="8.81640625" style="21" hidden="1" customWidth="1"/>
    <col min="7685" max="7685" width="16" style="21" customWidth="1"/>
    <col min="7686" max="7686" width="14.453125" style="21" customWidth="1"/>
    <col min="7687" max="7687" width="16.81640625" style="21" customWidth="1"/>
    <col min="7688" max="7688" width="5.54296875" style="21" customWidth="1"/>
    <col min="7689" max="7689" width="18.1796875" style="21" customWidth="1"/>
    <col min="7690" max="7690" width="16" style="21" customWidth="1"/>
    <col min="7691" max="7691" width="16.81640625" style="21" customWidth="1"/>
    <col min="7692" max="7692" width="17.54296875" style="21" customWidth="1"/>
    <col min="7693" max="7693" width="11.453125" style="21" customWidth="1"/>
    <col min="7694" max="7936" width="9.1796875" style="21"/>
    <col min="7937" max="7937" width="1.1796875" style="21" customWidth="1"/>
    <col min="7938" max="7938" width="43.453125" style="21" customWidth="1"/>
    <col min="7939" max="7939" width="16" style="21" customWidth="1"/>
    <col min="7940" max="7940" width="8.81640625" style="21" hidden="1" customWidth="1"/>
    <col min="7941" max="7941" width="16" style="21" customWidth="1"/>
    <col min="7942" max="7942" width="14.453125" style="21" customWidth="1"/>
    <col min="7943" max="7943" width="16.81640625" style="21" customWidth="1"/>
    <col min="7944" max="7944" width="5.54296875" style="21" customWidth="1"/>
    <col min="7945" max="7945" width="18.1796875" style="21" customWidth="1"/>
    <col min="7946" max="7946" width="16" style="21" customWidth="1"/>
    <col min="7947" max="7947" width="16.81640625" style="21" customWidth="1"/>
    <col min="7948" max="7948" width="17.54296875" style="21" customWidth="1"/>
    <col min="7949" max="7949" width="11.453125" style="21" customWidth="1"/>
    <col min="7950" max="8192" width="9.1796875" style="21"/>
    <col min="8193" max="8193" width="1.1796875" style="21" customWidth="1"/>
    <col min="8194" max="8194" width="43.453125" style="21" customWidth="1"/>
    <col min="8195" max="8195" width="16" style="21" customWidth="1"/>
    <col min="8196" max="8196" width="8.81640625" style="21" hidden="1" customWidth="1"/>
    <col min="8197" max="8197" width="16" style="21" customWidth="1"/>
    <col min="8198" max="8198" width="14.453125" style="21" customWidth="1"/>
    <col min="8199" max="8199" width="16.81640625" style="21" customWidth="1"/>
    <col min="8200" max="8200" width="5.54296875" style="21" customWidth="1"/>
    <col min="8201" max="8201" width="18.1796875" style="21" customWidth="1"/>
    <col min="8202" max="8202" width="16" style="21" customWidth="1"/>
    <col min="8203" max="8203" width="16.81640625" style="21" customWidth="1"/>
    <col min="8204" max="8204" width="17.54296875" style="21" customWidth="1"/>
    <col min="8205" max="8205" width="11.453125" style="21" customWidth="1"/>
    <col min="8206" max="8448" width="9.1796875" style="21"/>
    <col min="8449" max="8449" width="1.1796875" style="21" customWidth="1"/>
    <col min="8450" max="8450" width="43.453125" style="21" customWidth="1"/>
    <col min="8451" max="8451" width="16" style="21" customWidth="1"/>
    <col min="8452" max="8452" width="8.81640625" style="21" hidden="1" customWidth="1"/>
    <col min="8453" max="8453" width="16" style="21" customWidth="1"/>
    <col min="8454" max="8454" width="14.453125" style="21" customWidth="1"/>
    <col min="8455" max="8455" width="16.81640625" style="21" customWidth="1"/>
    <col min="8456" max="8456" width="5.54296875" style="21" customWidth="1"/>
    <col min="8457" max="8457" width="18.1796875" style="21" customWidth="1"/>
    <col min="8458" max="8458" width="16" style="21" customWidth="1"/>
    <col min="8459" max="8459" width="16.81640625" style="21" customWidth="1"/>
    <col min="8460" max="8460" width="17.54296875" style="21" customWidth="1"/>
    <col min="8461" max="8461" width="11.453125" style="21" customWidth="1"/>
    <col min="8462" max="8704" width="9.1796875" style="21"/>
    <col min="8705" max="8705" width="1.1796875" style="21" customWidth="1"/>
    <col min="8706" max="8706" width="43.453125" style="21" customWidth="1"/>
    <col min="8707" max="8707" width="16" style="21" customWidth="1"/>
    <col min="8708" max="8708" width="8.81640625" style="21" hidden="1" customWidth="1"/>
    <col min="8709" max="8709" width="16" style="21" customWidth="1"/>
    <col min="8710" max="8710" width="14.453125" style="21" customWidth="1"/>
    <col min="8711" max="8711" width="16.81640625" style="21" customWidth="1"/>
    <col min="8712" max="8712" width="5.54296875" style="21" customWidth="1"/>
    <col min="8713" max="8713" width="18.1796875" style="21" customWidth="1"/>
    <col min="8714" max="8714" width="16" style="21" customWidth="1"/>
    <col min="8715" max="8715" width="16.81640625" style="21" customWidth="1"/>
    <col min="8716" max="8716" width="17.54296875" style="21" customWidth="1"/>
    <col min="8717" max="8717" width="11.453125" style="21" customWidth="1"/>
    <col min="8718" max="8960" width="9.1796875" style="21"/>
    <col min="8961" max="8961" width="1.1796875" style="21" customWidth="1"/>
    <col min="8962" max="8962" width="43.453125" style="21" customWidth="1"/>
    <col min="8963" max="8963" width="16" style="21" customWidth="1"/>
    <col min="8964" max="8964" width="8.81640625" style="21" hidden="1" customWidth="1"/>
    <col min="8965" max="8965" width="16" style="21" customWidth="1"/>
    <col min="8966" max="8966" width="14.453125" style="21" customWidth="1"/>
    <col min="8967" max="8967" width="16.81640625" style="21" customWidth="1"/>
    <col min="8968" max="8968" width="5.54296875" style="21" customWidth="1"/>
    <col min="8969" max="8969" width="18.1796875" style="21" customWidth="1"/>
    <col min="8970" max="8970" width="16" style="21" customWidth="1"/>
    <col min="8971" max="8971" width="16.81640625" style="21" customWidth="1"/>
    <col min="8972" max="8972" width="17.54296875" style="21" customWidth="1"/>
    <col min="8973" max="8973" width="11.453125" style="21" customWidth="1"/>
    <col min="8974" max="9216" width="9.1796875" style="21"/>
    <col min="9217" max="9217" width="1.1796875" style="21" customWidth="1"/>
    <col min="9218" max="9218" width="43.453125" style="21" customWidth="1"/>
    <col min="9219" max="9219" width="16" style="21" customWidth="1"/>
    <col min="9220" max="9220" width="8.81640625" style="21" hidden="1" customWidth="1"/>
    <col min="9221" max="9221" width="16" style="21" customWidth="1"/>
    <col min="9222" max="9222" width="14.453125" style="21" customWidth="1"/>
    <col min="9223" max="9223" width="16.81640625" style="21" customWidth="1"/>
    <col min="9224" max="9224" width="5.54296875" style="21" customWidth="1"/>
    <col min="9225" max="9225" width="18.1796875" style="21" customWidth="1"/>
    <col min="9226" max="9226" width="16" style="21" customWidth="1"/>
    <col min="9227" max="9227" width="16.81640625" style="21" customWidth="1"/>
    <col min="9228" max="9228" width="17.54296875" style="21" customWidth="1"/>
    <col min="9229" max="9229" width="11.453125" style="21" customWidth="1"/>
    <col min="9230" max="9472" width="9.1796875" style="21"/>
    <col min="9473" max="9473" width="1.1796875" style="21" customWidth="1"/>
    <col min="9474" max="9474" width="43.453125" style="21" customWidth="1"/>
    <col min="9475" max="9475" width="16" style="21" customWidth="1"/>
    <col min="9476" max="9476" width="8.81640625" style="21" hidden="1" customWidth="1"/>
    <col min="9477" max="9477" width="16" style="21" customWidth="1"/>
    <col min="9478" max="9478" width="14.453125" style="21" customWidth="1"/>
    <col min="9479" max="9479" width="16.81640625" style="21" customWidth="1"/>
    <col min="9480" max="9480" width="5.54296875" style="21" customWidth="1"/>
    <col min="9481" max="9481" width="18.1796875" style="21" customWidth="1"/>
    <col min="9482" max="9482" width="16" style="21" customWidth="1"/>
    <col min="9483" max="9483" width="16.81640625" style="21" customWidth="1"/>
    <col min="9484" max="9484" width="17.54296875" style="21" customWidth="1"/>
    <col min="9485" max="9485" width="11.453125" style="21" customWidth="1"/>
    <col min="9486" max="9728" width="9.1796875" style="21"/>
    <col min="9729" max="9729" width="1.1796875" style="21" customWidth="1"/>
    <col min="9730" max="9730" width="43.453125" style="21" customWidth="1"/>
    <col min="9731" max="9731" width="16" style="21" customWidth="1"/>
    <col min="9732" max="9732" width="8.81640625" style="21" hidden="1" customWidth="1"/>
    <col min="9733" max="9733" width="16" style="21" customWidth="1"/>
    <col min="9734" max="9734" width="14.453125" style="21" customWidth="1"/>
    <col min="9735" max="9735" width="16.81640625" style="21" customWidth="1"/>
    <col min="9736" max="9736" width="5.54296875" style="21" customWidth="1"/>
    <col min="9737" max="9737" width="18.1796875" style="21" customWidth="1"/>
    <col min="9738" max="9738" width="16" style="21" customWidth="1"/>
    <col min="9739" max="9739" width="16.81640625" style="21" customWidth="1"/>
    <col min="9740" max="9740" width="17.54296875" style="21" customWidth="1"/>
    <col min="9741" max="9741" width="11.453125" style="21" customWidth="1"/>
    <col min="9742" max="9984" width="9.1796875" style="21"/>
    <col min="9985" max="9985" width="1.1796875" style="21" customWidth="1"/>
    <col min="9986" max="9986" width="43.453125" style="21" customWidth="1"/>
    <col min="9987" max="9987" width="16" style="21" customWidth="1"/>
    <col min="9988" max="9988" width="8.81640625" style="21" hidden="1" customWidth="1"/>
    <col min="9989" max="9989" width="16" style="21" customWidth="1"/>
    <col min="9990" max="9990" width="14.453125" style="21" customWidth="1"/>
    <col min="9991" max="9991" width="16.81640625" style="21" customWidth="1"/>
    <col min="9992" max="9992" width="5.54296875" style="21" customWidth="1"/>
    <col min="9993" max="9993" width="18.1796875" style="21" customWidth="1"/>
    <col min="9994" max="9994" width="16" style="21" customWidth="1"/>
    <col min="9995" max="9995" width="16.81640625" style="21" customWidth="1"/>
    <col min="9996" max="9996" width="17.54296875" style="21" customWidth="1"/>
    <col min="9997" max="9997" width="11.453125" style="21" customWidth="1"/>
    <col min="9998" max="10240" width="9.1796875" style="21"/>
    <col min="10241" max="10241" width="1.1796875" style="21" customWidth="1"/>
    <col min="10242" max="10242" width="43.453125" style="21" customWidth="1"/>
    <col min="10243" max="10243" width="16" style="21" customWidth="1"/>
    <col min="10244" max="10244" width="8.81640625" style="21" hidden="1" customWidth="1"/>
    <col min="10245" max="10245" width="16" style="21" customWidth="1"/>
    <col min="10246" max="10246" width="14.453125" style="21" customWidth="1"/>
    <col min="10247" max="10247" width="16.81640625" style="21" customWidth="1"/>
    <col min="10248" max="10248" width="5.54296875" style="21" customWidth="1"/>
    <col min="10249" max="10249" width="18.1796875" style="21" customWidth="1"/>
    <col min="10250" max="10250" width="16" style="21" customWidth="1"/>
    <col min="10251" max="10251" width="16.81640625" style="21" customWidth="1"/>
    <col min="10252" max="10252" width="17.54296875" style="21" customWidth="1"/>
    <col min="10253" max="10253" width="11.453125" style="21" customWidth="1"/>
    <col min="10254" max="10496" width="9.1796875" style="21"/>
    <col min="10497" max="10497" width="1.1796875" style="21" customWidth="1"/>
    <col min="10498" max="10498" width="43.453125" style="21" customWidth="1"/>
    <col min="10499" max="10499" width="16" style="21" customWidth="1"/>
    <col min="10500" max="10500" width="8.81640625" style="21" hidden="1" customWidth="1"/>
    <col min="10501" max="10501" width="16" style="21" customWidth="1"/>
    <col min="10502" max="10502" width="14.453125" style="21" customWidth="1"/>
    <col min="10503" max="10503" width="16.81640625" style="21" customWidth="1"/>
    <col min="10504" max="10504" width="5.54296875" style="21" customWidth="1"/>
    <col min="10505" max="10505" width="18.1796875" style="21" customWidth="1"/>
    <col min="10506" max="10506" width="16" style="21" customWidth="1"/>
    <col min="10507" max="10507" width="16.81640625" style="21" customWidth="1"/>
    <col min="10508" max="10508" width="17.54296875" style="21" customWidth="1"/>
    <col min="10509" max="10509" width="11.453125" style="21" customWidth="1"/>
    <col min="10510" max="10752" width="9.1796875" style="21"/>
    <col min="10753" max="10753" width="1.1796875" style="21" customWidth="1"/>
    <col min="10754" max="10754" width="43.453125" style="21" customWidth="1"/>
    <col min="10755" max="10755" width="16" style="21" customWidth="1"/>
    <col min="10756" max="10756" width="8.81640625" style="21" hidden="1" customWidth="1"/>
    <col min="10757" max="10757" width="16" style="21" customWidth="1"/>
    <col min="10758" max="10758" width="14.453125" style="21" customWidth="1"/>
    <col min="10759" max="10759" width="16.81640625" style="21" customWidth="1"/>
    <col min="10760" max="10760" width="5.54296875" style="21" customWidth="1"/>
    <col min="10761" max="10761" width="18.1796875" style="21" customWidth="1"/>
    <col min="10762" max="10762" width="16" style="21" customWidth="1"/>
    <col min="10763" max="10763" width="16.81640625" style="21" customWidth="1"/>
    <col min="10764" max="10764" width="17.54296875" style="21" customWidth="1"/>
    <col min="10765" max="10765" width="11.453125" style="21" customWidth="1"/>
    <col min="10766" max="11008" width="9.1796875" style="21"/>
    <col min="11009" max="11009" width="1.1796875" style="21" customWidth="1"/>
    <col min="11010" max="11010" width="43.453125" style="21" customWidth="1"/>
    <col min="11011" max="11011" width="16" style="21" customWidth="1"/>
    <col min="11012" max="11012" width="8.81640625" style="21" hidden="1" customWidth="1"/>
    <col min="11013" max="11013" width="16" style="21" customWidth="1"/>
    <col min="11014" max="11014" width="14.453125" style="21" customWidth="1"/>
    <col min="11015" max="11015" width="16.81640625" style="21" customWidth="1"/>
    <col min="11016" max="11016" width="5.54296875" style="21" customWidth="1"/>
    <col min="11017" max="11017" width="18.1796875" style="21" customWidth="1"/>
    <col min="11018" max="11018" width="16" style="21" customWidth="1"/>
    <col min="11019" max="11019" width="16.81640625" style="21" customWidth="1"/>
    <col min="11020" max="11020" width="17.54296875" style="21" customWidth="1"/>
    <col min="11021" max="11021" width="11.453125" style="21" customWidth="1"/>
    <col min="11022" max="11264" width="9.1796875" style="21"/>
    <col min="11265" max="11265" width="1.1796875" style="21" customWidth="1"/>
    <col min="11266" max="11266" width="43.453125" style="21" customWidth="1"/>
    <col min="11267" max="11267" width="16" style="21" customWidth="1"/>
    <col min="11268" max="11268" width="8.81640625" style="21" hidden="1" customWidth="1"/>
    <col min="11269" max="11269" width="16" style="21" customWidth="1"/>
    <col min="11270" max="11270" width="14.453125" style="21" customWidth="1"/>
    <col min="11271" max="11271" width="16.81640625" style="21" customWidth="1"/>
    <col min="11272" max="11272" width="5.54296875" style="21" customWidth="1"/>
    <col min="11273" max="11273" width="18.1796875" style="21" customWidth="1"/>
    <col min="11274" max="11274" width="16" style="21" customWidth="1"/>
    <col min="11275" max="11275" width="16.81640625" style="21" customWidth="1"/>
    <col min="11276" max="11276" width="17.54296875" style="21" customWidth="1"/>
    <col min="11277" max="11277" width="11.453125" style="21" customWidth="1"/>
    <col min="11278" max="11520" width="9.1796875" style="21"/>
    <col min="11521" max="11521" width="1.1796875" style="21" customWidth="1"/>
    <col min="11522" max="11522" width="43.453125" style="21" customWidth="1"/>
    <col min="11523" max="11523" width="16" style="21" customWidth="1"/>
    <col min="11524" max="11524" width="8.81640625" style="21" hidden="1" customWidth="1"/>
    <col min="11525" max="11525" width="16" style="21" customWidth="1"/>
    <col min="11526" max="11526" width="14.453125" style="21" customWidth="1"/>
    <col min="11527" max="11527" width="16.81640625" style="21" customWidth="1"/>
    <col min="11528" max="11528" width="5.54296875" style="21" customWidth="1"/>
    <col min="11529" max="11529" width="18.1796875" style="21" customWidth="1"/>
    <col min="11530" max="11530" width="16" style="21" customWidth="1"/>
    <col min="11531" max="11531" width="16.81640625" style="21" customWidth="1"/>
    <col min="11532" max="11532" width="17.54296875" style="21" customWidth="1"/>
    <col min="11533" max="11533" width="11.453125" style="21" customWidth="1"/>
    <col min="11534" max="11776" width="9.1796875" style="21"/>
    <col min="11777" max="11777" width="1.1796875" style="21" customWidth="1"/>
    <col min="11778" max="11778" width="43.453125" style="21" customWidth="1"/>
    <col min="11779" max="11779" width="16" style="21" customWidth="1"/>
    <col min="11780" max="11780" width="8.81640625" style="21" hidden="1" customWidth="1"/>
    <col min="11781" max="11781" width="16" style="21" customWidth="1"/>
    <col min="11782" max="11782" width="14.453125" style="21" customWidth="1"/>
    <col min="11783" max="11783" width="16.81640625" style="21" customWidth="1"/>
    <col min="11784" max="11784" width="5.54296875" style="21" customWidth="1"/>
    <col min="11785" max="11785" width="18.1796875" style="21" customWidth="1"/>
    <col min="11786" max="11786" width="16" style="21" customWidth="1"/>
    <col min="11787" max="11787" width="16.81640625" style="21" customWidth="1"/>
    <col min="11788" max="11788" width="17.54296875" style="21" customWidth="1"/>
    <col min="11789" max="11789" width="11.453125" style="21" customWidth="1"/>
    <col min="11790" max="12032" width="9.1796875" style="21"/>
    <col min="12033" max="12033" width="1.1796875" style="21" customWidth="1"/>
    <col min="12034" max="12034" width="43.453125" style="21" customWidth="1"/>
    <col min="12035" max="12035" width="16" style="21" customWidth="1"/>
    <col min="12036" max="12036" width="8.81640625" style="21" hidden="1" customWidth="1"/>
    <col min="12037" max="12037" width="16" style="21" customWidth="1"/>
    <col min="12038" max="12038" width="14.453125" style="21" customWidth="1"/>
    <col min="12039" max="12039" width="16.81640625" style="21" customWidth="1"/>
    <col min="12040" max="12040" width="5.54296875" style="21" customWidth="1"/>
    <col min="12041" max="12041" width="18.1796875" style="21" customWidth="1"/>
    <col min="12042" max="12042" width="16" style="21" customWidth="1"/>
    <col min="12043" max="12043" width="16.81640625" style="21" customWidth="1"/>
    <col min="12044" max="12044" width="17.54296875" style="21" customWidth="1"/>
    <col min="12045" max="12045" width="11.453125" style="21" customWidth="1"/>
    <col min="12046" max="12288" width="9.1796875" style="21"/>
    <col min="12289" max="12289" width="1.1796875" style="21" customWidth="1"/>
    <col min="12290" max="12290" width="43.453125" style="21" customWidth="1"/>
    <col min="12291" max="12291" width="16" style="21" customWidth="1"/>
    <col min="12292" max="12292" width="8.81640625" style="21" hidden="1" customWidth="1"/>
    <col min="12293" max="12293" width="16" style="21" customWidth="1"/>
    <col min="12294" max="12294" width="14.453125" style="21" customWidth="1"/>
    <col min="12295" max="12295" width="16.81640625" style="21" customWidth="1"/>
    <col min="12296" max="12296" width="5.54296875" style="21" customWidth="1"/>
    <col min="12297" max="12297" width="18.1796875" style="21" customWidth="1"/>
    <col min="12298" max="12298" width="16" style="21" customWidth="1"/>
    <col min="12299" max="12299" width="16.81640625" style="21" customWidth="1"/>
    <col min="12300" max="12300" width="17.54296875" style="21" customWidth="1"/>
    <col min="12301" max="12301" width="11.453125" style="21" customWidth="1"/>
    <col min="12302" max="12544" width="9.1796875" style="21"/>
    <col min="12545" max="12545" width="1.1796875" style="21" customWidth="1"/>
    <col min="12546" max="12546" width="43.453125" style="21" customWidth="1"/>
    <col min="12547" max="12547" width="16" style="21" customWidth="1"/>
    <col min="12548" max="12548" width="8.81640625" style="21" hidden="1" customWidth="1"/>
    <col min="12549" max="12549" width="16" style="21" customWidth="1"/>
    <col min="12550" max="12550" width="14.453125" style="21" customWidth="1"/>
    <col min="12551" max="12551" width="16.81640625" style="21" customWidth="1"/>
    <col min="12552" max="12552" width="5.54296875" style="21" customWidth="1"/>
    <col min="12553" max="12553" width="18.1796875" style="21" customWidth="1"/>
    <col min="12554" max="12554" width="16" style="21" customWidth="1"/>
    <col min="12555" max="12555" width="16.81640625" style="21" customWidth="1"/>
    <col min="12556" max="12556" width="17.54296875" style="21" customWidth="1"/>
    <col min="12557" max="12557" width="11.453125" style="21" customWidth="1"/>
    <col min="12558" max="12800" width="9.1796875" style="21"/>
    <col min="12801" max="12801" width="1.1796875" style="21" customWidth="1"/>
    <col min="12802" max="12802" width="43.453125" style="21" customWidth="1"/>
    <col min="12803" max="12803" width="16" style="21" customWidth="1"/>
    <col min="12804" max="12804" width="8.81640625" style="21" hidden="1" customWidth="1"/>
    <col min="12805" max="12805" width="16" style="21" customWidth="1"/>
    <col min="12806" max="12806" width="14.453125" style="21" customWidth="1"/>
    <col min="12807" max="12807" width="16.81640625" style="21" customWidth="1"/>
    <col min="12808" max="12808" width="5.54296875" style="21" customWidth="1"/>
    <col min="12809" max="12809" width="18.1796875" style="21" customWidth="1"/>
    <col min="12810" max="12810" width="16" style="21" customWidth="1"/>
    <col min="12811" max="12811" width="16.81640625" style="21" customWidth="1"/>
    <col min="12812" max="12812" width="17.54296875" style="21" customWidth="1"/>
    <col min="12813" max="12813" width="11.453125" style="21" customWidth="1"/>
    <col min="12814" max="13056" width="9.1796875" style="21"/>
    <col min="13057" max="13057" width="1.1796875" style="21" customWidth="1"/>
    <col min="13058" max="13058" width="43.453125" style="21" customWidth="1"/>
    <col min="13059" max="13059" width="16" style="21" customWidth="1"/>
    <col min="13060" max="13060" width="8.81640625" style="21" hidden="1" customWidth="1"/>
    <col min="13061" max="13061" width="16" style="21" customWidth="1"/>
    <col min="13062" max="13062" width="14.453125" style="21" customWidth="1"/>
    <col min="13063" max="13063" width="16.81640625" style="21" customWidth="1"/>
    <col min="13064" max="13064" width="5.54296875" style="21" customWidth="1"/>
    <col min="13065" max="13065" width="18.1796875" style="21" customWidth="1"/>
    <col min="13066" max="13066" width="16" style="21" customWidth="1"/>
    <col min="13067" max="13067" width="16.81640625" style="21" customWidth="1"/>
    <col min="13068" max="13068" width="17.54296875" style="21" customWidth="1"/>
    <col min="13069" max="13069" width="11.453125" style="21" customWidth="1"/>
    <col min="13070" max="13312" width="9.1796875" style="21"/>
    <col min="13313" max="13313" width="1.1796875" style="21" customWidth="1"/>
    <col min="13314" max="13314" width="43.453125" style="21" customWidth="1"/>
    <col min="13315" max="13315" width="16" style="21" customWidth="1"/>
    <col min="13316" max="13316" width="8.81640625" style="21" hidden="1" customWidth="1"/>
    <col min="13317" max="13317" width="16" style="21" customWidth="1"/>
    <col min="13318" max="13318" width="14.453125" style="21" customWidth="1"/>
    <col min="13319" max="13319" width="16.81640625" style="21" customWidth="1"/>
    <col min="13320" max="13320" width="5.54296875" style="21" customWidth="1"/>
    <col min="13321" max="13321" width="18.1796875" style="21" customWidth="1"/>
    <col min="13322" max="13322" width="16" style="21" customWidth="1"/>
    <col min="13323" max="13323" width="16.81640625" style="21" customWidth="1"/>
    <col min="13324" max="13324" width="17.54296875" style="21" customWidth="1"/>
    <col min="13325" max="13325" width="11.453125" style="21" customWidth="1"/>
    <col min="13326" max="13568" width="9.1796875" style="21"/>
    <col min="13569" max="13569" width="1.1796875" style="21" customWidth="1"/>
    <col min="13570" max="13570" width="43.453125" style="21" customWidth="1"/>
    <col min="13571" max="13571" width="16" style="21" customWidth="1"/>
    <col min="13572" max="13572" width="8.81640625" style="21" hidden="1" customWidth="1"/>
    <col min="13573" max="13573" width="16" style="21" customWidth="1"/>
    <col min="13574" max="13574" width="14.453125" style="21" customWidth="1"/>
    <col min="13575" max="13575" width="16.81640625" style="21" customWidth="1"/>
    <col min="13576" max="13576" width="5.54296875" style="21" customWidth="1"/>
    <col min="13577" max="13577" width="18.1796875" style="21" customWidth="1"/>
    <col min="13578" max="13578" width="16" style="21" customWidth="1"/>
    <col min="13579" max="13579" width="16.81640625" style="21" customWidth="1"/>
    <col min="13580" max="13580" width="17.54296875" style="21" customWidth="1"/>
    <col min="13581" max="13581" width="11.453125" style="21" customWidth="1"/>
    <col min="13582" max="13824" width="9.1796875" style="21"/>
    <col min="13825" max="13825" width="1.1796875" style="21" customWidth="1"/>
    <col min="13826" max="13826" width="43.453125" style="21" customWidth="1"/>
    <col min="13827" max="13827" width="16" style="21" customWidth="1"/>
    <col min="13828" max="13828" width="8.81640625" style="21" hidden="1" customWidth="1"/>
    <col min="13829" max="13829" width="16" style="21" customWidth="1"/>
    <col min="13830" max="13830" width="14.453125" style="21" customWidth="1"/>
    <col min="13831" max="13831" width="16.81640625" style="21" customWidth="1"/>
    <col min="13832" max="13832" width="5.54296875" style="21" customWidth="1"/>
    <col min="13833" max="13833" width="18.1796875" style="21" customWidth="1"/>
    <col min="13834" max="13834" width="16" style="21" customWidth="1"/>
    <col min="13835" max="13835" width="16.81640625" style="21" customWidth="1"/>
    <col min="13836" max="13836" width="17.54296875" style="21" customWidth="1"/>
    <col min="13837" max="13837" width="11.453125" style="21" customWidth="1"/>
    <col min="13838" max="14080" width="9.1796875" style="21"/>
    <col min="14081" max="14081" width="1.1796875" style="21" customWidth="1"/>
    <col min="14082" max="14082" width="43.453125" style="21" customWidth="1"/>
    <col min="14083" max="14083" width="16" style="21" customWidth="1"/>
    <col min="14084" max="14084" width="8.81640625" style="21" hidden="1" customWidth="1"/>
    <col min="14085" max="14085" width="16" style="21" customWidth="1"/>
    <col min="14086" max="14086" width="14.453125" style="21" customWidth="1"/>
    <col min="14087" max="14087" width="16.81640625" style="21" customWidth="1"/>
    <col min="14088" max="14088" width="5.54296875" style="21" customWidth="1"/>
    <col min="14089" max="14089" width="18.1796875" style="21" customWidth="1"/>
    <col min="14090" max="14090" width="16" style="21" customWidth="1"/>
    <col min="14091" max="14091" width="16.81640625" style="21" customWidth="1"/>
    <col min="14092" max="14092" width="17.54296875" style="21" customWidth="1"/>
    <col min="14093" max="14093" width="11.453125" style="21" customWidth="1"/>
    <col min="14094" max="14336" width="9.1796875" style="21"/>
    <col min="14337" max="14337" width="1.1796875" style="21" customWidth="1"/>
    <col min="14338" max="14338" width="43.453125" style="21" customWidth="1"/>
    <col min="14339" max="14339" width="16" style="21" customWidth="1"/>
    <col min="14340" max="14340" width="8.81640625" style="21" hidden="1" customWidth="1"/>
    <col min="14341" max="14341" width="16" style="21" customWidth="1"/>
    <col min="14342" max="14342" width="14.453125" style="21" customWidth="1"/>
    <col min="14343" max="14343" width="16.81640625" style="21" customWidth="1"/>
    <col min="14344" max="14344" width="5.54296875" style="21" customWidth="1"/>
    <col min="14345" max="14345" width="18.1796875" style="21" customWidth="1"/>
    <col min="14346" max="14346" width="16" style="21" customWidth="1"/>
    <col min="14347" max="14347" width="16.81640625" style="21" customWidth="1"/>
    <col min="14348" max="14348" width="17.54296875" style="21" customWidth="1"/>
    <col min="14349" max="14349" width="11.453125" style="21" customWidth="1"/>
    <col min="14350" max="14592" width="9.1796875" style="21"/>
    <col min="14593" max="14593" width="1.1796875" style="21" customWidth="1"/>
    <col min="14594" max="14594" width="43.453125" style="21" customWidth="1"/>
    <col min="14595" max="14595" width="16" style="21" customWidth="1"/>
    <col min="14596" max="14596" width="8.81640625" style="21" hidden="1" customWidth="1"/>
    <col min="14597" max="14597" width="16" style="21" customWidth="1"/>
    <col min="14598" max="14598" width="14.453125" style="21" customWidth="1"/>
    <col min="14599" max="14599" width="16.81640625" style="21" customWidth="1"/>
    <col min="14600" max="14600" width="5.54296875" style="21" customWidth="1"/>
    <col min="14601" max="14601" width="18.1796875" style="21" customWidth="1"/>
    <col min="14602" max="14602" width="16" style="21" customWidth="1"/>
    <col min="14603" max="14603" width="16.81640625" style="21" customWidth="1"/>
    <col min="14604" max="14604" width="17.54296875" style="21" customWidth="1"/>
    <col min="14605" max="14605" width="11.453125" style="21" customWidth="1"/>
    <col min="14606" max="14848" width="9.1796875" style="21"/>
    <col min="14849" max="14849" width="1.1796875" style="21" customWidth="1"/>
    <col min="14850" max="14850" width="43.453125" style="21" customWidth="1"/>
    <col min="14851" max="14851" width="16" style="21" customWidth="1"/>
    <col min="14852" max="14852" width="8.81640625" style="21" hidden="1" customWidth="1"/>
    <col min="14853" max="14853" width="16" style="21" customWidth="1"/>
    <col min="14854" max="14854" width="14.453125" style="21" customWidth="1"/>
    <col min="14855" max="14855" width="16.81640625" style="21" customWidth="1"/>
    <col min="14856" max="14856" width="5.54296875" style="21" customWidth="1"/>
    <col min="14857" max="14857" width="18.1796875" style="21" customWidth="1"/>
    <col min="14858" max="14858" width="16" style="21" customWidth="1"/>
    <col min="14859" max="14859" width="16.81640625" style="21" customWidth="1"/>
    <col min="14860" max="14860" width="17.54296875" style="21" customWidth="1"/>
    <col min="14861" max="14861" width="11.453125" style="21" customWidth="1"/>
    <col min="14862" max="15104" width="9.1796875" style="21"/>
    <col min="15105" max="15105" width="1.1796875" style="21" customWidth="1"/>
    <col min="15106" max="15106" width="43.453125" style="21" customWidth="1"/>
    <col min="15107" max="15107" width="16" style="21" customWidth="1"/>
    <col min="15108" max="15108" width="8.81640625" style="21" hidden="1" customWidth="1"/>
    <col min="15109" max="15109" width="16" style="21" customWidth="1"/>
    <col min="15110" max="15110" width="14.453125" style="21" customWidth="1"/>
    <col min="15111" max="15111" width="16.81640625" style="21" customWidth="1"/>
    <col min="15112" max="15112" width="5.54296875" style="21" customWidth="1"/>
    <col min="15113" max="15113" width="18.1796875" style="21" customWidth="1"/>
    <col min="15114" max="15114" width="16" style="21" customWidth="1"/>
    <col min="15115" max="15115" width="16.81640625" style="21" customWidth="1"/>
    <col min="15116" max="15116" width="17.54296875" style="21" customWidth="1"/>
    <col min="15117" max="15117" width="11.453125" style="21" customWidth="1"/>
    <col min="15118" max="15360" width="9.1796875" style="21"/>
    <col min="15361" max="15361" width="1.1796875" style="21" customWidth="1"/>
    <col min="15362" max="15362" width="43.453125" style="21" customWidth="1"/>
    <col min="15363" max="15363" width="16" style="21" customWidth="1"/>
    <col min="15364" max="15364" width="8.81640625" style="21" hidden="1" customWidth="1"/>
    <col min="15365" max="15365" width="16" style="21" customWidth="1"/>
    <col min="15366" max="15366" width="14.453125" style="21" customWidth="1"/>
    <col min="15367" max="15367" width="16.81640625" style="21" customWidth="1"/>
    <col min="15368" max="15368" width="5.54296875" style="21" customWidth="1"/>
    <col min="15369" max="15369" width="18.1796875" style="21" customWidth="1"/>
    <col min="15370" max="15370" width="16" style="21" customWidth="1"/>
    <col min="15371" max="15371" width="16.81640625" style="21" customWidth="1"/>
    <col min="15372" max="15372" width="17.54296875" style="21" customWidth="1"/>
    <col min="15373" max="15373" width="11.453125" style="21" customWidth="1"/>
    <col min="15374" max="15616" width="9.1796875" style="21"/>
    <col min="15617" max="15617" width="1.1796875" style="21" customWidth="1"/>
    <col min="15618" max="15618" width="43.453125" style="21" customWidth="1"/>
    <col min="15619" max="15619" width="16" style="21" customWidth="1"/>
    <col min="15620" max="15620" width="8.81640625" style="21" hidden="1" customWidth="1"/>
    <col min="15621" max="15621" width="16" style="21" customWidth="1"/>
    <col min="15622" max="15622" width="14.453125" style="21" customWidth="1"/>
    <col min="15623" max="15623" width="16.81640625" style="21" customWidth="1"/>
    <col min="15624" max="15624" width="5.54296875" style="21" customWidth="1"/>
    <col min="15625" max="15625" width="18.1796875" style="21" customWidth="1"/>
    <col min="15626" max="15626" width="16" style="21" customWidth="1"/>
    <col min="15627" max="15627" width="16.81640625" style="21" customWidth="1"/>
    <col min="15628" max="15628" width="17.54296875" style="21" customWidth="1"/>
    <col min="15629" max="15629" width="11.453125" style="21" customWidth="1"/>
    <col min="15630" max="15872" width="9.1796875" style="21"/>
    <col min="15873" max="15873" width="1.1796875" style="21" customWidth="1"/>
    <col min="15874" max="15874" width="43.453125" style="21" customWidth="1"/>
    <col min="15875" max="15875" width="16" style="21" customWidth="1"/>
    <col min="15876" max="15876" width="8.81640625" style="21" hidden="1" customWidth="1"/>
    <col min="15877" max="15877" width="16" style="21" customWidth="1"/>
    <col min="15878" max="15878" width="14.453125" style="21" customWidth="1"/>
    <col min="15879" max="15879" width="16.81640625" style="21" customWidth="1"/>
    <col min="15880" max="15880" width="5.54296875" style="21" customWidth="1"/>
    <col min="15881" max="15881" width="18.1796875" style="21" customWidth="1"/>
    <col min="15882" max="15882" width="16" style="21" customWidth="1"/>
    <col min="15883" max="15883" width="16.81640625" style="21" customWidth="1"/>
    <col min="15884" max="15884" width="17.54296875" style="21" customWidth="1"/>
    <col min="15885" max="15885" width="11.453125" style="21" customWidth="1"/>
    <col min="15886" max="16128" width="9.1796875" style="21"/>
    <col min="16129" max="16129" width="1.1796875" style="21" customWidth="1"/>
    <col min="16130" max="16130" width="43.453125" style="21" customWidth="1"/>
    <col min="16131" max="16131" width="16" style="21" customWidth="1"/>
    <col min="16132" max="16132" width="8.81640625" style="21" hidden="1" customWidth="1"/>
    <col min="16133" max="16133" width="16" style="21" customWidth="1"/>
    <col min="16134" max="16134" width="14.453125" style="21" customWidth="1"/>
    <col min="16135" max="16135" width="16.81640625" style="21" customWidth="1"/>
    <col min="16136" max="16136" width="5.54296875" style="21" customWidth="1"/>
    <col min="16137" max="16137" width="18.1796875" style="21" customWidth="1"/>
    <col min="16138" max="16138" width="16" style="21" customWidth="1"/>
    <col min="16139" max="16139" width="16.81640625" style="21" customWidth="1"/>
    <col min="16140" max="16140" width="17.54296875" style="21" customWidth="1"/>
    <col min="16141" max="16141" width="11.453125" style="21" customWidth="1"/>
    <col min="16142" max="16384" width="9.1796875" style="21"/>
  </cols>
  <sheetData>
    <row r="1" spans="2:12" ht="5.25" customHeight="1"/>
    <row r="2" spans="2:12" ht="17.5">
      <c r="B2" s="22" t="e">
        <f>#REF!</f>
        <v>#REF!</v>
      </c>
      <c r="C2" s="23"/>
      <c r="D2" s="23"/>
      <c r="E2" s="23"/>
      <c r="F2" s="23"/>
      <c r="G2" s="35"/>
      <c r="H2" s="23"/>
      <c r="I2" s="23"/>
      <c r="J2" s="35"/>
      <c r="K2" s="35"/>
      <c r="L2" s="44" t="s">
        <v>1633</v>
      </c>
    </row>
    <row r="3" spans="2:12" ht="15">
      <c r="B3" s="24" t="s">
        <v>1634</v>
      </c>
      <c r="C3" s="23"/>
      <c r="D3" s="23"/>
      <c r="E3" s="23"/>
      <c r="F3" s="23"/>
      <c r="G3" s="35"/>
      <c r="H3" s="23"/>
      <c r="I3" s="23"/>
      <c r="J3" s="35"/>
      <c r="K3" s="35"/>
      <c r="L3" s="45"/>
    </row>
    <row r="4" spans="2:12" ht="15">
      <c r="B4" s="24" t="s">
        <v>1635</v>
      </c>
      <c r="C4" s="23"/>
      <c r="D4" s="23"/>
      <c r="E4" s="23"/>
      <c r="F4" s="23"/>
      <c r="G4" s="35"/>
      <c r="H4" s="23"/>
      <c r="I4" s="23"/>
      <c r="J4" s="35"/>
      <c r="K4" s="35"/>
      <c r="L4" s="45"/>
    </row>
    <row r="5" spans="2:12">
      <c r="B5" s="23"/>
      <c r="C5" s="23"/>
      <c r="D5" s="23"/>
      <c r="E5" s="23"/>
      <c r="F5" s="23"/>
      <c r="G5" s="35"/>
      <c r="H5" s="23"/>
      <c r="I5" s="23"/>
      <c r="J5" s="1572"/>
      <c r="K5" s="1572"/>
      <c r="L5" s="1573"/>
    </row>
    <row r="6" spans="2:12" ht="15">
      <c r="B6" s="25"/>
      <c r="C6" s="1574" t="s">
        <v>1335</v>
      </c>
      <c r="D6" s="1575"/>
      <c r="E6" s="1575"/>
      <c r="F6" s="1575"/>
      <c r="G6" s="1576"/>
      <c r="H6" s="1577" t="s">
        <v>1636</v>
      </c>
      <c r="I6" s="1578"/>
      <c r="J6" s="1578"/>
      <c r="K6" s="1578"/>
      <c r="L6" s="46" t="s">
        <v>1637</v>
      </c>
    </row>
    <row r="7" spans="2:12">
      <c r="B7" s="26" t="s">
        <v>1638</v>
      </c>
      <c r="C7" s="27" t="s">
        <v>1639</v>
      </c>
      <c r="D7" s="27" t="s">
        <v>1640</v>
      </c>
      <c r="E7" s="1579" t="s">
        <v>1133</v>
      </c>
      <c r="F7" s="25" t="s">
        <v>1641</v>
      </c>
      <c r="G7" s="36" t="s">
        <v>1453</v>
      </c>
      <c r="H7" s="25" t="s">
        <v>1354</v>
      </c>
      <c r="I7" s="1581" t="s">
        <v>1642</v>
      </c>
      <c r="J7" s="47" t="s">
        <v>1643</v>
      </c>
      <c r="K7" s="48" t="s">
        <v>1453</v>
      </c>
      <c r="L7" s="49" t="s">
        <v>1644</v>
      </c>
    </row>
    <row r="8" spans="2:12">
      <c r="B8" s="28"/>
      <c r="C8" s="28">
        <v>2019</v>
      </c>
      <c r="D8" s="28" t="s">
        <v>1645</v>
      </c>
      <c r="E8" s="1580"/>
      <c r="F8" s="28" t="s">
        <v>1135</v>
      </c>
      <c r="G8" s="37">
        <v>2020</v>
      </c>
      <c r="H8" s="28" t="s">
        <v>1361</v>
      </c>
      <c r="I8" s="1582"/>
      <c r="J8" s="50" t="s">
        <v>1646</v>
      </c>
      <c r="K8" s="51">
        <v>2020</v>
      </c>
      <c r="L8" s="37">
        <v>2020</v>
      </c>
    </row>
    <row r="9" spans="2:12">
      <c r="B9" s="23"/>
      <c r="C9" s="23"/>
      <c r="D9" s="23"/>
      <c r="E9" s="23"/>
      <c r="F9" s="23"/>
      <c r="G9" s="35"/>
      <c r="H9" s="23"/>
      <c r="I9" s="23"/>
      <c r="J9" s="35"/>
      <c r="K9" s="35"/>
      <c r="L9" s="45"/>
    </row>
    <row r="10" spans="2:12">
      <c r="B10" s="29"/>
      <c r="C10" s="30"/>
      <c r="D10" s="30"/>
      <c r="E10" s="38"/>
      <c r="F10" s="38"/>
      <c r="G10" s="38"/>
      <c r="H10" s="30"/>
      <c r="I10" s="52"/>
      <c r="J10" s="52"/>
      <c r="K10" s="30"/>
      <c r="L10" s="53"/>
    </row>
    <row r="11" spans="2:12" hidden="1">
      <c r="B11" s="31" t="s">
        <v>1647</v>
      </c>
      <c r="C11" s="32">
        <v>0</v>
      </c>
      <c r="D11" s="32"/>
      <c r="E11" s="32"/>
      <c r="F11" s="32">
        <v>0</v>
      </c>
      <c r="G11" s="39">
        <f>+C11+E11-F11</f>
        <v>0</v>
      </c>
      <c r="H11" s="40">
        <v>10</v>
      </c>
      <c r="I11" s="32">
        <f>E11*50%</f>
        <v>0</v>
      </c>
      <c r="J11" s="32">
        <f>(G11-I11)*H11%</f>
        <v>0</v>
      </c>
      <c r="K11" s="32">
        <f>I11+J11</f>
        <v>0</v>
      </c>
      <c r="L11" s="54">
        <f>+G11-K11</f>
        <v>0</v>
      </c>
    </row>
    <row r="12" spans="2:12" hidden="1">
      <c r="B12" s="31"/>
      <c r="C12" s="32"/>
      <c r="D12" s="32"/>
      <c r="E12" s="32"/>
      <c r="F12" s="32"/>
      <c r="G12" s="39"/>
      <c r="H12" s="40"/>
      <c r="I12" s="55"/>
      <c r="J12" s="32"/>
      <c r="K12" s="32"/>
      <c r="L12" s="54"/>
    </row>
    <row r="13" spans="2:12">
      <c r="B13" s="31" t="s">
        <v>1648</v>
      </c>
      <c r="C13" s="32">
        <v>71673</v>
      </c>
      <c r="D13" s="32"/>
      <c r="E13" s="32">
        <v>16200</v>
      </c>
      <c r="F13" s="32">
        <v>0</v>
      </c>
      <c r="G13" s="39">
        <f>+C13+E13-F13</f>
        <v>87873</v>
      </c>
      <c r="H13" s="40" t="s">
        <v>1649</v>
      </c>
      <c r="I13" s="56">
        <v>0</v>
      </c>
      <c r="J13" s="32">
        <f>(G13-I13)*H13%</f>
        <v>13180.95</v>
      </c>
      <c r="K13" s="32">
        <f>I13+J13</f>
        <v>13180.95</v>
      </c>
      <c r="L13" s="57">
        <f>+G13-K13</f>
        <v>74692.05</v>
      </c>
    </row>
    <row r="14" spans="2:12">
      <c r="B14" s="31"/>
      <c r="C14" s="32"/>
      <c r="D14" s="32"/>
      <c r="E14" s="32"/>
      <c r="F14" s="32"/>
      <c r="G14" s="39"/>
      <c r="H14" s="40"/>
      <c r="I14" s="56"/>
      <c r="J14" s="32"/>
      <c r="K14" s="32"/>
      <c r="L14" s="54"/>
    </row>
    <row r="15" spans="2:12">
      <c r="B15" s="31" t="s">
        <v>1598</v>
      </c>
      <c r="C15" s="32">
        <v>6717325</v>
      </c>
      <c r="D15" s="32"/>
      <c r="E15" s="32">
        <v>0</v>
      </c>
      <c r="F15" s="32">
        <v>0</v>
      </c>
      <c r="G15" s="41">
        <f>+C15+E15-F15</f>
        <v>6717325</v>
      </c>
      <c r="H15" s="40" t="s">
        <v>1650</v>
      </c>
      <c r="I15" s="58">
        <f>E15*15%</f>
        <v>0</v>
      </c>
      <c r="J15" s="32">
        <f>(G15-I15)*H15%</f>
        <v>671732.5</v>
      </c>
      <c r="K15" s="32">
        <f>I15+J15</f>
        <v>671732.5</v>
      </c>
      <c r="L15" s="54">
        <f>(G15-K15)</f>
        <v>6045592.5</v>
      </c>
    </row>
    <row r="16" spans="2:12">
      <c r="B16" s="31"/>
      <c r="C16" s="32"/>
      <c r="D16" s="32"/>
      <c r="E16" s="32"/>
      <c r="F16" s="32"/>
      <c r="G16" s="39"/>
      <c r="H16" s="40"/>
      <c r="I16" s="56"/>
      <c r="J16" s="32"/>
      <c r="K16" s="32"/>
      <c r="L16" s="54"/>
    </row>
    <row r="17" spans="2:12">
      <c r="B17" s="31" t="s">
        <v>1651</v>
      </c>
      <c r="C17" s="32">
        <v>299701</v>
      </c>
      <c r="D17" s="32"/>
      <c r="E17" s="32"/>
      <c r="F17" s="32">
        <v>0</v>
      </c>
      <c r="G17" s="39">
        <f>+C17+E17-F17</f>
        <v>299701</v>
      </c>
      <c r="H17" s="40" t="s">
        <v>1652</v>
      </c>
      <c r="I17" s="59">
        <f>E17*25%</f>
        <v>0</v>
      </c>
      <c r="J17" s="32">
        <f>(G17-I17)*H17%</f>
        <v>89910.3</v>
      </c>
      <c r="K17" s="32">
        <f>J17+I17</f>
        <v>89910.3</v>
      </c>
      <c r="L17" s="54">
        <f>(G17-K17)</f>
        <v>209790.7</v>
      </c>
    </row>
    <row r="18" spans="2:12">
      <c r="B18" s="31"/>
      <c r="C18" s="32"/>
      <c r="D18" s="32"/>
      <c r="E18" s="32"/>
      <c r="F18" s="32"/>
      <c r="G18" s="39"/>
      <c r="H18" s="40"/>
      <c r="I18" s="56"/>
      <c r="J18" s="32"/>
      <c r="K18" s="32"/>
      <c r="L18" s="54"/>
    </row>
    <row r="19" spans="2:12" hidden="1">
      <c r="B19" s="31" t="s">
        <v>1653</v>
      </c>
      <c r="C19" s="32">
        <v>0</v>
      </c>
      <c r="D19" s="32"/>
      <c r="E19" s="32"/>
      <c r="F19" s="32">
        <v>0</v>
      </c>
      <c r="G19" s="39">
        <f>+C19+E19-F19</f>
        <v>0</v>
      </c>
      <c r="H19" s="40" t="s">
        <v>1649</v>
      </c>
      <c r="I19" s="59">
        <f>E19*25%</f>
        <v>0</v>
      </c>
      <c r="J19" s="32">
        <f>(G19-I19)*H19%</f>
        <v>0</v>
      </c>
      <c r="K19" s="32">
        <f>I19+J19</f>
        <v>0</v>
      </c>
      <c r="L19" s="54">
        <f>(G19-K19)</f>
        <v>0</v>
      </c>
    </row>
    <row r="20" spans="2:12" hidden="1">
      <c r="B20" s="31"/>
      <c r="C20" s="32"/>
      <c r="D20" s="32"/>
      <c r="E20" s="32"/>
      <c r="F20" s="32"/>
      <c r="G20" s="39"/>
      <c r="H20" s="40"/>
      <c r="I20" s="56"/>
      <c r="J20" s="32"/>
      <c r="K20" s="32"/>
      <c r="L20" s="54"/>
    </row>
    <row r="21" spans="2:12">
      <c r="B21" s="31" t="s">
        <v>1127</v>
      </c>
      <c r="C21" s="32">
        <v>595000</v>
      </c>
      <c r="D21" s="32"/>
      <c r="E21" s="32">
        <v>38000</v>
      </c>
      <c r="F21" s="32">
        <v>0</v>
      </c>
      <c r="G21" s="39">
        <f>+C21+E21-F21</f>
        <v>633000</v>
      </c>
      <c r="H21" s="40" t="s">
        <v>1649</v>
      </c>
      <c r="I21" s="56">
        <v>0</v>
      </c>
      <c r="J21" s="32">
        <f>(G21-I21)*H21%</f>
        <v>94950</v>
      </c>
      <c r="K21" s="32">
        <f>I21+J21</f>
        <v>94950</v>
      </c>
      <c r="L21" s="54">
        <f>(G21-K21)</f>
        <v>538050</v>
      </c>
    </row>
    <row r="22" spans="2:12">
      <c r="B22" s="31"/>
      <c r="C22" s="32"/>
      <c r="D22" s="32"/>
      <c r="E22" s="32"/>
      <c r="F22" s="32"/>
      <c r="G22" s="39"/>
      <c r="H22" s="40"/>
      <c r="I22" s="56"/>
      <c r="J22" s="32"/>
      <c r="K22" s="32"/>
      <c r="L22" s="54"/>
    </row>
    <row r="23" spans="2:12">
      <c r="B23" s="31" t="s">
        <v>1128</v>
      </c>
      <c r="C23" s="32">
        <v>2990486</v>
      </c>
      <c r="D23" s="32"/>
      <c r="E23" s="32">
        <f>70000+1190000</f>
        <v>1260000</v>
      </c>
      <c r="F23" s="32">
        <v>0</v>
      </c>
      <c r="G23" s="39">
        <f>+C23+E23-F23</f>
        <v>4250486</v>
      </c>
      <c r="H23" s="40">
        <v>15</v>
      </c>
      <c r="I23" s="58">
        <f>E23*25%</f>
        <v>315000</v>
      </c>
      <c r="J23" s="32">
        <f>(G23-I23)*H23%</f>
        <v>590322.9</v>
      </c>
      <c r="K23" s="32">
        <f>(I23+J23)</f>
        <v>905322.9</v>
      </c>
      <c r="L23" s="54">
        <f>(G23-K23)</f>
        <v>3345163.1</v>
      </c>
    </row>
    <row r="24" spans="2:12" hidden="1">
      <c r="B24" s="31"/>
      <c r="C24" s="32"/>
      <c r="D24" s="32"/>
      <c r="E24" s="32"/>
      <c r="F24" s="32"/>
      <c r="G24" s="39"/>
      <c r="H24" s="40"/>
      <c r="I24" s="32"/>
      <c r="J24" s="32"/>
      <c r="K24" s="32"/>
      <c r="L24" s="54"/>
    </row>
    <row r="25" spans="2:12" hidden="1">
      <c r="B25" s="31" t="s">
        <v>1654</v>
      </c>
      <c r="C25" s="32">
        <v>0</v>
      </c>
      <c r="D25" s="32"/>
      <c r="E25" s="32">
        <v>0</v>
      </c>
      <c r="F25" s="42">
        <v>0</v>
      </c>
      <c r="G25" s="39">
        <f>+C25+E25-F25</f>
        <v>0</v>
      </c>
      <c r="H25" s="40" t="s">
        <v>1649</v>
      </c>
      <c r="I25" s="32">
        <v>0</v>
      </c>
      <c r="J25" s="32">
        <f>((G25-I25)*H25%)</f>
        <v>0</v>
      </c>
      <c r="K25" s="32">
        <f>I25+J25</f>
        <v>0</v>
      </c>
      <c r="L25" s="54">
        <f>(G25-K25)</f>
        <v>0</v>
      </c>
    </row>
    <row r="26" spans="2:12">
      <c r="B26" s="31"/>
      <c r="C26" s="32"/>
      <c r="D26" s="32"/>
      <c r="E26" s="32"/>
      <c r="F26" s="32"/>
      <c r="G26" s="39"/>
      <c r="H26" s="40"/>
      <c r="I26" s="56"/>
      <c r="J26" s="55"/>
      <c r="K26" s="32"/>
      <c r="L26" s="60"/>
    </row>
    <row r="27" spans="2:12" ht="15">
      <c r="B27" s="33" t="s">
        <v>1655</v>
      </c>
      <c r="C27" s="34">
        <f>SUM(C10:C26)</f>
        <v>10674185</v>
      </c>
      <c r="D27" s="34">
        <f>SUM(D10:D26)</f>
        <v>0</v>
      </c>
      <c r="E27" s="34">
        <f>SUM(E10:E26)</f>
        <v>1314200</v>
      </c>
      <c r="F27" s="34">
        <f>SUM(F10:F26)</f>
        <v>0</v>
      </c>
      <c r="G27" s="34">
        <f>SUM(G10:G26)</f>
        <v>11988385</v>
      </c>
      <c r="H27" s="43"/>
      <c r="I27" s="34">
        <f>SUM(I10:I26)</f>
        <v>315000</v>
      </c>
      <c r="J27" s="34">
        <f>SUM(J10:J26)</f>
        <v>1460096.65</v>
      </c>
      <c r="K27" s="34">
        <f>SUM(K10:K26)</f>
        <v>1775096.65</v>
      </c>
      <c r="L27" s="61">
        <f>SUM(L10:L26)</f>
        <v>10213288.35</v>
      </c>
    </row>
  </sheetData>
  <mergeCells count="5">
    <mergeCell ref="J5:L5"/>
    <mergeCell ref="C6:G6"/>
    <mergeCell ref="H6:K6"/>
    <mergeCell ref="E7:E8"/>
    <mergeCell ref="I7:I8"/>
  </mergeCells>
  <printOptions horizontalCentered="1"/>
  <pageMargins left="0" right="0" top="0" bottom="0" header="0" footer="0"/>
  <pageSetup paperSize="9" scale="73" fitToHeight="0" orientation="landscape"/>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2:H178"/>
  <sheetViews>
    <sheetView view="pageBreakPreview" zoomScale="98" zoomScaleNormal="100" workbookViewId="0"/>
  </sheetViews>
  <sheetFormatPr defaultColWidth="8.81640625" defaultRowHeight="14.5"/>
  <cols>
    <col min="1" max="1" width="30.54296875" customWidth="1"/>
    <col min="2" max="2" width="12.81640625" customWidth="1"/>
    <col min="3" max="3" width="11.54296875" customWidth="1"/>
    <col min="4" max="4" width="26.453125" customWidth="1"/>
    <col min="5" max="6" width="12.81640625" customWidth="1"/>
    <col min="8" max="8" width="10.1796875" customWidth="1"/>
  </cols>
  <sheetData>
    <row r="2" spans="1:5">
      <c r="A2" s="15" t="s">
        <v>1459</v>
      </c>
    </row>
    <row r="3" spans="1:5" ht="18">
      <c r="A3" s="16" t="s">
        <v>1656</v>
      </c>
    </row>
    <row r="4" spans="1:5">
      <c r="A4" s="15" t="s">
        <v>1657</v>
      </c>
    </row>
    <row r="5" spans="1:5">
      <c r="A5" s="17" t="s">
        <v>1578</v>
      </c>
      <c r="B5" s="17" t="s">
        <v>1658</v>
      </c>
      <c r="C5" s="17" t="s">
        <v>1659</v>
      </c>
      <c r="D5" s="17" t="s">
        <v>1660</v>
      </c>
    </row>
    <row r="6" spans="1:5">
      <c r="B6" s="17" t="s">
        <v>1661</v>
      </c>
    </row>
    <row r="7" spans="1:5">
      <c r="A7" s="17" t="s">
        <v>1464</v>
      </c>
    </row>
    <row r="8" spans="1:5">
      <c r="A8" s="17" t="s">
        <v>1017</v>
      </c>
    </row>
    <row r="9" spans="1:5">
      <c r="A9" s="18" t="s">
        <v>1465</v>
      </c>
      <c r="C9" s="17" t="s">
        <v>1050</v>
      </c>
      <c r="D9" s="19">
        <v>11316.47</v>
      </c>
      <c r="E9" s="18" t="s">
        <v>1662</v>
      </c>
    </row>
    <row r="10" spans="1:5">
      <c r="A10" s="18" t="s">
        <v>1663</v>
      </c>
      <c r="C10" s="17" t="s">
        <v>1050</v>
      </c>
      <c r="D10" s="19">
        <v>7465</v>
      </c>
      <c r="E10" s="18" t="s">
        <v>1664</v>
      </c>
    </row>
    <row r="11" spans="1:5">
      <c r="A11" s="18" t="s">
        <v>1017</v>
      </c>
      <c r="C11" s="17" t="s">
        <v>1050</v>
      </c>
      <c r="D11" s="19">
        <v>196904</v>
      </c>
      <c r="E11" s="18" t="s">
        <v>1665</v>
      </c>
    </row>
    <row r="12" spans="1:5">
      <c r="A12" s="17" t="s">
        <v>1467</v>
      </c>
    </row>
    <row r="13" spans="1:5">
      <c r="A13" s="18" t="s">
        <v>1468</v>
      </c>
      <c r="C13" s="17" t="s">
        <v>1050</v>
      </c>
      <c r="D13" s="19">
        <v>8080585</v>
      </c>
      <c r="E13" s="18" t="s">
        <v>1666</v>
      </c>
    </row>
    <row r="14" spans="1:5">
      <c r="A14" s="17" t="s">
        <v>1469</v>
      </c>
    </row>
    <row r="15" spans="1:5">
      <c r="A15" s="17" t="s">
        <v>1667</v>
      </c>
    </row>
    <row r="16" spans="1:5">
      <c r="A16" s="17" t="s">
        <v>685</v>
      </c>
    </row>
    <row r="17" spans="1:5">
      <c r="A17" s="18" t="s">
        <v>1668</v>
      </c>
      <c r="C17" s="19">
        <v>14577</v>
      </c>
      <c r="D17" s="17" t="s">
        <v>1050</v>
      </c>
      <c r="E17" s="18" t="s">
        <v>1669</v>
      </c>
    </row>
    <row r="18" spans="1:5">
      <c r="A18" s="18" t="s">
        <v>1670</v>
      </c>
      <c r="C18" s="19">
        <v>482954</v>
      </c>
      <c r="D18" s="17" t="s">
        <v>1050</v>
      </c>
      <c r="E18" s="18" t="s">
        <v>1671</v>
      </c>
    </row>
    <row r="19" spans="1:5">
      <c r="A19" s="18" t="s">
        <v>1672</v>
      </c>
    </row>
    <row r="20" spans="1:5">
      <c r="A20" s="17" t="s">
        <v>1673</v>
      </c>
    </row>
    <row r="21" spans="1:5">
      <c r="A21" s="18" t="s">
        <v>1479</v>
      </c>
      <c r="C21" s="19">
        <v>3750</v>
      </c>
      <c r="D21" s="17" t="s">
        <v>1050</v>
      </c>
      <c r="E21" s="18" t="s">
        <v>1674</v>
      </c>
    </row>
    <row r="22" spans="1:5">
      <c r="A22" s="18" t="s">
        <v>1481</v>
      </c>
      <c r="C22" s="19">
        <v>44333</v>
      </c>
      <c r="D22" s="17" t="s">
        <v>1050</v>
      </c>
      <c r="E22" s="18" t="s">
        <v>1675</v>
      </c>
    </row>
    <row r="23" spans="1:5">
      <c r="A23" s="18" t="s">
        <v>1482</v>
      </c>
      <c r="C23" s="19">
        <v>532743</v>
      </c>
      <c r="D23" s="17" t="s">
        <v>1050</v>
      </c>
      <c r="E23" s="18" t="s">
        <v>1676</v>
      </c>
    </row>
    <row r="24" spans="1:5">
      <c r="A24" s="17" t="s">
        <v>1677</v>
      </c>
    </row>
    <row r="25" spans="1:5">
      <c r="A25" s="18" t="s">
        <v>1483</v>
      </c>
      <c r="C25" s="19">
        <v>7479</v>
      </c>
      <c r="D25" s="17" t="s">
        <v>1050</v>
      </c>
      <c r="E25" s="18" t="s">
        <v>1678</v>
      </c>
    </row>
    <row r="26" spans="1:5">
      <c r="A26" s="18" t="s">
        <v>1484</v>
      </c>
      <c r="C26" s="19">
        <v>42095</v>
      </c>
      <c r="D26" s="17" t="s">
        <v>1050</v>
      </c>
      <c r="E26" s="18" t="s">
        <v>1679</v>
      </c>
    </row>
    <row r="27" spans="1:5">
      <c r="A27" s="18" t="s">
        <v>1485</v>
      </c>
      <c r="C27" s="19">
        <v>9161</v>
      </c>
      <c r="D27" s="17" t="s">
        <v>1050</v>
      </c>
      <c r="E27" s="18" t="s">
        <v>1680</v>
      </c>
    </row>
    <row r="28" spans="1:5">
      <c r="A28" s="18" t="s">
        <v>1486</v>
      </c>
      <c r="C28" s="19">
        <v>53100</v>
      </c>
      <c r="D28" s="17" t="s">
        <v>1050</v>
      </c>
      <c r="E28" s="18" t="s">
        <v>1681</v>
      </c>
    </row>
    <row r="29" spans="1:5">
      <c r="A29" s="18" t="s">
        <v>1682</v>
      </c>
      <c r="C29" s="19">
        <v>120677</v>
      </c>
      <c r="D29" s="17" t="s">
        <v>1050</v>
      </c>
      <c r="E29" s="18" t="s">
        <v>1683</v>
      </c>
    </row>
    <row r="30" spans="1:5">
      <c r="A30" s="18" t="s">
        <v>1487</v>
      </c>
      <c r="C30" s="19">
        <v>263008</v>
      </c>
      <c r="D30" s="17" t="s">
        <v>1050</v>
      </c>
      <c r="E30" s="18" t="s">
        <v>1684</v>
      </c>
    </row>
    <row r="31" spans="1:5">
      <c r="A31" s="18" t="s">
        <v>1488</v>
      </c>
      <c r="C31" s="19">
        <v>391313</v>
      </c>
      <c r="D31" s="17" t="s">
        <v>1050</v>
      </c>
      <c r="E31" s="18" t="s">
        <v>1685</v>
      </c>
    </row>
    <row r="32" spans="1:5">
      <c r="A32" s="18" t="s">
        <v>1686</v>
      </c>
      <c r="C32" s="19">
        <v>24378</v>
      </c>
      <c r="D32" s="17" t="s">
        <v>1050</v>
      </c>
      <c r="E32" s="18" t="s">
        <v>1687</v>
      </c>
    </row>
    <row r="33" spans="1:5">
      <c r="A33" s="18" t="s">
        <v>1688</v>
      </c>
    </row>
    <row r="34" spans="1:5">
      <c r="A34" s="18" t="s">
        <v>1489</v>
      </c>
      <c r="C34" s="19">
        <v>411993</v>
      </c>
      <c r="D34" s="17" t="s">
        <v>1050</v>
      </c>
      <c r="E34" s="18" t="s">
        <v>1689</v>
      </c>
    </row>
    <row r="35" spans="1:5">
      <c r="A35" s="18" t="s">
        <v>1490</v>
      </c>
      <c r="C35" s="19">
        <v>528167</v>
      </c>
      <c r="D35" s="17" t="s">
        <v>1050</v>
      </c>
      <c r="E35" s="18" t="s">
        <v>1690</v>
      </c>
    </row>
    <row r="36" spans="1:5">
      <c r="A36" s="18" t="s">
        <v>1491</v>
      </c>
      <c r="C36" s="19">
        <v>294634</v>
      </c>
      <c r="D36" s="17" t="s">
        <v>1050</v>
      </c>
      <c r="E36" s="18" t="s">
        <v>1691</v>
      </c>
    </row>
    <row r="37" spans="1:5">
      <c r="A37" s="17" t="s">
        <v>1692</v>
      </c>
    </row>
    <row r="38" spans="1:5">
      <c r="A38" s="18" t="s">
        <v>1492</v>
      </c>
      <c r="C38" s="19">
        <v>185819</v>
      </c>
      <c r="D38" s="17" t="s">
        <v>1050</v>
      </c>
      <c r="E38" s="18" t="s">
        <v>1693</v>
      </c>
    </row>
    <row r="39" spans="1:5">
      <c r="A39" s="18" t="s">
        <v>1493</v>
      </c>
      <c r="C39" s="19">
        <v>140894</v>
      </c>
      <c r="D39" s="17" t="s">
        <v>1050</v>
      </c>
      <c r="E39" s="18" t="s">
        <v>1694</v>
      </c>
    </row>
    <row r="40" spans="1:5">
      <c r="A40" s="17" t="s">
        <v>1695</v>
      </c>
    </row>
    <row r="41" spans="1:5">
      <c r="A41" s="18" t="s">
        <v>1495</v>
      </c>
      <c r="C41" s="19">
        <v>4030000</v>
      </c>
      <c r="D41" s="17" t="s">
        <v>1050</v>
      </c>
      <c r="E41" s="18" t="s">
        <v>1696</v>
      </c>
    </row>
    <row r="42" spans="1:5">
      <c r="A42" s="17" t="s">
        <v>1697</v>
      </c>
    </row>
    <row r="43" spans="1:5">
      <c r="A43" s="18" t="s">
        <v>1698</v>
      </c>
      <c r="C43" s="19">
        <v>146940</v>
      </c>
      <c r="D43" s="17" t="s">
        <v>1050</v>
      </c>
      <c r="E43" s="18" t="s">
        <v>1699</v>
      </c>
    </row>
    <row r="44" spans="1:5">
      <c r="A44" s="18" t="s">
        <v>1700</v>
      </c>
    </row>
    <row r="45" spans="1:5">
      <c r="A45" s="18" t="s">
        <v>1497</v>
      </c>
      <c r="C45" s="19">
        <v>1426847</v>
      </c>
      <c r="D45" s="17" t="s">
        <v>1050</v>
      </c>
      <c r="E45" s="18" t="s">
        <v>1701</v>
      </c>
    </row>
    <row r="46" spans="1:5">
      <c r="A46" s="18" t="s">
        <v>1702</v>
      </c>
    </row>
    <row r="47" spans="1:5">
      <c r="A47" s="18" t="s">
        <v>1703</v>
      </c>
    </row>
    <row r="49" spans="1:5">
      <c r="A49" s="15" t="s">
        <v>1459</v>
      </c>
    </row>
    <row r="50" spans="1:5" ht="18">
      <c r="A50" s="16" t="s">
        <v>1656</v>
      </c>
    </row>
    <row r="51" spans="1:5">
      <c r="A51" s="15" t="s">
        <v>1657</v>
      </c>
    </row>
    <row r="52" spans="1:5">
      <c r="A52" s="17" t="s">
        <v>1578</v>
      </c>
      <c r="B52" s="17" t="s">
        <v>1658</v>
      </c>
      <c r="C52" s="17" t="s">
        <v>1659</v>
      </c>
      <c r="D52" s="17" t="s">
        <v>1660</v>
      </c>
    </row>
    <row r="53" spans="1:5">
      <c r="B53" s="17" t="s">
        <v>1661</v>
      </c>
    </row>
    <row r="54" spans="1:5">
      <c r="A54" s="18" t="s">
        <v>1498</v>
      </c>
      <c r="C54" s="19">
        <v>40870</v>
      </c>
      <c r="D54" s="17" t="s">
        <v>1050</v>
      </c>
      <c r="E54" s="18" t="s">
        <v>1704</v>
      </c>
    </row>
    <row r="55" spans="1:5">
      <c r="A55" s="17" t="s">
        <v>1705</v>
      </c>
    </row>
    <row r="56" spans="1:5">
      <c r="A56" s="18" t="s">
        <v>1706</v>
      </c>
      <c r="C56" s="19">
        <v>13125</v>
      </c>
      <c r="D56" s="17" t="s">
        <v>1050</v>
      </c>
      <c r="E56" s="18" t="s">
        <v>1707</v>
      </c>
    </row>
    <row r="57" spans="1:5">
      <c r="A57" s="18" t="s">
        <v>1708</v>
      </c>
      <c r="C57" s="19">
        <v>62400</v>
      </c>
      <c r="D57" s="17" t="s">
        <v>1050</v>
      </c>
      <c r="E57" s="18" t="s">
        <v>1709</v>
      </c>
    </row>
    <row r="58" spans="1:5">
      <c r="A58" s="18" t="s">
        <v>1500</v>
      </c>
      <c r="C58" s="19">
        <v>185734</v>
      </c>
      <c r="D58" s="17" t="s">
        <v>1050</v>
      </c>
      <c r="E58" s="18" t="s">
        <v>1710</v>
      </c>
    </row>
    <row r="59" spans="1:5">
      <c r="A59" s="18" t="s">
        <v>1711</v>
      </c>
      <c r="C59" s="19">
        <v>390325</v>
      </c>
      <c r="D59" s="17" t="s">
        <v>1050</v>
      </c>
      <c r="E59" s="18" t="s">
        <v>1712</v>
      </c>
    </row>
    <row r="60" spans="1:5">
      <c r="A60" s="18" t="s">
        <v>1713</v>
      </c>
    </row>
    <row r="61" spans="1:5">
      <c r="A61" s="18" t="s">
        <v>1503</v>
      </c>
      <c r="C61" s="19">
        <v>5697844</v>
      </c>
      <c r="D61" s="17" t="s">
        <v>1050</v>
      </c>
      <c r="E61" s="18" t="s">
        <v>1714</v>
      </c>
    </row>
    <row r="62" spans="1:5">
      <c r="A62" s="18" t="s">
        <v>1504</v>
      </c>
      <c r="C62" s="19">
        <v>6250632</v>
      </c>
      <c r="D62" s="17" t="s">
        <v>1050</v>
      </c>
      <c r="E62" s="18" t="s">
        <v>1715</v>
      </c>
    </row>
    <row r="63" spans="1:5">
      <c r="A63" s="17" t="s">
        <v>1019</v>
      </c>
    </row>
    <row r="64" spans="1:5">
      <c r="A64" s="18" t="s">
        <v>1716</v>
      </c>
      <c r="C64" s="19">
        <v>76990</v>
      </c>
      <c r="D64" s="17" t="s">
        <v>1050</v>
      </c>
      <c r="E64" s="18" t="s">
        <v>1717</v>
      </c>
    </row>
    <row r="65" spans="1:5">
      <c r="A65" s="17" t="s">
        <v>1718</v>
      </c>
    </row>
    <row r="66" spans="1:5">
      <c r="A66" s="18" t="s">
        <v>1719</v>
      </c>
      <c r="C66" s="19">
        <v>246506</v>
      </c>
      <c r="D66" s="17" t="s">
        <v>1050</v>
      </c>
      <c r="E66" s="18" t="s">
        <v>1720</v>
      </c>
    </row>
    <row r="67" spans="1:5">
      <c r="A67" s="18" t="s">
        <v>1721</v>
      </c>
      <c r="C67" s="19">
        <v>713269</v>
      </c>
      <c r="D67" s="17" t="s">
        <v>1050</v>
      </c>
      <c r="E67" s="18" t="s">
        <v>1722</v>
      </c>
    </row>
    <row r="68" spans="1:5">
      <c r="A68" s="18" t="s">
        <v>1723</v>
      </c>
    </row>
    <row r="69" spans="1:5">
      <c r="A69" s="17" t="s">
        <v>1294</v>
      </c>
    </row>
    <row r="70" spans="1:5">
      <c r="A70" s="18" t="s">
        <v>1511</v>
      </c>
      <c r="C70" s="19">
        <v>3515397</v>
      </c>
      <c r="D70" s="17" t="s">
        <v>1050</v>
      </c>
      <c r="E70" s="18" t="s">
        <v>1724</v>
      </c>
    </row>
    <row r="71" spans="1:5">
      <c r="A71" s="18" t="s">
        <v>1512</v>
      </c>
      <c r="C71" s="19">
        <v>446305</v>
      </c>
      <c r="D71" s="17" t="s">
        <v>1050</v>
      </c>
      <c r="E71" s="18" t="s">
        <v>1725</v>
      </c>
    </row>
    <row r="72" spans="1:5">
      <c r="A72" s="18" t="s">
        <v>1513</v>
      </c>
      <c r="C72" s="19">
        <v>596160</v>
      </c>
      <c r="D72" s="17" t="s">
        <v>1050</v>
      </c>
      <c r="E72" s="18" t="s">
        <v>1726</v>
      </c>
    </row>
    <row r="73" spans="1:5">
      <c r="A73" s="18" t="s">
        <v>1514</v>
      </c>
      <c r="C73" s="19">
        <v>108123.5</v>
      </c>
      <c r="D73" s="17" t="s">
        <v>1050</v>
      </c>
      <c r="E73" s="18" t="s">
        <v>1727</v>
      </c>
    </row>
    <row r="74" spans="1:5">
      <c r="A74" s="18" t="s">
        <v>1515</v>
      </c>
      <c r="C74" s="19">
        <v>248801.5</v>
      </c>
      <c r="D74" s="17" t="s">
        <v>1050</v>
      </c>
      <c r="E74" s="18" t="s">
        <v>1728</v>
      </c>
    </row>
    <row r="75" spans="1:5">
      <c r="A75" s="18" t="s">
        <v>1516</v>
      </c>
      <c r="C75" s="19">
        <v>1900</v>
      </c>
      <c r="D75" s="17" t="s">
        <v>1050</v>
      </c>
      <c r="E75" s="18" t="s">
        <v>1729</v>
      </c>
    </row>
    <row r="76" spans="1:5">
      <c r="A76" s="18" t="s">
        <v>1517</v>
      </c>
      <c r="C76" s="19">
        <v>73081</v>
      </c>
      <c r="D76" s="17" t="s">
        <v>1050</v>
      </c>
      <c r="E76" s="18" t="s">
        <v>1730</v>
      </c>
    </row>
    <row r="77" spans="1:5">
      <c r="A77" s="18" t="s">
        <v>1518</v>
      </c>
      <c r="C77" s="19">
        <v>59854</v>
      </c>
      <c r="D77" s="17" t="s">
        <v>1050</v>
      </c>
      <c r="E77" s="18" t="s">
        <v>1731</v>
      </c>
    </row>
    <row r="78" spans="1:5">
      <c r="A78" s="17" t="s">
        <v>874</v>
      </c>
    </row>
    <row r="79" spans="1:5">
      <c r="A79" s="18" t="s">
        <v>1519</v>
      </c>
      <c r="C79" s="19">
        <v>5765764.6299999999</v>
      </c>
      <c r="D79" s="17" t="s">
        <v>1050</v>
      </c>
      <c r="E79" s="18" t="s">
        <v>1732</v>
      </c>
    </row>
    <row r="80" spans="1:5">
      <c r="A80" s="17" t="s">
        <v>1301</v>
      </c>
    </row>
    <row r="81" spans="1:5">
      <c r="A81" s="18" t="s">
        <v>1521</v>
      </c>
      <c r="C81" s="19">
        <v>16253</v>
      </c>
      <c r="D81" s="17" t="s">
        <v>1050</v>
      </c>
      <c r="E81" s="18" t="s">
        <v>1733</v>
      </c>
    </row>
    <row r="82" spans="1:5">
      <c r="A82" s="18" t="s">
        <v>1522</v>
      </c>
      <c r="C82" s="19">
        <v>71192.72</v>
      </c>
      <c r="D82" s="17" t="s">
        <v>1050</v>
      </c>
      <c r="E82" s="18" t="s">
        <v>1734</v>
      </c>
    </row>
    <row r="83" spans="1:5">
      <c r="A83" s="17" t="s">
        <v>1735</v>
      </c>
    </row>
    <row r="84" spans="1:5">
      <c r="A84" s="18" t="s">
        <v>1523</v>
      </c>
      <c r="C84" s="19">
        <v>352500</v>
      </c>
      <c r="D84" s="19">
        <v>352500</v>
      </c>
      <c r="E84" s="18" t="s">
        <v>1050</v>
      </c>
    </row>
    <row r="85" spans="1:5">
      <c r="A85" s="18" t="s">
        <v>1736</v>
      </c>
      <c r="C85" s="19">
        <v>10726</v>
      </c>
      <c r="D85" s="19">
        <v>10726</v>
      </c>
      <c r="E85" s="18" t="s">
        <v>1050</v>
      </c>
    </row>
    <row r="86" spans="1:5">
      <c r="A86" s="18" t="s">
        <v>1737</v>
      </c>
      <c r="C86" s="19">
        <v>96813</v>
      </c>
      <c r="D86" s="19">
        <v>96813</v>
      </c>
      <c r="E86" s="18" t="s">
        <v>1050</v>
      </c>
    </row>
    <row r="87" spans="1:5">
      <c r="A87" s="18" t="s">
        <v>1738</v>
      </c>
      <c r="C87" s="19">
        <v>72340</v>
      </c>
      <c r="D87" s="19">
        <v>72340</v>
      </c>
      <c r="E87" s="18" t="s">
        <v>1050</v>
      </c>
    </row>
    <row r="88" spans="1:5">
      <c r="A88" s="18" t="s">
        <v>1739</v>
      </c>
      <c r="C88" s="19">
        <v>57000</v>
      </c>
      <c r="D88" s="19">
        <v>57000</v>
      </c>
      <c r="E88" s="18" t="s">
        <v>1050</v>
      </c>
    </row>
    <row r="89" spans="1:5">
      <c r="A89" s="18" t="s">
        <v>1740</v>
      </c>
      <c r="C89" s="19">
        <v>27027</v>
      </c>
      <c r="D89" s="19">
        <v>27027</v>
      </c>
      <c r="E89" s="18" t="s">
        <v>1050</v>
      </c>
    </row>
    <row r="90" spans="1:5">
      <c r="A90" s="18" t="s">
        <v>1524</v>
      </c>
      <c r="C90" s="19">
        <v>213129</v>
      </c>
      <c r="D90" s="19">
        <v>213129</v>
      </c>
      <c r="E90" s="18" t="s">
        <v>1050</v>
      </c>
    </row>
    <row r="91" spans="1:5">
      <c r="A91" s="18" t="s">
        <v>1741</v>
      </c>
      <c r="C91" s="19">
        <v>2672</v>
      </c>
      <c r="D91" s="19">
        <v>2672</v>
      </c>
      <c r="E91" s="18" t="s">
        <v>1050</v>
      </c>
    </row>
    <row r="92" spans="1:5">
      <c r="A92" s="17" t="s">
        <v>1742</v>
      </c>
    </row>
    <row r="93" spans="1:5">
      <c r="A93" s="18" t="s">
        <v>1743</v>
      </c>
    </row>
    <row r="95" spans="1:5">
      <c r="A95" s="15" t="s">
        <v>1459</v>
      </c>
    </row>
    <row r="96" spans="1:5" ht="18">
      <c r="A96" s="16" t="s">
        <v>1656</v>
      </c>
    </row>
    <row r="97" spans="1:5">
      <c r="A97" s="15" t="s">
        <v>1657</v>
      </c>
    </row>
    <row r="98" spans="1:5">
      <c r="A98" s="17" t="s">
        <v>1578</v>
      </c>
      <c r="B98" s="17" t="s">
        <v>1658</v>
      </c>
      <c r="C98" s="17" t="s">
        <v>1659</v>
      </c>
      <c r="D98" s="17" t="s">
        <v>1660</v>
      </c>
    </row>
    <row r="99" spans="1:5">
      <c r="B99" s="17" t="s">
        <v>1661</v>
      </c>
    </row>
    <row r="100" spans="1:5">
      <c r="A100" s="17" t="s">
        <v>1744</v>
      </c>
    </row>
    <row r="101" spans="1:5">
      <c r="A101" s="18" t="s">
        <v>1745</v>
      </c>
      <c r="C101" s="19">
        <v>42295</v>
      </c>
      <c r="D101" s="17" t="s">
        <v>1050</v>
      </c>
      <c r="E101" s="18" t="s">
        <v>1746</v>
      </c>
    </row>
    <row r="102" spans="1:5">
      <c r="A102" s="18" t="s">
        <v>1526</v>
      </c>
      <c r="C102" s="19">
        <v>59705.02</v>
      </c>
      <c r="D102" s="17" t="s">
        <v>1050</v>
      </c>
      <c r="E102" s="18" t="s">
        <v>1747</v>
      </c>
    </row>
    <row r="103" spans="1:5">
      <c r="A103" s="18" t="s">
        <v>1528</v>
      </c>
      <c r="C103" s="19">
        <v>342399.8</v>
      </c>
      <c r="D103" s="17" t="s">
        <v>1050</v>
      </c>
      <c r="E103" s="18" t="s">
        <v>1748</v>
      </c>
    </row>
    <row r="104" spans="1:5">
      <c r="A104" s="17" t="s">
        <v>1749</v>
      </c>
    </row>
    <row r="105" spans="1:5">
      <c r="A105" s="18" t="s">
        <v>1750</v>
      </c>
      <c r="C105" s="19">
        <v>338455</v>
      </c>
      <c r="D105" s="17" t="s">
        <v>1050</v>
      </c>
      <c r="E105" s="18" t="s">
        <v>1751</v>
      </c>
    </row>
    <row r="106" spans="1:5">
      <c r="A106" s="18" t="s">
        <v>1752</v>
      </c>
    </row>
    <row r="107" spans="1:5">
      <c r="A107" s="18" t="s">
        <v>1753</v>
      </c>
      <c r="C107" s="19">
        <v>439624</v>
      </c>
      <c r="D107" s="19">
        <v>10515</v>
      </c>
      <c r="E107" s="18" t="s">
        <v>1754</v>
      </c>
    </row>
    <row r="108" spans="1:5">
      <c r="A108" s="18" t="s">
        <v>1755</v>
      </c>
    </row>
    <row r="109" spans="1:5">
      <c r="A109" s="18" t="s">
        <v>1756</v>
      </c>
      <c r="C109" s="19">
        <v>716824</v>
      </c>
      <c r="D109" s="19">
        <v>205000</v>
      </c>
      <c r="E109" s="18" t="s">
        <v>1757</v>
      </c>
    </row>
    <row r="110" spans="1:5">
      <c r="A110" s="18" t="s">
        <v>1758</v>
      </c>
    </row>
    <row r="111" spans="1:5">
      <c r="A111" s="17" t="s">
        <v>1759</v>
      </c>
    </row>
    <row r="112" spans="1:5">
      <c r="A112" s="18" t="s">
        <v>1760</v>
      </c>
      <c r="C112" s="19">
        <v>142496</v>
      </c>
      <c r="D112" s="17" t="s">
        <v>1050</v>
      </c>
      <c r="E112" s="18" t="s">
        <v>1761</v>
      </c>
    </row>
    <row r="113" spans="1:8">
      <c r="A113" s="18" t="s">
        <v>1530</v>
      </c>
      <c r="C113" s="19">
        <v>154796</v>
      </c>
      <c r="D113" s="17" t="s">
        <v>1050</v>
      </c>
      <c r="E113" s="18" t="s">
        <v>1762</v>
      </c>
    </row>
    <row r="114" spans="1:8">
      <c r="A114" s="17" t="s">
        <v>1763</v>
      </c>
      <c r="D114" s="19">
        <v>27460198.699999999</v>
      </c>
    </row>
    <row r="115" spans="1:8">
      <c r="A115" s="17" t="s">
        <v>1532</v>
      </c>
    </row>
    <row r="116" spans="1:8">
      <c r="A116" s="17" t="s">
        <v>1764</v>
      </c>
    </row>
    <row r="117" spans="1:8">
      <c r="A117" s="17" t="s">
        <v>1765</v>
      </c>
    </row>
    <row r="118" spans="1:8">
      <c r="A118" s="18" t="s">
        <v>1547</v>
      </c>
      <c r="B118" s="18" t="s">
        <v>1766</v>
      </c>
      <c r="C118" s="19">
        <v>364577</v>
      </c>
      <c r="D118" s="17" t="s">
        <v>1050</v>
      </c>
      <c r="E118" s="18" t="s">
        <v>1767</v>
      </c>
      <c r="F118" s="18" t="s">
        <v>1768</v>
      </c>
    </row>
    <row r="119" spans="1:8">
      <c r="A119" s="18" t="s">
        <v>1548</v>
      </c>
      <c r="B119" s="18" t="s">
        <v>1769</v>
      </c>
      <c r="C119" s="19">
        <v>8695670.8699999992</v>
      </c>
      <c r="D119" s="19">
        <v>8047937.5</v>
      </c>
      <c r="E119" s="18" t="s">
        <v>1770</v>
      </c>
      <c r="F119" s="18" t="s">
        <v>1771</v>
      </c>
    </row>
    <row r="120" spans="1:8">
      <c r="A120" s="17" t="s">
        <v>1772</v>
      </c>
    </row>
    <row r="121" spans="1:8">
      <c r="A121" s="18" t="s">
        <v>1773</v>
      </c>
      <c r="B121" s="18" t="s">
        <v>1774</v>
      </c>
      <c r="C121" s="19">
        <v>875210.7</v>
      </c>
      <c r="D121" s="19">
        <v>482762</v>
      </c>
      <c r="E121" s="18" t="s">
        <v>1775</v>
      </c>
      <c r="F121" s="18" t="s">
        <v>1776</v>
      </c>
    </row>
    <row r="122" spans="1:8">
      <c r="A122" s="18" t="s">
        <v>1777</v>
      </c>
      <c r="B122" s="18" t="s">
        <v>1778</v>
      </c>
      <c r="C122" s="19">
        <v>1697.46</v>
      </c>
      <c r="D122" s="19">
        <v>7698</v>
      </c>
      <c r="E122" s="18" t="s">
        <v>1779</v>
      </c>
      <c r="F122" s="18" t="s">
        <v>1780</v>
      </c>
      <c r="G122" s="20">
        <f>D122+D124</f>
        <v>86543</v>
      </c>
      <c r="H122" s="20">
        <v>16738.91</v>
      </c>
    </row>
    <row r="123" spans="1:8">
      <c r="A123" s="18" t="s">
        <v>1781</v>
      </c>
      <c r="B123" s="18" t="s">
        <v>1050</v>
      </c>
      <c r="C123" s="19">
        <v>8000</v>
      </c>
      <c r="D123" s="17" t="s">
        <v>1050</v>
      </c>
      <c r="E123" s="18" t="s">
        <v>1782</v>
      </c>
      <c r="F123" s="18" t="s">
        <v>1782</v>
      </c>
      <c r="H123" s="20">
        <v>8000</v>
      </c>
    </row>
    <row r="124" spans="1:8">
      <c r="A124" s="18" t="s">
        <v>1783</v>
      </c>
      <c r="B124" s="18" t="s">
        <v>1784</v>
      </c>
      <c r="C124" s="19">
        <v>449759</v>
      </c>
      <c r="D124" s="19">
        <v>78845</v>
      </c>
      <c r="E124" s="18" t="s">
        <v>1785</v>
      </c>
      <c r="F124" s="18" t="s">
        <v>1786</v>
      </c>
      <c r="H124" s="20">
        <v>449759</v>
      </c>
    </row>
    <row r="125" spans="1:8">
      <c r="A125" s="17" t="s">
        <v>1787</v>
      </c>
      <c r="H125" s="20">
        <f>SUM(H122:H124)</f>
        <v>474497.91</v>
      </c>
    </row>
    <row r="126" spans="1:8">
      <c r="A126" s="18" t="s">
        <v>1533</v>
      </c>
      <c r="B126" s="18" t="s">
        <v>1050</v>
      </c>
      <c r="C126" s="19">
        <v>1833423</v>
      </c>
      <c r="D126" s="19">
        <v>1833423</v>
      </c>
      <c r="E126" s="18" t="s">
        <v>1050</v>
      </c>
      <c r="F126" s="18" t="s">
        <v>1050</v>
      </c>
    </row>
    <row r="127" spans="1:8">
      <c r="A127" s="18" t="s">
        <v>1534</v>
      </c>
      <c r="B127" s="18" t="s">
        <v>1788</v>
      </c>
      <c r="C127" s="19">
        <v>187772</v>
      </c>
      <c r="D127" s="19">
        <v>221243</v>
      </c>
      <c r="E127" s="18" t="s">
        <v>1789</v>
      </c>
      <c r="F127" s="18" t="s">
        <v>1790</v>
      </c>
    </row>
    <row r="128" spans="1:8">
      <c r="A128" s="17" t="s">
        <v>1791</v>
      </c>
    </row>
    <row r="129" spans="1:6">
      <c r="A129" s="18" t="s">
        <v>719</v>
      </c>
      <c r="B129" s="18" t="s">
        <v>1792</v>
      </c>
      <c r="C129" s="19">
        <v>56465032.850000001</v>
      </c>
      <c r="D129" s="19">
        <v>56888432.469999999</v>
      </c>
      <c r="E129" s="18" t="s">
        <v>1793</v>
      </c>
      <c r="F129" s="18" t="s">
        <v>1794</v>
      </c>
    </row>
    <row r="130" spans="1:6">
      <c r="A130" s="18" t="s">
        <v>1535</v>
      </c>
      <c r="B130" s="18" t="s">
        <v>1795</v>
      </c>
      <c r="C130" s="19">
        <v>8270469</v>
      </c>
      <c r="D130" s="19">
        <v>8107186</v>
      </c>
      <c r="E130" s="18" t="s">
        <v>1796</v>
      </c>
      <c r="F130" s="18" t="s">
        <v>1797</v>
      </c>
    </row>
    <row r="131" spans="1:6">
      <c r="A131" s="17" t="s">
        <v>1798</v>
      </c>
    </row>
    <row r="132" spans="1:6">
      <c r="A132" s="18" t="s">
        <v>1536</v>
      </c>
      <c r="B132" s="18" t="s">
        <v>1799</v>
      </c>
      <c r="C132" s="19">
        <v>9088203</v>
      </c>
      <c r="D132" s="19">
        <v>8962205.6099999994</v>
      </c>
      <c r="E132" s="18" t="s">
        <v>1800</v>
      </c>
      <c r="F132" s="18" t="s">
        <v>1801</v>
      </c>
    </row>
    <row r="133" spans="1:6">
      <c r="A133" s="18" t="s">
        <v>1537</v>
      </c>
      <c r="B133" s="18" t="s">
        <v>1802</v>
      </c>
      <c r="C133" s="19">
        <v>350836</v>
      </c>
      <c r="D133" s="19">
        <v>362835</v>
      </c>
      <c r="E133" s="18" t="s">
        <v>1803</v>
      </c>
      <c r="F133" s="18" t="s">
        <v>1804</v>
      </c>
    </row>
    <row r="134" spans="1:6">
      <c r="A134" s="18" t="s">
        <v>1538</v>
      </c>
      <c r="B134" s="18" t="s">
        <v>1050</v>
      </c>
      <c r="C134" s="19">
        <v>836400</v>
      </c>
      <c r="D134" s="19">
        <v>836400</v>
      </c>
      <c r="E134" s="18" t="s">
        <v>1050</v>
      </c>
      <c r="F134" s="18" t="s">
        <v>1050</v>
      </c>
    </row>
    <row r="135" spans="1:6">
      <c r="A135" s="17" t="s">
        <v>1805</v>
      </c>
    </row>
    <row r="136" spans="1:6">
      <c r="A136" s="17" t="s">
        <v>1806</v>
      </c>
    </row>
    <row r="137" spans="1:6">
      <c r="A137" s="18" t="s">
        <v>1088</v>
      </c>
      <c r="B137" s="18" t="s">
        <v>1807</v>
      </c>
      <c r="C137" s="19">
        <v>1056000</v>
      </c>
      <c r="D137" s="17" t="s">
        <v>1050</v>
      </c>
      <c r="E137" s="18" t="s">
        <v>1808</v>
      </c>
      <c r="F137" s="18" t="s">
        <v>1809</v>
      </c>
    </row>
    <row r="138" spans="1:6">
      <c r="A138" s="18" t="s">
        <v>1810</v>
      </c>
    </row>
    <row r="140" spans="1:6">
      <c r="A140" s="15" t="s">
        <v>1459</v>
      </c>
    </row>
    <row r="141" spans="1:6" ht="18">
      <c r="A141" s="16" t="s">
        <v>1656</v>
      </c>
    </row>
    <row r="142" spans="1:6">
      <c r="A142" s="15" t="s">
        <v>1657</v>
      </c>
    </row>
    <row r="143" spans="1:6">
      <c r="A143" s="17" t="s">
        <v>1578</v>
      </c>
      <c r="B143" s="17" t="s">
        <v>1658</v>
      </c>
      <c r="C143" s="17" t="s">
        <v>1659</v>
      </c>
      <c r="D143" s="17" t="s">
        <v>1660</v>
      </c>
    </row>
    <row r="144" spans="1:6">
      <c r="B144" s="17" t="s">
        <v>1661</v>
      </c>
    </row>
    <row r="145" spans="1:6">
      <c r="A145" s="18" t="s">
        <v>1811</v>
      </c>
      <c r="B145" s="18" t="s">
        <v>1812</v>
      </c>
      <c r="C145" s="17" t="s">
        <v>1050</v>
      </c>
      <c r="D145" s="17" t="s">
        <v>1050</v>
      </c>
      <c r="E145" s="18" t="s">
        <v>1050</v>
      </c>
      <c r="F145" s="18" t="s">
        <v>1812</v>
      </c>
    </row>
    <row r="146" spans="1:6">
      <c r="A146" s="18" t="s">
        <v>1813</v>
      </c>
    </row>
    <row r="147" spans="1:6">
      <c r="A147" s="17" t="s">
        <v>1814</v>
      </c>
    </row>
    <row r="148" spans="1:6">
      <c r="A148" s="18" t="s">
        <v>1815</v>
      </c>
      <c r="B148" s="18" t="s">
        <v>1816</v>
      </c>
      <c r="C148" s="19">
        <v>339000</v>
      </c>
      <c r="D148" s="17" t="s">
        <v>1050</v>
      </c>
      <c r="E148" s="18" t="s">
        <v>1817</v>
      </c>
      <c r="F148" s="18" t="s">
        <v>1818</v>
      </c>
    </row>
    <row r="149" spans="1:6">
      <c r="A149" s="17" t="s">
        <v>1819</v>
      </c>
    </row>
    <row r="150" spans="1:6">
      <c r="A150" s="18" t="s">
        <v>1551</v>
      </c>
      <c r="B150" s="18" t="s">
        <v>1820</v>
      </c>
      <c r="C150" s="19">
        <v>11505517</v>
      </c>
      <c r="D150" s="19">
        <v>1375118</v>
      </c>
      <c r="E150" s="18" t="s">
        <v>1821</v>
      </c>
      <c r="F150" s="18" t="s">
        <v>1822</v>
      </c>
    </row>
    <row r="151" spans="1:6">
      <c r="A151" s="18" t="s">
        <v>1823</v>
      </c>
      <c r="B151" s="18" t="s">
        <v>1824</v>
      </c>
      <c r="C151" s="17" t="s">
        <v>1050</v>
      </c>
      <c r="D151" s="17" t="s">
        <v>1050</v>
      </c>
      <c r="E151" s="18" t="s">
        <v>1050</v>
      </c>
      <c r="F151" s="18" t="s">
        <v>1824</v>
      </c>
    </row>
    <row r="152" spans="1:6">
      <c r="A152" s="18" t="s">
        <v>1825</v>
      </c>
    </row>
    <row r="153" spans="1:6">
      <c r="A153" s="17" t="s">
        <v>1553</v>
      </c>
    </row>
    <row r="154" spans="1:6">
      <c r="A154" s="17" t="s">
        <v>1826</v>
      </c>
    </row>
    <row r="155" spans="1:6">
      <c r="A155" s="17" t="s">
        <v>344</v>
      </c>
    </row>
    <row r="156" spans="1:6">
      <c r="A156" s="18" t="s">
        <v>1827</v>
      </c>
      <c r="B156" s="18" t="s">
        <v>1050</v>
      </c>
      <c r="C156" s="19">
        <v>3543523</v>
      </c>
      <c r="D156" s="19">
        <v>3834818</v>
      </c>
      <c r="E156" s="18" t="s">
        <v>1828</v>
      </c>
      <c r="F156" s="18" t="s">
        <v>1828</v>
      </c>
    </row>
    <row r="157" spans="1:6">
      <c r="A157" s="18" t="s">
        <v>1555</v>
      </c>
      <c r="B157" s="18" t="s">
        <v>1829</v>
      </c>
      <c r="C157" s="19">
        <v>75000</v>
      </c>
      <c r="D157" s="17" t="s">
        <v>1050</v>
      </c>
      <c r="E157" s="18" t="s">
        <v>1830</v>
      </c>
      <c r="F157" s="18" t="s">
        <v>1050</v>
      </c>
    </row>
    <row r="158" spans="1:6">
      <c r="A158" s="18" t="s">
        <v>1831</v>
      </c>
      <c r="B158" s="18" t="s">
        <v>1050</v>
      </c>
      <c r="C158" s="19">
        <v>653500</v>
      </c>
      <c r="D158" s="19">
        <v>653500</v>
      </c>
      <c r="E158" s="18" t="s">
        <v>1050</v>
      </c>
      <c r="F158" s="18" t="s">
        <v>1050</v>
      </c>
    </row>
    <row r="159" spans="1:6">
      <c r="A159" s="18" t="s">
        <v>1556</v>
      </c>
      <c r="B159" s="18" t="s">
        <v>1832</v>
      </c>
      <c r="C159" s="19">
        <v>279017</v>
      </c>
      <c r="D159" s="19">
        <v>1032992</v>
      </c>
      <c r="E159" s="18" t="s">
        <v>1833</v>
      </c>
      <c r="F159" s="18" t="s">
        <v>1834</v>
      </c>
    </row>
    <row r="160" spans="1:6">
      <c r="A160" s="18" t="s">
        <v>1557</v>
      </c>
      <c r="B160" s="18" t="s">
        <v>1050</v>
      </c>
      <c r="C160" s="19">
        <v>11112076</v>
      </c>
      <c r="D160" s="19">
        <v>11756795</v>
      </c>
      <c r="E160" s="18" t="s">
        <v>1835</v>
      </c>
      <c r="F160" s="18" t="s">
        <v>1835</v>
      </c>
    </row>
    <row r="161" spans="1:6">
      <c r="A161" s="17" t="s">
        <v>1836</v>
      </c>
    </row>
    <row r="162" spans="1:6">
      <c r="A162" s="18" t="s">
        <v>1559</v>
      </c>
      <c r="B162" s="18" t="s">
        <v>1837</v>
      </c>
      <c r="C162" s="19">
        <v>958788</v>
      </c>
      <c r="D162" s="19">
        <v>40316999</v>
      </c>
      <c r="E162" s="18" t="s">
        <v>1838</v>
      </c>
      <c r="F162" s="18" t="s">
        <v>1839</v>
      </c>
    </row>
    <row r="163" spans="1:6">
      <c r="A163" s="18" t="s">
        <v>1840</v>
      </c>
      <c r="B163" s="18" t="s">
        <v>1050</v>
      </c>
      <c r="C163" s="19">
        <v>851345</v>
      </c>
      <c r="D163" s="19">
        <v>851345</v>
      </c>
      <c r="E163" s="18" t="s">
        <v>1050</v>
      </c>
      <c r="F163" s="18" t="s">
        <v>1050</v>
      </c>
    </row>
    <row r="164" spans="1:6">
      <c r="A164" s="18" t="s">
        <v>1841</v>
      </c>
    </row>
    <row r="165" spans="1:6">
      <c r="A165" s="18" t="s">
        <v>1560</v>
      </c>
      <c r="B165" s="18" t="s">
        <v>1050</v>
      </c>
      <c r="C165" s="19">
        <v>60000</v>
      </c>
      <c r="D165" s="19">
        <v>566000</v>
      </c>
      <c r="E165" s="18" t="s">
        <v>1842</v>
      </c>
      <c r="F165" s="18" t="s">
        <v>1842</v>
      </c>
    </row>
    <row r="166" spans="1:6">
      <c r="A166" s="17" t="s">
        <v>1843</v>
      </c>
    </row>
    <row r="167" spans="1:6">
      <c r="A167" s="18" t="s">
        <v>1843</v>
      </c>
      <c r="B167" s="18" t="s">
        <v>1050</v>
      </c>
      <c r="C167" s="19">
        <v>73529</v>
      </c>
      <c r="D167" s="19">
        <v>73529</v>
      </c>
      <c r="E167" s="18" t="s">
        <v>1050</v>
      </c>
      <c r="F167" s="18" t="s">
        <v>1050</v>
      </c>
    </row>
    <row r="168" spans="1:6">
      <c r="A168" s="18" t="s">
        <v>1562</v>
      </c>
      <c r="B168" s="18" t="s">
        <v>1844</v>
      </c>
      <c r="C168" s="19">
        <v>1032838.31</v>
      </c>
      <c r="D168" s="19">
        <v>127267.31</v>
      </c>
      <c r="E168" s="18" t="s">
        <v>1845</v>
      </c>
      <c r="F168" s="18" t="s">
        <v>1050</v>
      </c>
    </row>
    <row r="169" spans="1:6">
      <c r="A169" s="17" t="s">
        <v>1846</v>
      </c>
    </row>
    <row r="170" spans="1:6">
      <c r="A170" s="18" t="s">
        <v>1847</v>
      </c>
      <c r="B170" s="18" t="s">
        <v>1848</v>
      </c>
      <c r="C170" s="19">
        <v>109918</v>
      </c>
      <c r="D170" s="17" t="s">
        <v>1050</v>
      </c>
      <c r="E170" s="18" t="s">
        <v>1849</v>
      </c>
      <c r="F170" s="18" t="s">
        <v>1850</v>
      </c>
    </row>
    <row r="171" spans="1:6">
      <c r="A171" s="18" t="s">
        <v>1851</v>
      </c>
      <c r="B171" s="18" t="s">
        <v>1852</v>
      </c>
      <c r="C171" s="19">
        <v>890439</v>
      </c>
      <c r="D171" s="19">
        <v>960015</v>
      </c>
      <c r="E171" s="18" t="s">
        <v>1853</v>
      </c>
      <c r="F171" s="18" t="s">
        <v>1854</v>
      </c>
    </row>
    <row r="172" spans="1:6">
      <c r="A172" s="18" t="s">
        <v>1855</v>
      </c>
      <c r="B172" s="18" t="s">
        <v>1856</v>
      </c>
      <c r="C172" s="19">
        <v>746314</v>
      </c>
      <c r="D172" s="19">
        <v>796708</v>
      </c>
      <c r="E172" s="18" t="s">
        <v>1857</v>
      </c>
      <c r="F172" s="18" t="s">
        <v>1858</v>
      </c>
    </row>
    <row r="173" spans="1:6">
      <c r="A173" s="18" t="s">
        <v>1859</v>
      </c>
      <c r="B173" s="18" t="s">
        <v>1050</v>
      </c>
      <c r="C173" s="19">
        <v>27500</v>
      </c>
      <c r="D173" s="19">
        <v>27500</v>
      </c>
      <c r="E173" s="18" t="s">
        <v>1050</v>
      </c>
      <c r="F173" s="18" t="s">
        <v>1050</v>
      </c>
    </row>
    <row r="174" spans="1:6">
      <c r="A174" s="17" t="s">
        <v>1571</v>
      </c>
    </row>
    <row r="175" spans="1:6">
      <c r="A175" s="18" t="s">
        <v>1572</v>
      </c>
      <c r="B175" s="18" t="s">
        <v>1860</v>
      </c>
      <c r="C175" s="17" t="s">
        <v>1050</v>
      </c>
      <c r="D175" s="17" t="s">
        <v>1050</v>
      </c>
      <c r="E175" s="18" t="s">
        <v>1050</v>
      </c>
      <c r="F175" s="18" t="s">
        <v>1860</v>
      </c>
    </row>
    <row r="176" spans="1:6">
      <c r="A176" s="18" t="s">
        <v>1573</v>
      </c>
      <c r="B176" s="18" t="s">
        <v>1861</v>
      </c>
      <c r="C176" s="19">
        <v>27460198.699999999</v>
      </c>
      <c r="D176" s="17" t="s">
        <v>1050</v>
      </c>
      <c r="E176" s="18" t="s">
        <v>1862</v>
      </c>
      <c r="F176" s="18" t="s">
        <v>1863</v>
      </c>
    </row>
    <row r="177" spans="1:4">
      <c r="C177" s="19">
        <v>185005745.06</v>
      </c>
      <c r="D177" s="19">
        <v>185005745.06</v>
      </c>
    </row>
    <row r="178" spans="1:4">
      <c r="A178" s="18" t="s">
        <v>1574</v>
      </c>
    </row>
  </sheetData>
  <pageMargins left="0.7" right="0.7" top="0.75" bottom="0.75" header="0.3" footer="0.3"/>
  <pageSetup scale="84" fitToHeight="0"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2:R55"/>
  <sheetViews>
    <sheetView view="pageBreakPreview" topLeftCell="A20" zoomScale="80" zoomScaleNormal="100" workbookViewId="0">
      <selection activeCell="F27" sqref="F27"/>
    </sheetView>
  </sheetViews>
  <sheetFormatPr defaultColWidth="9.1796875" defaultRowHeight="12.5"/>
  <cols>
    <col min="1" max="1" width="9.1796875" style="1"/>
    <col min="2" max="2" width="29.1796875" style="2" customWidth="1"/>
    <col min="3" max="3" width="24.453125" style="2" customWidth="1"/>
    <col min="4" max="5" width="9.1796875" style="2"/>
    <col min="6" max="7" width="13.453125" style="3" customWidth="1"/>
    <col min="8" max="8" width="9.1796875" style="2"/>
    <col min="9" max="9" width="10.453125" style="2" customWidth="1"/>
    <col min="10" max="16384" width="9.1796875" style="2"/>
  </cols>
  <sheetData>
    <row r="2" spans="1:18">
      <c r="A2" s="4" t="s">
        <v>1459</v>
      </c>
    </row>
    <row r="3" spans="1:18">
      <c r="A3" s="5" t="s">
        <v>1864</v>
      </c>
    </row>
    <row r="5" spans="1:18">
      <c r="A5" s="6" t="s">
        <v>1269</v>
      </c>
      <c r="B5" s="7" t="s">
        <v>1638</v>
      </c>
      <c r="C5" s="8"/>
      <c r="D5" s="8"/>
      <c r="E5" s="8"/>
      <c r="F5" s="13" t="s">
        <v>1865</v>
      </c>
      <c r="G5" s="13" t="s">
        <v>1866</v>
      </c>
    </row>
    <row r="6" spans="1:18">
      <c r="A6" s="9"/>
      <c r="B6" s="7"/>
      <c r="C6" s="8"/>
      <c r="D6" s="8"/>
      <c r="E6" s="8"/>
      <c r="F6" s="13"/>
      <c r="G6" s="13"/>
    </row>
    <row r="7" spans="1:18">
      <c r="A7" s="6">
        <v>1</v>
      </c>
      <c r="B7" s="7" t="s">
        <v>1867</v>
      </c>
      <c r="C7" s="8"/>
      <c r="D7" s="8"/>
      <c r="E7" s="8"/>
      <c r="F7" s="11"/>
      <c r="G7" s="11"/>
    </row>
    <row r="8" spans="1:18">
      <c r="A8" s="6"/>
      <c r="B8" s="8" t="s">
        <v>1868</v>
      </c>
      <c r="C8" s="8"/>
      <c r="D8" s="8"/>
      <c r="E8" s="8"/>
      <c r="F8" s="11" t="e">
        <f>NOTES!#REF!</f>
        <v>#REF!</v>
      </c>
      <c r="G8" s="11"/>
    </row>
    <row r="9" spans="1:18">
      <c r="A9" s="6"/>
      <c r="B9" s="8"/>
      <c r="C9" s="8" t="s">
        <v>1869</v>
      </c>
      <c r="D9" s="8"/>
      <c r="E9" s="8"/>
      <c r="F9" s="11"/>
      <c r="G9" s="11">
        <v>75000</v>
      </c>
    </row>
    <row r="10" spans="1:18">
      <c r="A10" s="6">
        <v>2</v>
      </c>
      <c r="B10" s="7" t="s">
        <v>1870</v>
      </c>
      <c r="C10" s="8"/>
      <c r="D10" s="8"/>
      <c r="E10" s="8"/>
      <c r="F10" s="11"/>
      <c r="G10" s="11"/>
    </row>
    <row r="11" spans="1:18">
      <c r="A11" s="6"/>
      <c r="B11" s="8" t="s">
        <v>1871</v>
      </c>
      <c r="C11" s="8"/>
      <c r="D11" s="8"/>
      <c r="E11" s="8"/>
      <c r="F11" s="11">
        <f>'Trial 2020'!C103</f>
        <v>50000</v>
      </c>
      <c r="G11" s="11"/>
    </row>
    <row r="12" spans="1:18">
      <c r="A12" s="6"/>
      <c r="B12" s="8" t="s">
        <v>1872</v>
      </c>
      <c r="C12" s="8"/>
      <c r="D12" s="8"/>
      <c r="E12" s="8"/>
      <c r="F12" s="11">
        <v>8000</v>
      </c>
      <c r="G12" s="11"/>
    </row>
    <row r="13" spans="1:18">
      <c r="A13" s="6"/>
      <c r="B13" s="8"/>
      <c r="C13" s="8" t="s">
        <v>1873</v>
      </c>
      <c r="D13" s="8"/>
      <c r="E13" s="8"/>
      <c r="F13" s="11"/>
      <c r="G13" s="11">
        <v>5800</v>
      </c>
    </row>
    <row r="14" spans="1:18">
      <c r="A14" s="6"/>
      <c r="B14" s="8"/>
      <c r="C14" s="8" t="s">
        <v>1874</v>
      </c>
      <c r="D14" s="8"/>
      <c r="E14" s="8"/>
      <c r="F14" s="11"/>
      <c r="G14" s="11">
        <v>52200</v>
      </c>
    </row>
    <row r="15" spans="1:18">
      <c r="A15" s="6">
        <v>3</v>
      </c>
      <c r="B15" s="7" t="s">
        <v>1875</v>
      </c>
      <c r="C15" s="8"/>
      <c r="D15" s="8"/>
      <c r="E15" s="8"/>
      <c r="F15" s="11"/>
      <c r="G15" s="11"/>
      <c r="L15" s="2">
        <v>665000</v>
      </c>
      <c r="M15" s="2">
        <v>107949</v>
      </c>
      <c r="N15" s="2">
        <v>297917</v>
      </c>
      <c r="O15" s="2">
        <v>2727631</v>
      </c>
      <c r="P15" s="2">
        <v>704637</v>
      </c>
      <c r="Q15" s="2">
        <v>1030450</v>
      </c>
      <c r="R15" s="2">
        <v>8248540</v>
      </c>
    </row>
    <row r="16" spans="1:18">
      <c r="A16" s="6"/>
      <c r="B16" s="7" t="s">
        <v>1876</v>
      </c>
      <c r="C16" s="8"/>
      <c r="D16" s="8"/>
      <c r="E16" s="8"/>
      <c r="F16" s="11"/>
      <c r="G16" s="11"/>
    </row>
    <row r="17" spans="1:10">
      <c r="A17" s="6"/>
      <c r="B17" s="10" t="str">
        <f>'FA-04'!D11</f>
        <v>Land &amp; Building</v>
      </c>
      <c r="C17" s="11">
        <v>665000</v>
      </c>
      <c r="D17" s="12">
        <v>0.3</v>
      </c>
      <c r="E17" s="8"/>
      <c r="F17" s="11">
        <f>ROUND(C17*D17,0)</f>
        <v>199500</v>
      </c>
      <c r="G17" s="11"/>
    </row>
    <row r="18" spans="1:10">
      <c r="A18" s="6"/>
      <c r="B18" s="10" t="str">
        <f>'FA-04'!F11</f>
        <v>Furniture &amp; Fixtures</v>
      </c>
      <c r="C18" s="11">
        <v>107949</v>
      </c>
      <c r="D18" s="12">
        <v>0.15</v>
      </c>
      <c r="E18" s="8"/>
      <c r="F18" s="11">
        <f t="shared" ref="F18:F23" si="0">ROUND(C18*D18,0)</f>
        <v>16192</v>
      </c>
      <c r="G18" s="11"/>
    </row>
    <row r="19" spans="1:10">
      <c r="A19" s="6"/>
      <c r="B19" s="10" t="str">
        <f>'FA-04'!H11</f>
        <v>Plant &amp; Machinery</v>
      </c>
      <c r="C19" s="11">
        <v>297917</v>
      </c>
      <c r="D19" s="12">
        <v>0.15</v>
      </c>
      <c r="E19" s="8"/>
      <c r="F19" s="11">
        <f t="shared" si="0"/>
        <v>44688</v>
      </c>
      <c r="G19" s="11"/>
    </row>
    <row r="20" spans="1:10">
      <c r="A20" s="6"/>
      <c r="B20" s="10" t="e">
        <f>'FA-04'!#REF!</f>
        <v>#REF!</v>
      </c>
      <c r="C20" s="11">
        <v>2727631</v>
      </c>
      <c r="D20" s="12">
        <v>0.15</v>
      </c>
      <c r="E20" s="8"/>
      <c r="F20" s="11">
        <f t="shared" si="0"/>
        <v>409145</v>
      </c>
      <c r="G20" s="11"/>
    </row>
    <row r="21" spans="1:10">
      <c r="A21" s="6"/>
      <c r="B21" s="10" t="e">
        <f>'FA-04'!#REF!</f>
        <v>#REF!</v>
      </c>
      <c r="C21" s="11">
        <v>704637</v>
      </c>
      <c r="D21" s="12">
        <v>0.15</v>
      </c>
      <c r="E21" s="8"/>
      <c r="F21" s="11">
        <f t="shared" si="0"/>
        <v>105696</v>
      </c>
      <c r="G21" s="11"/>
    </row>
    <row r="22" spans="1:10">
      <c r="A22" s="6"/>
      <c r="B22" s="10" t="e">
        <f>'FA-04'!#REF!</f>
        <v>#REF!</v>
      </c>
      <c r="C22" s="11">
        <v>1030450</v>
      </c>
      <c r="D22" s="12">
        <v>0.15</v>
      </c>
      <c r="E22" s="8"/>
      <c r="F22" s="11">
        <f t="shared" si="0"/>
        <v>154568</v>
      </c>
      <c r="G22" s="11"/>
    </row>
    <row r="23" spans="1:10">
      <c r="A23" s="6"/>
      <c r="B23" s="10" t="e">
        <f>'FA-04'!#REF!</f>
        <v>#REF!</v>
      </c>
      <c r="C23" s="11">
        <v>8248540</v>
      </c>
      <c r="D23" s="12">
        <v>0.15</v>
      </c>
      <c r="E23" s="8"/>
      <c r="F23" s="11">
        <f t="shared" si="0"/>
        <v>1237281</v>
      </c>
      <c r="G23" s="11"/>
    </row>
    <row r="24" spans="1:10">
      <c r="A24" s="6"/>
      <c r="B24" s="8"/>
      <c r="C24" s="8"/>
      <c r="D24" s="8"/>
      <c r="E24" s="8"/>
      <c r="F24" s="11"/>
      <c r="G24" s="11"/>
    </row>
    <row r="25" spans="1:10">
      <c r="A25" s="6"/>
      <c r="B25" s="8"/>
      <c r="C25" s="8" t="s">
        <v>1877</v>
      </c>
      <c r="D25" s="8"/>
      <c r="E25" s="8"/>
      <c r="F25" s="11"/>
      <c r="G25" s="11">
        <f>SUM(F17:F23)</f>
        <v>2167070</v>
      </c>
    </row>
    <row r="26" spans="1:10">
      <c r="A26" s="6"/>
      <c r="B26" s="7" t="s">
        <v>1640</v>
      </c>
      <c r="C26" s="8"/>
      <c r="D26" s="8"/>
      <c r="E26" s="8"/>
      <c r="F26" s="11"/>
      <c r="G26" s="11"/>
    </row>
    <row r="27" spans="1:10">
      <c r="A27" s="6"/>
      <c r="B27" s="10" t="str">
        <f>B17</f>
        <v>Land &amp; Building</v>
      </c>
      <c r="C27" s="8"/>
      <c r="D27" s="8"/>
      <c r="E27" s="8"/>
      <c r="F27" s="11">
        <v>10449.75</v>
      </c>
      <c r="G27" s="11"/>
    </row>
    <row r="28" spans="1:10">
      <c r="A28" s="6"/>
      <c r="B28" s="10" t="str">
        <f>B18</f>
        <v>Furniture &amp; Fixtures</v>
      </c>
      <c r="C28" s="8"/>
      <c r="D28" s="8"/>
      <c r="E28" s="8"/>
      <c r="F28" s="11">
        <v>2429.75</v>
      </c>
      <c r="G28" s="11"/>
    </row>
    <row r="29" spans="1:10">
      <c r="A29" s="6"/>
      <c r="B29" s="10" t="e">
        <f>B20</f>
        <v>#REF!</v>
      </c>
      <c r="C29" s="8"/>
      <c r="D29" s="8"/>
      <c r="E29" s="8"/>
      <c r="F29" s="11">
        <v>8750</v>
      </c>
      <c r="G29" s="11"/>
    </row>
    <row r="30" spans="1:10">
      <c r="A30" s="6"/>
      <c r="B30" s="10" t="e">
        <f>B21</f>
        <v>#REF!</v>
      </c>
      <c r="C30" s="8"/>
      <c r="D30" s="8"/>
      <c r="E30" s="8"/>
      <c r="F30" s="11">
        <v>177375</v>
      </c>
      <c r="G30" s="11"/>
    </row>
    <row r="31" spans="1:10">
      <c r="A31" s="6"/>
      <c r="B31" s="8"/>
      <c r="C31" s="8" t="s">
        <v>1877</v>
      </c>
      <c r="D31" s="8"/>
      <c r="E31" s="8"/>
      <c r="F31" s="11"/>
      <c r="G31" s="11">
        <f>SUM(F27:F30)</f>
        <v>199004.5</v>
      </c>
      <c r="I31" s="14">
        <f>G31+G25</f>
        <v>2366074.5</v>
      </c>
      <c r="J31" s="2">
        <f>'FA-04'!L163</f>
        <v>0</v>
      </c>
    </row>
    <row r="32" spans="1:10">
      <c r="A32" s="6">
        <v>4</v>
      </c>
      <c r="B32" s="7" t="s">
        <v>1393</v>
      </c>
      <c r="C32" s="8"/>
      <c r="D32" s="8"/>
      <c r="E32" s="8"/>
      <c r="F32" s="11"/>
      <c r="G32" s="11"/>
      <c r="I32" s="14"/>
    </row>
    <row r="33" spans="1:9">
      <c r="A33" s="6"/>
      <c r="B33" s="7"/>
      <c r="C33" s="8"/>
      <c r="D33" s="8"/>
      <c r="E33" s="8"/>
      <c r="F33" s="11"/>
      <c r="G33" s="11"/>
      <c r="I33" s="14"/>
    </row>
    <row r="34" spans="1:9">
      <c r="A34" s="6"/>
      <c r="B34" s="8" t="s">
        <v>1878</v>
      </c>
      <c r="C34" s="8"/>
      <c r="D34" s="8"/>
      <c r="E34" s="8"/>
      <c r="F34" s="11" t="e">
        <f>-NOTES!#REF!</f>
        <v>#REF!</v>
      </c>
      <c r="G34" s="11"/>
      <c r="I34" s="14"/>
    </row>
    <row r="35" spans="1:9">
      <c r="A35" s="6"/>
      <c r="B35" s="7"/>
      <c r="C35" s="8" t="s">
        <v>1879</v>
      </c>
      <c r="D35" s="8"/>
      <c r="E35" s="8"/>
      <c r="F35" s="11"/>
      <c r="G35" s="11" t="e">
        <f>$F$34</f>
        <v>#REF!</v>
      </c>
      <c r="I35" s="14"/>
    </row>
    <row r="36" spans="1:9">
      <c r="A36" s="6"/>
      <c r="B36" s="8"/>
      <c r="C36" s="8"/>
      <c r="D36" s="8"/>
      <c r="E36" s="8"/>
      <c r="F36" s="11"/>
      <c r="G36" s="11"/>
      <c r="I36" s="14"/>
    </row>
    <row r="37" spans="1:9">
      <c r="A37" s="6">
        <v>5</v>
      </c>
      <c r="B37" s="7" t="s">
        <v>1880</v>
      </c>
      <c r="C37" s="8"/>
      <c r="D37" s="8"/>
      <c r="E37" s="8"/>
      <c r="F37" s="11"/>
      <c r="G37" s="11"/>
    </row>
    <row r="38" spans="1:9">
      <c r="A38" s="6"/>
      <c r="B38" s="8" t="s">
        <v>1881</v>
      </c>
      <c r="C38" s="8"/>
      <c r="D38" s="8"/>
      <c r="E38" s="8"/>
      <c r="F38" s="11">
        <f>2823450.87-858659</f>
        <v>1964791.87</v>
      </c>
      <c r="G38" s="11"/>
    </row>
    <row r="39" spans="1:9">
      <c r="A39" s="6"/>
      <c r="B39" s="8"/>
      <c r="C39" s="8" t="s">
        <v>1882</v>
      </c>
      <c r="D39" s="8"/>
      <c r="E39" s="8"/>
      <c r="F39" s="11"/>
      <c r="G39" s="11">
        <v>1964791.87</v>
      </c>
    </row>
    <row r="40" spans="1:9">
      <c r="A40" s="6"/>
      <c r="B40" s="8"/>
      <c r="C40" s="8"/>
      <c r="D40" s="8"/>
      <c r="E40" s="8"/>
      <c r="F40" s="11"/>
      <c r="G40" s="11"/>
    </row>
    <row r="41" spans="1:9">
      <c r="A41" s="6"/>
      <c r="B41" s="8"/>
      <c r="C41" s="8"/>
      <c r="D41" s="8"/>
      <c r="E41" s="8"/>
      <c r="F41" s="11"/>
      <c r="G41" s="11"/>
    </row>
    <row r="42" spans="1:9">
      <c r="A42" s="6">
        <v>6</v>
      </c>
      <c r="B42" s="8" t="s">
        <v>1883</v>
      </c>
      <c r="C42" s="8"/>
      <c r="D42" s="8"/>
      <c r="E42" s="8"/>
      <c r="F42" s="11">
        <v>51550.23</v>
      </c>
      <c r="G42" s="11"/>
    </row>
    <row r="43" spans="1:9">
      <c r="A43" s="6"/>
      <c r="B43" s="8"/>
      <c r="C43" s="8" t="s">
        <v>1884</v>
      </c>
      <c r="D43" s="8"/>
      <c r="E43" s="8"/>
      <c r="F43" s="11"/>
      <c r="G43" s="11">
        <v>51550.23</v>
      </c>
    </row>
    <row r="44" spans="1:9">
      <c r="A44" s="6"/>
      <c r="B44" s="8"/>
      <c r="C44" s="8"/>
      <c r="D44" s="8"/>
      <c r="E44" s="8"/>
      <c r="F44" s="11"/>
      <c r="G44" s="11"/>
    </row>
    <row r="45" spans="1:9">
      <c r="A45" s="6">
        <v>7</v>
      </c>
      <c r="B45" s="8" t="s">
        <v>1872</v>
      </c>
      <c r="C45" s="8"/>
      <c r="D45" s="8"/>
      <c r="E45" s="8"/>
      <c r="F45" s="11" t="e">
        <f>#REF!</f>
        <v>#REF!</v>
      </c>
      <c r="G45" s="11"/>
    </row>
    <row r="46" spans="1:9">
      <c r="A46" s="6"/>
      <c r="B46" s="8"/>
      <c r="C46" s="8" t="s">
        <v>680</v>
      </c>
      <c r="D46" s="8"/>
      <c r="E46" s="8"/>
      <c r="F46" s="11"/>
      <c r="G46" s="11" t="e">
        <f>F45</f>
        <v>#REF!</v>
      </c>
    </row>
    <row r="47" spans="1:9">
      <c r="A47" s="6"/>
      <c r="B47" s="8"/>
      <c r="C47" s="8"/>
      <c r="D47" s="8"/>
      <c r="E47" s="8"/>
      <c r="F47" s="11"/>
      <c r="G47" s="11"/>
    </row>
    <row r="48" spans="1:9">
      <c r="A48" s="6">
        <v>8</v>
      </c>
      <c r="B48" s="8" t="s">
        <v>1885</v>
      </c>
      <c r="C48" s="8"/>
      <c r="D48" s="8"/>
      <c r="E48" s="8"/>
      <c r="F48" s="11">
        <v>53403</v>
      </c>
      <c r="G48" s="11"/>
    </row>
    <row r="49" spans="1:7">
      <c r="A49" s="6"/>
      <c r="B49" s="8" t="s">
        <v>1886</v>
      </c>
      <c r="C49" s="8"/>
      <c r="D49" s="8"/>
      <c r="E49" s="8"/>
      <c r="F49" s="11">
        <v>147393</v>
      </c>
      <c r="G49" s="11"/>
    </row>
    <row r="50" spans="1:7">
      <c r="A50" s="6"/>
      <c r="B50" s="8"/>
      <c r="C50" s="8" t="s">
        <v>1887</v>
      </c>
      <c r="D50" s="8"/>
      <c r="E50" s="8"/>
      <c r="F50" s="11"/>
      <c r="G50" s="11">
        <v>200796</v>
      </c>
    </row>
    <row r="51" spans="1:7">
      <c r="A51" s="6"/>
      <c r="B51" s="8"/>
      <c r="C51" s="8"/>
      <c r="D51" s="8"/>
      <c r="E51" s="8"/>
      <c r="F51" s="11"/>
      <c r="G51" s="11"/>
    </row>
    <row r="52" spans="1:7">
      <c r="A52" s="6"/>
      <c r="B52" s="8"/>
      <c r="C52" s="8"/>
      <c r="D52" s="8"/>
      <c r="E52" s="8"/>
      <c r="F52" s="11"/>
      <c r="G52" s="11"/>
    </row>
    <row r="53" spans="1:7">
      <c r="A53" s="6"/>
      <c r="B53" s="8"/>
      <c r="C53" s="8"/>
      <c r="D53" s="8"/>
      <c r="E53" s="8"/>
      <c r="F53" s="11"/>
      <c r="G53" s="11"/>
    </row>
    <row r="54" spans="1:7">
      <c r="A54" s="6"/>
      <c r="B54" s="8"/>
      <c r="C54" s="8"/>
      <c r="D54" s="8"/>
      <c r="E54" s="8"/>
      <c r="F54" s="11"/>
      <c r="G54" s="11"/>
    </row>
    <row r="55" spans="1:7">
      <c r="A55" s="9"/>
      <c r="B55" s="8"/>
      <c r="C55" s="8"/>
      <c r="D55" s="8"/>
      <c r="E55" s="8"/>
      <c r="F55" s="11"/>
      <c r="G55" s="11"/>
    </row>
  </sheetData>
  <pageMargins left="0.7" right="0.7" top="0.75" bottom="0.75" header="0.3" footer="0.3"/>
  <pageSetup paperSize="9" scale="8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26</vt:i4>
      </vt:variant>
    </vt:vector>
  </HeadingPairs>
  <TitlesOfParts>
    <vt:vector size="55" baseType="lpstr">
      <vt:lpstr>Updated Trial 13</vt:lpstr>
      <vt:lpstr>Adj entry 13</vt:lpstr>
      <vt:lpstr>Trial Combine 19</vt:lpstr>
      <vt:lpstr>Adj entry 19</vt:lpstr>
      <vt:lpstr>grouping</vt:lpstr>
      <vt:lpstr>Win</vt:lpstr>
      <vt:lpstr>SOFP</vt:lpstr>
      <vt:lpstr>CASH FLOW</vt:lpstr>
      <vt:lpstr>P &amp; L</vt:lpstr>
      <vt:lpstr>Cash Flows</vt:lpstr>
      <vt:lpstr>Policies FC</vt:lpstr>
      <vt:lpstr>FA-04</vt:lpstr>
      <vt:lpstr>Note 5 '2025</vt:lpstr>
      <vt:lpstr>NOTES</vt:lpstr>
      <vt:lpstr>Trial Balance</vt:lpstr>
      <vt:lpstr>Loan</vt:lpstr>
      <vt:lpstr>Note 5</vt:lpstr>
      <vt:lpstr>DEP 2017</vt:lpstr>
      <vt:lpstr>Sheet3</vt:lpstr>
      <vt:lpstr>FIXED ASSETS</vt:lpstr>
      <vt:lpstr>Fixed Assets A </vt:lpstr>
      <vt:lpstr>C.tax computation</vt:lpstr>
      <vt:lpstr>Def tax</vt:lpstr>
      <vt:lpstr>Tax dep</vt:lpstr>
      <vt:lpstr>Trial 2020</vt:lpstr>
      <vt:lpstr>D.tax 20</vt:lpstr>
      <vt:lpstr>Tax Dep. Sch-20</vt:lpstr>
      <vt:lpstr>GI Summary</vt:lpstr>
      <vt:lpstr>Entries - 20</vt:lpstr>
      <vt:lpstr>'Adj entry 13'!Print_Area</vt:lpstr>
      <vt:lpstr>'Adj entry 19'!Print_Area</vt:lpstr>
      <vt:lpstr>'C.tax computation'!Print_Area</vt:lpstr>
      <vt:lpstr>'CASH FLOW'!Print_Area</vt:lpstr>
      <vt:lpstr>'Cash Flows'!Print_Area</vt:lpstr>
      <vt:lpstr>'D.tax 20'!Print_Area</vt:lpstr>
      <vt:lpstr>'Def tax'!Print_Area</vt:lpstr>
      <vt:lpstr>'Entries - 20'!Print_Area</vt:lpstr>
      <vt:lpstr>'FA-04'!Print_Area</vt:lpstr>
      <vt:lpstr>'FIXED ASSETS'!Print_Area</vt:lpstr>
      <vt:lpstr>'Fixed Assets A '!Print_Area</vt:lpstr>
      <vt:lpstr>'GI Summary'!Print_Area</vt:lpstr>
      <vt:lpstr>grouping!Print_Area</vt:lpstr>
      <vt:lpstr>'Note 5'!Print_Area</vt:lpstr>
      <vt:lpstr>NOTES!Print_Area</vt:lpstr>
      <vt:lpstr>'P &amp; L'!Print_Area</vt:lpstr>
      <vt:lpstr>'Policies FC'!Print_Area</vt:lpstr>
      <vt:lpstr>SOFP!Print_Area</vt:lpstr>
      <vt:lpstr>'Tax dep'!Print_Area</vt:lpstr>
      <vt:lpstr>'Tax Dep. Sch-20'!Print_Area</vt:lpstr>
      <vt:lpstr>'Trial Combine 19'!Print_Area</vt:lpstr>
      <vt:lpstr>Win!Print_Area</vt:lpstr>
      <vt:lpstr>grouping!Print_Titles</vt:lpstr>
      <vt:lpstr>NOTES!Print_Titles</vt:lpstr>
      <vt:lpstr>'Policies FC'!Print_Titles</vt:lpstr>
      <vt:lpstr>'Trial Combine 19'!Print_Titles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ATEEQ</dc:creator>
  <cp:lastModifiedBy>Hamdan Khan</cp:lastModifiedBy>
  <cp:lastPrinted>2025-06-17T22:13:00Z</cp:lastPrinted>
  <dcterms:created xsi:type="dcterms:W3CDTF">2006-09-17T01:00:00Z</dcterms:created>
  <dcterms:modified xsi:type="dcterms:W3CDTF">2026-07-09T21:55:45Z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2025-03-18T07:27:21Z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c6828ab4-14d9-4a88-8d9e-6010f537532c</vt:lpwstr>
  </property>
  <property fmtid="{D5CDD505-2E9C-101B-9397-08002B2CF9AE}" pid="7" name="MSIP_Label_defa4170-0d19-0005-0004-bc88714345d2_ActionId">
    <vt:lpwstr>58f54999-c973-494d-bc95-9741fcb5263d</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KSOProductBuildVer">
    <vt:lpwstr>1033-6.11.0.8608</vt:lpwstr>
  </property>
  <property fmtid="{D5CDD505-2E9C-101B-9397-08002B2CF9AE}" pid="11" name="ICV">
    <vt:lpwstr>19BA6E5C312258A5E1794968A201EB3D_42</vt:lpwstr>
  </property>
</Properties>
</file>
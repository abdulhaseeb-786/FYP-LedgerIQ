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yyu\Desktop\"/>
    </mc:Choice>
  </mc:AlternateContent>
  <xr:revisionPtr revIDLastSave="0" documentId="8_{FEEE4EAC-2DD1-4201-BD6B-24E67090B8E1}" xr6:coauthVersionLast="47" xr6:coauthVersionMax="47" xr10:uidLastSave="{00000000-0000-0000-0000-000000000000}"/>
  <bookViews>
    <workbookView xWindow="-110" yWindow="-110" windowWidth="19420" windowHeight="10300" xr2:uid="{9689A920-7092-4B54-838B-D83026DB053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19" i="1"/>
  <c r="D24" i="1" s="1"/>
  <c r="E24" i="1" l="1"/>
</calcChain>
</file>

<file path=xl/sharedStrings.xml><?xml version="1.0" encoding="utf-8"?>
<sst xmlns="http://schemas.openxmlformats.org/spreadsheetml/2006/main" count="27" uniqueCount="27">
  <si>
    <t>TRIAL BALANCE</t>
  </si>
  <si>
    <t>S.NO</t>
  </si>
  <si>
    <t>DESCRIPTION</t>
  </si>
  <si>
    <t>DEBIT</t>
  </si>
  <si>
    <t>CREDIT</t>
  </si>
  <si>
    <t>REVENUE - NED</t>
  </si>
  <si>
    <t>Online Content Production</t>
  </si>
  <si>
    <t>Conference</t>
  </si>
  <si>
    <t>Travel</t>
  </si>
  <si>
    <t>Salaries-Project Coordinator</t>
  </si>
  <si>
    <t>Coorinator Peshawar</t>
  </si>
  <si>
    <t>Coordinator Islamabad</t>
  </si>
  <si>
    <t>Salaries-Finance Asstt</t>
  </si>
  <si>
    <t>Training</t>
  </si>
  <si>
    <t>Meeting</t>
  </si>
  <si>
    <t xml:space="preserve">Honorarium &amp; Transportation </t>
  </si>
  <si>
    <t>Vehicle charges per day</t>
  </si>
  <si>
    <t>Estimated POL per Point</t>
  </si>
  <si>
    <t>Salaries - Project Team</t>
  </si>
  <si>
    <t>Transcription (&amp; Translation)</t>
  </si>
  <si>
    <t>Stationery- One time cost</t>
  </si>
  <si>
    <t>REVENUE - INL</t>
  </si>
  <si>
    <t>Share Capital</t>
  </si>
  <si>
    <t>Cash in hand</t>
  </si>
  <si>
    <t>Audit Fee</t>
  </si>
  <si>
    <t>Audit Fee Payable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</si>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</sst>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2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3" fillId="0" borderId="0" xfId="0" applyFont="1"/>
    <xf numFmtId="0" fontId="2" fillId="0" borderId="4" xfId="0" applyFont="1" applyBorder="1"/>
    <xf numFmtId="165" fontId="2" fillId="0" borderId="4" xfId="1" applyNumberFormat="1" applyFont="1" applyBorder="1" applyAlignment="1">
      <alignment horizontal="right"/>
    </xf>
    <xf numFmtId="0" fontId="3" fillId="0" borderId="4" xfId="0" applyFont="1" applyBorder="1"/>
    <xf numFmtId="165" fontId="3" fillId="0" borderId="4" xfId="1" applyNumberFormat="1" applyFont="1" applyFill="1" applyBorder="1"/>
    <xf numFmtId="165" fontId="3" fillId="0" borderId="0" xfId="0" applyNumberFormat="1" applyFont="1"/>
    <xf numFmtId="165" fontId="2" fillId="0" borderId="4" xfId="1" applyNumberFormat="1" applyFont="1" applyBorder="1"/>
    <xf numFmtId="43" fontId="3" fillId="0" borderId="0" xfId="0" applyNumberFormat="1" applyFont="1"/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Budget%20Agreed%20-Last%20(1).xlsx" TargetMode="External"/><Relationship Id="rId1" Type="http://schemas.openxmlformats.org/officeDocument/2006/relationships/externalLinkPath" Target="/Users/qayyu/Downloads/Budget%20Agreed%20-Las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hyber"/>
      <sheetName val="Mohmand "/>
      <sheetName val="Bajaur"/>
      <sheetName val="Team Details &amp; Budget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F10">
            <v>5582500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D62E-B2E2-439D-B50E-FB47DAAD5FA6}">
  <dimension ref="A1:G24"/>
  <sheetViews>
    <sheetView tabSelected="1" workbookViewId="0">
      <selection sqref="A1:XFD1048576"/>
    </sheetView>
  </sheetViews>
  <sheetFormatPr defaultColWidth="9.1796875" defaultRowHeight="14" x14ac:dyDescent="0.3"/>
  <cols>
    <col min="1" max="1" width="9.1796875" style="5"/>
    <col min="2" max="2" width="46.453125" style="5" customWidth="1"/>
    <col min="3" max="3" width="15.26953125" style="13" customWidth="1"/>
    <col min="4" max="4" width="15.54296875" style="13" customWidth="1"/>
    <col min="5" max="5" width="13.453125" style="5" customWidth="1"/>
    <col min="6" max="6" width="12" style="5" customWidth="1"/>
    <col min="7" max="7" width="15.1796875" style="5" customWidth="1"/>
    <col min="8" max="16384" width="9.1796875" style="5"/>
  </cols>
  <sheetData>
    <row r="1" spans="1:6" x14ac:dyDescent="0.3">
      <c r="A1" s="1" t="s">
        <v>0</v>
      </c>
      <c r="B1" s="2"/>
      <c r="C1" s="3"/>
      <c r="D1" s="4"/>
    </row>
    <row r="2" spans="1:6" x14ac:dyDescent="0.3">
      <c r="A2" s="6" t="s">
        <v>1</v>
      </c>
      <c r="B2" s="6" t="s">
        <v>2</v>
      </c>
      <c r="C2" s="7" t="s">
        <v>3</v>
      </c>
      <c r="D2" s="7" t="s">
        <v>4</v>
      </c>
    </row>
    <row r="3" spans="1:6" x14ac:dyDescent="0.3">
      <c r="A3" s="8"/>
      <c r="B3" s="8" t="s">
        <v>5</v>
      </c>
      <c r="C3" s="9"/>
      <c r="D3" s="9"/>
      <c r="F3" s="10"/>
    </row>
    <row r="4" spans="1:6" x14ac:dyDescent="0.3">
      <c r="A4" s="8"/>
      <c r="B4" s="8" t="s">
        <v>6</v>
      </c>
      <c r="C4" s="9"/>
      <c r="D4" s="9"/>
    </row>
    <row r="5" spans="1:6" x14ac:dyDescent="0.3">
      <c r="A5" s="8"/>
      <c r="B5" s="8" t="s">
        <v>7</v>
      </c>
      <c r="C5" s="9">
        <v>762500</v>
      </c>
      <c r="D5" s="9"/>
    </row>
    <row r="6" spans="1:6" x14ac:dyDescent="0.3">
      <c r="A6" s="8"/>
      <c r="B6" s="8" t="s">
        <v>8</v>
      </c>
      <c r="C6" s="9">
        <v>625100</v>
      </c>
      <c r="D6" s="9"/>
    </row>
    <row r="7" spans="1:6" x14ac:dyDescent="0.3">
      <c r="A7" s="8"/>
      <c r="B7" s="8" t="s">
        <v>9</v>
      </c>
      <c r="C7" s="9">
        <v>2960000</v>
      </c>
      <c r="D7" s="9"/>
    </row>
    <row r="8" spans="1:6" x14ac:dyDescent="0.3">
      <c r="A8" s="8"/>
      <c r="B8" s="8" t="s">
        <v>10</v>
      </c>
      <c r="C8" s="9"/>
      <c r="D8" s="9"/>
    </row>
    <row r="9" spans="1:6" x14ac:dyDescent="0.3">
      <c r="A9" s="8"/>
      <c r="B9" s="8" t="s">
        <v>11</v>
      </c>
      <c r="C9" s="9"/>
      <c r="D9" s="9"/>
    </row>
    <row r="10" spans="1:6" x14ac:dyDescent="0.3">
      <c r="A10" s="8"/>
      <c r="B10" s="8" t="s">
        <v>12</v>
      </c>
      <c r="C10" s="9"/>
      <c r="D10" s="9"/>
    </row>
    <row r="11" spans="1:6" x14ac:dyDescent="0.3">
      <c r="A11" s="8"/>
      <c r="B11" s="8" t="s">
        <v>13</v>
      </c>
      <c r="C11" s="9">
        <v>459800</v>
      </c>
      <c r="D11" s="9"/>
    </row>
    <row r="12" spans="1:6" x14ac:dyDescent="0.3">
      <c r="A12" s="8"/>
      <c r="B12" s="8" t="s">
        <v>14</v>
      </c>
      <c r="C12" s="9">
        <v>560000</v>
      </c>
      <c r="D12" s="9"/>
    </row>
    <row r="13" spans="1:6" x14ac:dyDescent="0.3">
      <c r="A13" s="8"/>
      <c r="B13" s="8" t="s">
        <v>15</v>
      </c>
      <c r="C13" s="9">
        <v>171900</v>
      </c>
      <c r="D13" s="9"/>
    </row>
    <row r="14" spans="1:6" x14ac:dyDescent="0.3">
      <c r="A14" s="8"/>
      <c r="B14" s="8" t="s">
        <v>16</v>
      </c>
      <c r="C14" s="9"/>
      <c r="D14" s="9"/>
    </row>
    <row r="15" spans="1:6" x14ac:dyDescent="0.3">
      <c r="A15" s="8"/>
      <c r="B15" s="8" t="s">
        <v>17</v>
      </c>
      <c r="C15" s="9"/>
      <c r="D15" s="9"/>
    </row>
    <row r="16" spans="1:6" x14ac:dyDescent="0.3">
      <c r="A16" s="8"/>
      <c r="B16" s="8" t="s">
        <v>18</v>
      </c>
      <c r="C16" s="9"/>
      <c r="D16" s="9"/>
    </row>
    <row r="17" spans="1:7" x14ac:dyDescent="0.3">
      <c r="A17" s="8"/>
      <c r="B17" s="8" t="s">
        <v>19</v>
      </c>
      <c r="C17" s="9"/>
      <c r="D17" s="9"/>
    </row>
    <row r="18" spans="1:7" x14ac:dyDescent="0.3">
      <c r="A18" s="8"/>
      <c r="B18" s="8" t="s">
        <v>20</v>
      </c>
      <c r="C18" s="9">
        <v>43200</v>
      </c>
      <c r="D18" s="9"/>
    </row>
    <row r="19" spans="1:7" x14ac:dyDescent="0.3">
      <c r="A19" s="8"/>
      <c r="B19" s="8" t="s">
        <v>21</v>
      </c>
      <c r="C19" s="9"/>
      <c r="D19" s="9">
        <f>'[1]Trial Balance'!$F$10</f>
        <v>5582500</v>
      </c>
    </row>
    <row r="20" spans="1:7" x14ac:dyDescent="0.3">
      <c r="A20" s="8"/>
      <c r="B20" s="8" t="s">
        <v>22</v>
      </c>
      <c r="C20" s="9"/>
      <c r="D20" s="9">
        <v>100000</v>
      </c>
    </row>
    <row r="21" spans="1:7" x14ac:dyDescent="0.3">
      <c r="A21" s="8"/>
      <c r="B21" s="8" t="s">
        <v>23</v>
      </c>
      <c r="C21" s="9">
        <v>100000</v>
      </c>
      <c r="D21" s="9"/>
    </row>
    <row r="22" spans="1:7" x14ac:dyDescent="0.3">
      <c r="A22" s="8"/>
      <c r="B22" s="8" t="s">
        <v>24</v>
      </c>
      <c r="C22" s="9">
        <v>30000</v>
      </c>
      <c r="D22" s="9"/>
    </row>
    <row r="23" spans="1:7" x14ac:dyDescent="0.3">
      <c r="A23" s="8"/>
      <c r="B23" s="8" t="s">
        <v>25</v>
      </c>
      <c r="C23" s="9"/>
      <c r="D23" s="9">
        <v>30000</v>
      </c>
    </row>
    <row r="24" spans="1:7" x14ac:dyDescent="0.3">
      <c r="A24" s="8"/>
      <c r="B24" s="6" t="s">
        <v>26</v>
      </c>
      <c r="C24" s="11">
        <f>SUM(C3:C23)</f>
        <v>5712500</v>
      </c>
      <c r="D24" s="11">
        <f>SUM(D3:D23)</f>
        <v>5712500</v>
      </c>
      <c r="E24" s="10">
        <f>C24-D24</f>
        <v>0</v>
      </c>
      <c r="F24" s="10"/>
      <c r="G24" s="1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 Khan</dc:creator>
  <cp:lastModifiedBy>Hamdan Khan</cp:lastModifiedBy>
  <dcterms:created xsi:type="dcterms:W3CDTF">2026-08-13T11:54:18Z</dcterms:created>
  <dcterms:modified xsi:type="dcterms:W3CDTF">2026-08-13T11:54:41Z</dcterms:modified>
</cp:coreProperties>
</file>
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ayyu\Desktop\"/>
    </mc:Choice>
  </mc:AlternateContent>
  <xr:revisionPtr revIDLastSave="0" documentId="13_ncr:1_{70153BE1-959A-4B0E-AA4D-09F765FED7FF}" xr6:coauthVersionLast="47" xr6:coauthVersionMax="47" xr10:uidLastSave="{00000000-0000-0000-0000-000000000000}"/>
  <bookViews>
    <workbookView xWindow="-110" yWindow="-110" windowWidth="19420" windowHeight="10300" activeTab="2" xr2:uid="{9689A920-7092-4B54-838B-D83026DB053D}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4" i="1" l="1"/>
  <c r="D19" i="1"/>
  <c r="D24" i="1" s="1"/>
  <c r="E24" i="1" l="1"/>
</calcChain>
</file>

<file path=xl/sharedStrings.xml><?xml version="1.0" encoding="utf-8"?>
<sst xmlns="http://schemas.openxmlformats.org/spreadsheetml/2006/main" count="88" uniqueCount="71">
  <si>
    <t>TRIAL BALANCE</t>
  </si>
  <si>
    <t>S.NO</t>
  </si>
  <si>
    <t>DESCRIPTION</t>
  </si>
  <si>
    <t>DEBIT</t>
  </si>
  <si>
    <t>CREDIT</t>
  </si>
  <si>
    <t>REVENUE - NED</t>
  </si>
  <si>
    <t>Online Content Production</t>
  </si>
  <si>
    <t>Conference</t>
  </si>
  <si>
    <t>Travel</t>
  </si>
  <si>
    <t>Salaries-Project Coordinator</t>
  </si>
  <si>
    <t>Coorinator Peshawar</t>
  </si>
  <si>
    <t>Coordinator Islamabad</t>
  </si>
  <si>
    <t>Salaries-Finance Asstt</t>
  </si>
  <si>
    <t>Training</t>
  </si>
  <si>
    <t>Meeting</t>
  </si>
  <si>
    <t xml:space="preserve">Honorarium &amp; Transportation </t>
  </si>
  <si>
    <t>Vehicle charges per day</t>
  </si>
  <si>
    <t>Estimated POL per Point</t>
  </si>
  <si>
    <t>Salaries - Project Team</t>
  </si>
  <si>
    <t>Transcription (&amp; Translation)</t>
  </si>
  <si>
    <t>Stationery- One time cost</t>
  </si>
  <si>
    <t>REVENUE - INL</t>
  </si>
  <si>
    <t>Share Capital</t>
  </si>
  <si>
    <t>Cash in hand</t>
  </si>
  <si>
    <t>Audit Fee</t>
  </si>
  <si>
    <t>Audit Fee Payable</t>
  </si>
  <si>
    <t>Total</t>
  </si>
  <si>
    <t>S.No</t>
  </si>
  <si>
    <t>Particulars</t>
  </si>
  <si>
    <t>Cash in Hand</t>
  </si>
  <si>
    <t>Cash at Bank</t>
  </si>
  <si>
    <t>Salaries</t>
  </si>
  <si>
    <t>audit fee payable</t>
  </si>
  <si>
    <t>Revenue</t>
  </si>
  <si>
    <t>Cost of Services</t>
  </si>
  <si>
    <t>Loan from director</t>
  </si>
  <si>
    <t>Tax Expense</t>
  </si>
  <si>
    <t>Provision for Taxation</t>
  </si>
  <si>
    <t>Rent, rates and taxes</t>
  </si>
  <si>
    <t>Bank charges</t>
  </si>
  <si>
    <t>Utilities</t>
  </si>
  <si>
    <t>Accumulated Profit/(Loss)</t>
  </si>
  <si>
    <t xml:space="preserve"> Debit </t>
  </si>
  <si>
    <t xml:space="preserve"> Credit </t>
  </si>
  <si>
    <t xml:space="preserve"> -   </t>
  </si>
  <si>
    <t>ABC (PRIVATE) LIMITED</t>
  </si>
  <si>
    <t>FOR THE YEAR ENDED 30 JUNE 2025</t>
  </si>
  <si>
    <t>SR. NO.</t>
  </si>
  <si>
    <t>PARTICULARS</t>
  </si>
  <si>
    <t>Fixed Assets</t>
  </si>
  <si>
    <t>Accumulated Depreciation</t>
  </si>
  <si>
    <t>Receivables</t>
  </si>
  <si>
    <t>Advances</t>
  </si>
  <si>
    <t>Stock</t>
  </si>
  <si>
    <t>Sundry Creditors</t>
  </si>
  <si>
    <t>Share capital</t>
  </si>
  <si>
    <t>COS</t>
  </si>
  <si>
    <t>Other Income</t>
  </si>
  <si>
    <t>Tax expense</t>
  </si>
  <si>
    <t>Withholding Income Tax</t>
  </si>
  <si>
    <t>Rent and rates</t>
  </si>
  <si>
    <t>Traveling</t>
  </si>
  <si>
    <t>Communication</t>
  </si>
  <si>
    <t>Repair / Maintenance</t>
  </si>
  <si>
    <t>Office Expenses, Food and refreshment</t>
  </si>
  <si>
    <t>Audit fee Expense</t>
  </si>
  <si>
    <t>Audit fees Payable</t>
  </si>
  <si>
    <t>Depn exp</t>
  </si>
  <si>
    <t>Stationery</t>
  </si>
  <si>
    <t>Accumulated profit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</si>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</sst>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7">
    <numFmt numFmtId="41" formatCode="_-* #,##0_-;\-* #,##0_-;_-* &quot;-&quot;_-;_-@_-"/>
    <numFmt numFmtId="43" formatCode="_-* #,##0.00_-;\-* #,##0.00_-;_-* &quot;-&quot;??_-;_-@_-"/>
    <numFmt numFmtId="165" formatCode="_(* #,##0_);_(* \(#,##0\);_(* &quot;-&quot;??_);_(@_)"/>
    <numFmt numFmtId="166" formatCode="&quot;£&quot;#,##0;[Red]\-&quot;£&quot;#,##0"/>
    <numFmt numFmtId="167" formatCode="_-&quot;£&quot;* #,##0_-;\-&quot;£&quot;* #,##0_-;_-&quot;£&quot;* &quot;-&quot;_-;_-@_-"/>
    <numFmt numFmtId="168" formatCode="_-* #,##0_-;\-* #,##0_-;_-* &quot;-&quot;_-;_-@_-"/>
    <numFmt numFmtId="169" formatCode="_-&quot;£&quot;* #,##0.00_-;\-&quot;£&quot;* #,##0.00_-;_-&quot;£&quot;* &quot;-&quot;??_-;_-@_-"/>
    <numFmt numFmtId="170" formatCode="_(&quot;$&quot;* #,##0_);_(&quot;$&quot;* \(#,##0\);_(&quot;$&quot;* &quot;-&quot;_);_(@_)"/>
    <numFmt numFmtId="171" formatCode="_(&quot;$&quot;* #,##0.00_);_(&quot;$&quot;* \(#,##0.00\);_(&quot;$&quot;* &quot;-&quot;??_);_(@_)"/>
    <numFmt numFmtId="172" formatCode="#,##0.00_ ;[Red]\-#,##0.00;\-"/>
    <numFmt numFmtId="173" formatCode="&quot;£ &quot;#,##0_);[Red]&quot;(£ &quot;#,##0\)"/>
    <numFmt numFmtId="174" formatCode="&quot;¥ &quot;#,##0_);[Red]&quot;(¥ &quot;#,##0\)"/>
    <numFmt numFmtId="175" formatCode="#."/>
    <numFmt numFmtId="176" formatCode="#"/>
    <numFmt numFmtId="177" formatCode="&quot;•  &quot;@"/>
    <numFmt numFmtId="178" formatCode="0.00&quot;  &quot;"/>
    <numFmt numFmtId="179" formatCode="0.0%"/>
    <numFmt numFmtId="180" formatCode="0.0000%"/>
    <numFmt numFmtId="181" formatCode="0.00000000"/>
    <numFmt numFmtId="182" formatCode="_(* #,##0.0_);_(* \(#,##0.0\);_(* &quot;-&quot;??_);_(@_)"/>
    <numFmt numFmtId="183" formatCode="0.0"/>
    <numFmt numFmtId="184" formatCode="[$-409]d\-mmm\-yyyy;@"/>
    <numFmt numFmtId="185" formatCode="General_)"/>
    <numFmt numFmtId="186" formatCode="_•&quot;–    &quot;@"/>
    <numFmt numFmtId="187" formatCode="m\o\n\th\ d\,\ yyyy"/>
    <numFmt numFmtId="188" formatCode="#,##0.000"/>
    <numFmt numFmtId="189" formatCode="_([$€-2]* #,##0.00_);_([$€-2]* \(#,##0.00\);_([$€-2]* &quot;-&quot;??_)"/>
    <numFmt numFmtId="190" formatCode="#.00"/>
    <numFmt numFmtId="191" formatCode="yyyy\-mm\-dd;@"/>
    <numFmt numFmtId="192" formatCode="&quot;£&quot;##,##0_);[Red]&quot;(£&quot;#,##0\)"/>
    <numFmt numFmtId="193" formatCode="\I\n\t\i\a\l\ \c\a\p"/>
    <numFmt numFmtId="194" formatCode="&quot;$&quot;#,\);\(&quot;$&quot;#,##0\)"/>
    <numFmt numFmtId="195" formatCode="&quot;$&quot;#,;\(&quot;$&quot;#,\)"/>
    <numFmt numFmtId="196" formatCode="_-* #,##0\ _F_-;\-* #,##0\ _F_-;_-* &quot;-&quot;\ _F_-;_-@_-"/>
    <numFmt numFmtId="197" formatCode="_-* #,##0.00\ _F_-;\-* #,##0.00\ _F_-;_-* &quot;-&quot;??\ _F_-;_-@_-"/>
    <numFmt numFmtId="198" formatCode="#,##0.000_);\(#,##0.000\)"/>
    <numFmt numFmtId="199" formatCode="&quot;$&quot;#,\);\(&quot;$&quot;#,\)"/>
    <numFmt numFmtId="200" formatCode="_-* #,##0\ &quot;F&quot;_-;\-* #,##0\ &quot;F&quot;_-;_-* &quot;-&quot;\ &quot;F&quot;_-;_-@_-"/>
    <numFmt numFmtId="201" formatCode="_-* #,##0.00\ &quot;F&quot;_-;\-* #,##0.00\ &quot;F&quot;_-;_-* &quot;-&quot;??\ &quot;F&quot;_-;_-@_-"/>
    <numFmt numFmtId="202" formatCode="[&gt;1]\ &quot;Pk of &quot;\ #;[=1]\ &quot;Each&quot;;\ 0.000\ &quot; km&quot;"/>
    <numFmt numFmtId="203" formatCode="mm/dd/yy"/>
    <numFmt numFmtId="204" formatCode="&quot;Yes&quot;;[Red]&quot;No&quot;"/>
    <numFmt numFmtId="205" formatCode="0.00000"/>
    <numFmt numFmtId="206" formatCode="General;;"/>
    <numFmt numFmtId="207" formatCode="0.0000"/>
    <numFmt numFmtId="208" formatCode="_-* #,##0_-;\-* #,##0_-;_-* \-_-;_-@_-"/>
    <numFmt numFmtId="209" formatCode="_-* #,##0.00_-;\-* #,##0.00_-;_-* \-??_-;_-@_-"/>
    <numFmt numFmtId="210" formatCode="_-&quot;$&quot;* #,##0_-;&quot;-$&quot;* #,##0_-;_-&quot;$&quot;* \-_-;_-@_-"/>
    <numFmt numFmtId="211" formatCode="_-&quot;$&quot;* #,##0.00_-;&quot;-$&quot;* #,##0.00_-;_-&quot;$&quot;* \-??_-;_-@_-"/>
    <numFmt numFmtId="212" formatCode="#,##0\ &quot;DM&quot;;[Red]\-#,##0\ &quot;DM&quot;"/>
    <numFmt numFmtId="213" formatCode="#,##0.00\ &quot;DM&quot;;[Red]\-#,##0.00\ &quot;DM&quot;"/>
    <numFmt numFmtId="219" formatCode="_-* #,##0.00_-;\-* #,##0.00_-;_-* &quot;-&quot;??_-;_-@_-"/>
    <numFmt numFmtId="220" formatCode="_ * #,##0_ ;_ * \-#,##0_ ;_ * &quot;-&quot;_ ;_ @_ "/>
    <numFmt numFmtId="221" formatCode="_-* #,##0.00_р_._-;\-* #,##0.00_р_._-;_-* &quot;-&quot;??_р_._-;_-@_-"/>
    <numFmt numFmtId="222" formatCode="_-* #,##0.00_-;_-* #,##0.00\-;_-* &quot;-&quot;??_-;_-@_-"/>
    <numFmt numFmtId="223" formatCode="_-* #,##0.00&quot;р.&quot;_-;\-* #,##0.00&quot;р.&quot;_-;_-* &quot;-&quot;??&quot;р.&quot;_-;_-@_-"/>
    <numFmt numFmtId="224" formatCode="_([$€]* #,##0.00_);_([$€]* \(#,##0.00\);_([$€]* &quot;-&quot;??_);_(@_)"/>
    <numFmt numFmtId="225" formatCode="_-* #,##0.00\ [$€]_-;\-* #,##0.00\ [$€]_-;_-* &quot;-&quot;??\ [$€]_-;_-@_-"/>
    <numFmt numFmtId="226" formatCode="_ * #,##0.00_ ;_ * \-#,##0.00_ ;_ * &quot;-&quot;??_ ;_ @_ "/>
    <numFmt numFmtId="227" formatCode="_ * #,##0_)\ _A_F_A_ ;_ * \(#,##0\)\ _A_F_A_ ;_ * &quot;-&quot;_)\ _A_F_A_ ;_ @_ "/>
    <numFmt numFmtId="228" formatCode="_ * #,##0.00_)\ _A_F_A_ ;_ * \(#,##0.00\)\ _A_F_A_ ;_ * &quot;-&quot;??_)\ _A_F_A_ ;_ @_ "/>
    <numFmt numFmtId="229" formatCode="_ &quot;S/&quot;* #,##0_ ;_ &quot;S/&quot;* \-#,##0_ ;_ &quot;S/&quot;* &quot;-&quot;_ ;_ @_ "/>
    <numFmt numFmtId="230" formatCode="_ &quot;S/&quot;* #,##0.00_ ;_ &quot;S/&quot;* \-#,##0.00_ ;_ &quot;S/&quot;* &quot;-&quot;??_ ;_ @_ "/>
    <numFmt numFmtId="231" formatCode="_ * #,##0_)\ &quot;AFA&quot;_ ;_ * \(#,##0\)\ &quot;AFA&quot;_ ;_ * &quot;-&quot;_)\ &quot;AFA&quot;_ ;_ @_ "/>
    <numFmt numFmtId="232" formatCode="_ * #,##0.00_)\ &quot;AFA&quot;_ ;_ * \(#,##0.00\)\ &quot;AFA&quot;_ ;_ * &quot;-&quot;??_)\ &quot;AFA&quot;_ ;_ @_ "/>
    <numFmt numFmtId="233" formatCode="0_)"/>
    <numFmt numFmtId="234" formatCode="#,##0.00\ &quot;F&quot;;[Red]\-#,##0.00\ &quot;F&quot;"/>
  </numFmts>
  <fonts count="8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1"/>
      <name val="Book Antiqua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i/>
      <sz val="10"/>
      <name val="Arial"/>
      <family val="2"/>
    </font>
    <font>
      <sz val="1"/>
      <color indexed="8"/>
      <name val="Courier"/>
      <charset val="134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u/>
      <sz val="7.5"/>
      <color indexed="36"/>
      <name val="Arial"/>
      <family val="2"/>
    </font>
    <font>
      <sz val="12"/>
      <name val="Tms Rmn"/>
      <charset val="134"/>
    </font>
    <font>
      <b/>
      <sz val="11"/>
      <color indexed="10"/>
      <name val="Calibri"/>
      <family val="2"/>
    </font>
    <font>
      <sz val="10"/>
      <color indexed="0"/>
      <name val="MS Sans Serif"/>
      <charset val="134"/>
    </font>
    <font>
      <b/>
      <sz val="9"/>
      <color indexed="12"/>
      <name val="Arial"/>
      <family val="2"/>
    </font>
    <font>
      <sz val="10"/>
      <name val="MS Serif"/>
      <charset val="134"/>
    </font>
    <font>
      <sz val="12"/>
      <name val="Helv"/>
      <charset val="134"/>
    </font>
    <font>
      <i/>
      <sz val="9"/>
      <color indexed="8"/>
      <name val="Arial"/>
      <family val="2"/>
    </font>
    <font>
      <sz val="10"/>
      <name val="MS Sans Serif"/>
      <charset val="134"/>
    </font>
    <font>
      <sz val="10"/>
      <name val="Times New Roman"/>
      <family val="1"/>
    </font>
    <font>
      <sz val="10"/>
      <color indexed="16"/>
      <name val="MS Serif"/>
      <charset val="134"/>
    </font>
    <font>
      <b/>
      <sz val="9"/>
      <color indexed="2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"/>
      <color indexed="8"/>
      <name val="Courier"/>
      <charset val="134"/>
    </font>
    <font>
      <u/>
      <sz val="10"/>
      <color indexed="36"/>
      <name val="Arial"/>
      <family val="2"/>
    </font>
    <font>
      <sz val="11"/>
      <color indexed="62"/>
      <name val="Calibri"/>
      <family val="2"/>
    </font>
    <font>
      <sz val="9"/>
      <name val="Times New Roman"/>
      <family val="1"/>
    </font>
    <font>
      <b/>
      <sz val="14"/>
      <name val="Helv"/>
      <charset val="134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sz val="11"/>
      <name val="돋움"/>
      <charset val="134"/>
    </font>
    <font>
      <sz val="8"/>
      <color indexed="18"/>
      <name val="Arial"/>
      <family val="2"/>
    </font>
    <font>
      <b/>
      <sz val="11"/>
      <color indexed="63"/>
      <name val="Calibri"/>
      <family val="2"/>
    </font>
    <font>
      <sz val="12"/>
      <color indexed="9"/>
      <name val="Arial"/>
      <family val="2"/>
    </font>
    <font>
      <sz val="8"/>
      <name val="Helv"/>
      <charset val="134"/>
    </font>
    <font>
      <b/>
      <sz val="12"/>
      <color indexed="8"/>
      <name val="Times New Roman"/>
      <family val="1"/>
    </font>
    <font>
      <b/>
      <sz val="12"/>
      <name val="Albertus Medium"/>
      <charset val="134"/>
    </font>
    <font>
      <b/>
      <sz val="10"/>
      <name val="Times New Roman"/>
      <family val="1"/>
    </font>
    <font>
      <b/>
      <sz val="8"/>
      <color indexed="8"/>
      <name val="Helv"/>
      <charset val="134"/>
    </font>
    <font>
      <b/>
      <sz val="14"/>
      <name val="Tms Rmn"/>
      <charset val="134"/>
    </font>
    <font>
      <sz val="24"/>
      <color indexed="13"/>
      <name val="Helv"/>
      <charset val="134"/>
    </font>
    <font>
      <b/>
      <sz val="18"/>
      <color indexed="62"/>
      <name val="Cambria"/>
      <family val="1"/>
    </font>
    <font>
      <b/>
      <sz val="11"/>
      <color indexed="8"/>
      <name val="Calibri"/>
      <family val="2"/>
    </font>
    <font>
      <sz val="9"/>
      <name val="Arial"/>
      <family val="2"/>
    </font>
    <font>
      <b/>
      <sz val="10"/>
      <name val="Helv"/>
      <charset val="134"/>
    </font>
    <font>
      <b/>
      <sz val="8.0500000000000007"/>
      <color indexed="16"/>
      <name val="Verdana"/>
      <family val="2"/>
    </font>
    <font>
      <sz val="10"/>
      <name val="BERNHARD"/>
      <charset val="134"/>
    </font>
    <font>
      <sz val="10"/>
      <name val="Helv"/>
      <charset val="134"/>
    </font>
    <font>
      <b/>
      <sz val="12"/>
      <name val="Helv"/>
      <charset val="134"/>
    </font>
    <font>
      <sz val="11"/>
      <color rgb="FF3F3F76"/>
      <name val="Agency FB"/>
      <family val="2"/>
    </font>
    <font>
      <u/>
      <sz val="10"/>
      <color indexed="12"/>
      <name val="Times New Roman"/>
      <family val="1"/>
    </font>
    <font>
      <b/>
      <sz val="10"/>
      <name val="DUTCH"/>
      <charset val="134"/>
    </font>
    <font>
      <b/>
      <sz val="11"/>
      <name val="Helv"/>
      <charset val="134"/>
    </font>
    <font>
      <sz val="7"/>
      <name val="Small Fonts"/>
      <charset val="134"/>
    </font>
    <font>
      <sz val="10"/>
      <color indexed="8"/>
      <name val="MS Sans Serif"/>
      <charset val="134"/>
    </font>
    <font>
      <b/>
      <i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name val="Geneva"/>
      <charset val="134"/>
    </font>
    <font>
      <sz val="10"/>
      <name val="MS Sans Serif"/>
      <charset val="178"/>
    </font>
    <font>
      <b/>
      <i/>
      <sz val="10"/>
      <color indexed="14"/>
      <name val="Geneva"/>
      <charset val="134"/>
    </font>
    <font>
      <b/>
      <sz val="11"/>
      <color indexed="52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9"/>
      <name val="Calibri"/>
      <family val="2"/>
    </font>
    <font>
      <b/>
      <sz val="18"/>
      <color indexed="56"/>
      <name val="Cambria"/>
      <family val="1"/>
    </font>
    <font>
      <sz val="11"/>
      <color indexed="60"/>
      <name val="Calibri"/>
      <family val="2"/>
    </font>
    <font>
      <i/>
      <sz val="11"/>
      <color indexed="23"/>
      <name val="Calibri"/>
      <family val="2"/>
    </font>
    <font>
      <sz val="11"/>
      <color indexed="52"/>
      <name val="Calibri"/>
      <family val="2"/>
    </font>
    <font>
      <sz val="10"/>
      <name val="Courier"/>
      <family val="3"/>
    </font>
    <font>
      <sz val="12"/>
      <color rgb="FF000000"/>
      <name val="Times New Roman"/>
      <family val="1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44"/>
      </patternFill>
    </fill>
    <fill>
      <patternFill patternType="solid">
        <fgColor indexed="47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26"/>
      </patternFill>
    </fill>
    <fill>
      <patternFill patternType="solid">
        <fgColor indexed="58"/>
        <bgColor indexed="59"/>
      </patternFill>
    </fill>
    <fill>
      <patternFill patternType="solid">
        <fgColor indexed="31"/>
        <bgColor indexed="41"/>
      </patternFill>
    </fill>
    <fill>
      <patternFill patternType="solid">
        <fgColor indexed="41"/>
        <bgColor indexed="31"/>
      </patternFill>
    </fill>
    <fill>
      <patternFill patternType="solid">
        <fgColor indexed="45"/>
        <bgColor indexed="29"/>
      </patternFill>
    </fill>
    <fill>
      <patternFill patternType="solid">
        <fgColor indexed="1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5"/>
        <bgColor indexed="64"/>
      </patternFill>
    </fill>
  </fills>
  <borders count="3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hair">
        <color indexed="22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10"/>
      </bottom>
      <diagonal/>
    </border>
    <border>
      <left/>
      <right style="thin">
        <color auto="1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double">
        <color indexed="8"/>
      </left>
      <right/>
      <top style="double">
        <color indexed="8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</borders>
  <cellStyleXfs count="474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2" borderId="0"/>
    <xf numFmtId="172" fontId="4" fillId="3" borderId="10"/>
    <xf numFmtId="0" fontId="18" fillId="3" borderId="0"/>
    <xf numFmtId="0" fontId="4" fillId="2" borderId="0"/>
    <xf numFmtId="173" fontId="4" fillId="0" borderId="0" applyFill="0" applyBorder="0" applyAlignment="0" applyProtection="0"/>
    <xf numFmtId="174" fontId="4" fillId="0" borderId="0" applyFill="0" applyBorder="0" applyAlignment="0" applyProtection="0"/>
    <xf numFmtId="0" fontId="4" fillId="0" borderId="0"/>
    <xf numFmtId="0" fontId="10" fillId="0" borderId="0" applyNumberFormat="0" applyFont="0" applyFill="0" applyBorder="0" applyAlignment="0" applyProtection="0">
      <alignment vertical="top"/>
    </xf>
    <xf numFmtId="175" fontId="19" fillId="0" borderId="0">
      <protection locked="0"/>
    </xf>
    <xf numFmtId="175" fontId="19" fillId="0" borderId="0">
      <protection locked="0"/>
    </xf>
    <xf numFmtId="175" fontId="19" fillId="0" borderId="0">
      <protection locked="0"/>
    </xf>
    <xf numFmtId="175" fontId="19" fillId="0" borderId="0">
      <protection locked="0"/>
    </xf>
    <xf numFmtId="175" fontId="19" fillId="0" borderId="0">
      <protection locked="0"/>
    </xf>
    <xf numFmtId="175" fontId="19" fillId="0" borderId="0">
      <protection locked="0"/>
    </xf>
    <xf numFmtId="175" fontId="19" fillId="0" borderId="0">
      <protection locked="0"/>
    </xf>
    <xf numFmtId="175" fontId="19" fillId="0" borderId="0">
      <protection locked="0"/>
    </xf>
    <xf numFmtId="175" fontId="19" fillId="0" borderId="0">
      <protection locked="0"/>
    </xf>
    <xf numFmtId="175" fontId="19" fillId="0" borderId="0">
      <protection locked="0"/>
    </xf>
    <xf numFmtId="175" fontId="19" fillId="0" borderId="0">
      <protection locked="0"/>
    </xf>
    <xf numFmtId="175" fontId="19" fillId="0" borderId="0">
      <protection locked="0"/>
    </xf>
    <xf numFmtId="0" fontId="4" fillId="0" borderId="0"/>
    <xf numFmtId="0" fontId="8" fillId="0" borderId="0">
      <alignment horizontal="centerContinuous"/>
    </xf>
    <xf numFmtId="176" fontId="20" fillId="0" borderId="11">
      <alignment vertical="center"/>
      <protection locked="0"/>
    </xf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3" borderId="0" applyNumberFormat="0" applyBorder="0" applyAlignment="0" applyProtection="0"/>
    <xf numFmtId="0" fontId="21" fillId="6" borderId="0" applyNumberFormat="0" applyBorder="0" applyAlignment="0" applyProtection="0"/>
    <xf numFmtId="0" fontId="21" fillId="3" borderId="0" applyNumberFormat="0" applyBorder="0" applyAlignment="0" applyProtection="0"/>
    <xf numFmtId="0" fontId="21" fillId="7" borderId="0" applyNumberFormat="0" applyBorder="0" applyAlignment="0" applyProtection="0"/>
    <xf numFmtId="0" fontId="21" fillId="8" borderId="0" applyNumberFormat="0" applyBorder="0" applyAlignment="0" applyProtection="0"/>
    <xf numFmtId="0" fontId="21" fillId="9" borderId="0" applyNumberFormat="0" applyBorder="0" applyAlignment="0" applyProtection="0"/>
    <xf numFmtId="0" fontId="21" fillId="7" borderId="0" applyNumberFormat="0" applyBorder="0" applyAlignment="0" applyProtection="0"/>
    <xf numFmtId="0" fontId="21" fillId="3" borderId="0" applyNumberFormat="0" applyBorder="0" applyAlignment="0" applyProtection="0"/>
    <xf numFmtId="0" fontId="22" fillId="7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9" borderId="0" applyNumberFormat="0" applyBorder="0" applyAlignment="0" applyProtection="0"/>
    <xf numFmtId="0" fontId="22" fillId="7" borderId="0" applyNumberFormat="0" applyBorder="0" applyAlignment="0" applyProtection="0"/>
    <xf numFmtId="0" fontId="22" fillId="5" borderId="0" applyNumberFormat="0" applyBorder="0" applyAlignment="0" applyProtection="0"/>
    <xf numFmtId="0" fontId="22" fillId="12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3" fillId="15" borderId="0" applyNumberFormat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/>
    <xf numFmtId="0" fontId="14" fillId="0" borderId="12" applyNumberFormat="0" applyFill="0" applyAlignment="0" applyProtection="0"/>
    <xf numFmtId="177" fontId="4" fillId="0" borderId="0" applyFill="0" applyBorder="0" applyAlignment="0" applyProtection="0"/>
    <xf numFmtId="178" fontId="4" fillId="0" borderId="0" applyFill="0" applyBorder="0" applyAlignment="0"/>
    <xf numFmtId="179" fontId="4" fillId="0" borderId="0" applyFill="0" applyBorder="0" applyAlignment="0"/>
    <xf numFmtId="180" fontId="4" fillId="0" borderId="0" applyFill="0" applyBorder="0" applyAlignment="0"/>
    <xf numFmtId="0" fontId="26" fillId="16" borderId="13" applyNumberFormat="0" applyAlignment="0" applyProtection="0"/>
    <xf numFmtId="3" fontId="4" fillId="0" borderId="14" applyFill="0" applyProtection="0">
      <alignment horizontal="right"/>
    </xf>
    <xf numFmtId="181" fontId="4" fillId="0" borderId="0"/>
    <xf numFmtId="181" fontId="4" fillId="0" borderId="0"/>
    <xf numFmtId="181" fontId="4" fillId="0" borderId="0"/>
    <xf numFmtId="181" fontId="4" fillId="0" borderId="0"/>
    <xf numFmtId="181" fontId="4" fillId="0" borderId="0"/>
    <xf numFmtId="181" fontId="4" fillId="0" borderId="0"/>
    <xf numFmtId="181" fontId="4" fillId="0" borderId="0"/>
    <xf numFmtId="181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182" fontId="4" fillId="0" borderId="0" applyFill="0" applyBorder="0" applyAlignment="0" applyProtection="0"/>
    <xf numFmtId="43" fontId="1" fillId="0" borderId="0" applyFont="0" applyFill="0" applyBorder="0" applyAlignment="0" applyProtection="0"/>
    <xf numFmtId="166" fontId="4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18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0" fillId="0" borderId="0" applyFont="0" applyFill="0" applyBorder="0" applyAlignment="0" applyProtection="0">
      <alignment vertical="top"/>
    </xf>
    <xf numFmtId="43" fontId="13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185" fontId="9" fillId="0" borderId="0" applyFill="0" applyBorder="0">
      <alignment horizontal="left"/>
    </xf>
    <xf numFmtId="0" fontId="28" fillId="0" borderId="0" applyFill="0" applyBorder="0"/>
    <xf numFmtId="0" fontId="29" fillId="0" borderId="0" applyNumberFormat="0" applyAlignment="0">
      <alignment horizontal="left"/>
    </xf>
    <xf numFmtId="0" fontId="27" fillId="0" borderId="0" applyNumberFormat="0" applyFill="0" applyBorder="0" applyAlignment="0" applyProtection="0"/>
    <xf numFmtId="0" fontId="30" fillId="0" borderId="0"/>
    <xf numFmtId="186" fontId="4" fillId="0" borderId="0" applyFill="0" applyBorder="0" applyAlignment="0" applyProtection="0"/>
    <xf numFmtId="0" fontId="30" fillId="0" borderId="14"/>
    <xf numFmtId="187" fontId="19" fillId="0" borderId="0">
      <protection locked="0"/>
    </xf>
    <xf numFmtId="0" fontId="31" fillId="2" borderId="0"/>
    <xf numFmtId="38" fontId="32" fillId="0" borderId="0" applyFont="0" applyFill="0" applyBorder="0" applyAlignment="0" applyProtection="0"/>
    <xf numFmtId="40" fontId="32" fillId="0" borderId="0" applyFont="0" applyFill="0" applyBorder="0" applyAlignment="0" applyProtection="0"/>
    <xf numFmtId="188" fontId="33" fillId="0" borderId="0"/>
    <xf numFmtId="180" fontId="4" fillId="0" borderId="0" applyFill="0" applyBorder="0" applyAlignment="0"/>
    <xf numFmtId="0" fontId="34" fillId="0" borderId="0" applyNumberFormat="0" applyAlignment="0">
      <alignment horizontal="left"/>
    </xf>
    <xf numFmtId="189" fontId="13" fillId="0" borderId="0" applyFont="0" applyFill="0" applyBorder="0" applyAlignment="0" applyProtection="0"/>
    <xf numFmtId="0" fontId="35" fillId="0" borderId="0" applyFill="0" applyAlignment="0"/>
    <xf numFmtId="190" fontId="19" fillId="0" borderId="0">
      <protection locked="0"/>
    </xf>
    <xf numFmtId="0" fontId="36" fillId="7" borderId="0" applyNumberFormat="0" applyBorder="0" applyAlignment="0" applyProtection="0"/>
    <xf numFmtId="38" fontId="37" fillId="2" borderId="0" applyNumberFormat="0" applyBorder="0" applyAlignment="0" applyProtection="0"/>
    <xf numFmtId="0" fontId="4" fillId="17" borderId="0" applyNumberFormat="0" applyBorder="0" applyAlignment="0" applyProtection="0"/>
    <xf numFmtId="0" fontId="6" fillId="0" borderId="8" applyNumberFormat="0" applyAlignment="0" applyProtection="0">
      <alignment horizontal="left" vertical="center"/>
    </xf>
    <xf numFmtId="0" fontId="6" fillId="0" borderId="3">
      <alignment horizontal="left" vertical="center"/>
    </xf>
    <xf numFmtId="0" fontId="38" fillId="0" borderId="15" applyNumberFormat="0" applyFill="0" applyAlignment="0" applyProtection="0"/>
    <xf numFmtId="0" fontId="39" fillId="0" borderId="16" applyNumberFormat="0" applyFill="0" applyAlignment="0" applyProtection="0"/>
    <xf numFmtId="0" fontId="40" fillId="0" borderId="17" applyNumberFormat="0" applyFill="0" applyAlignment="0" applyProtection="0"/>
    <xf numFmtId="0" fontId="40" fillId="0" borderId="0" applyNumberFormat="0" applyFill="0" applyBorder="0" applyAlignment="0" applyProtection="0"/>
    <xf numFmtId="175" fontId="41" fillId="0" borderId="0">
      <protection locked="0"/>
    </xf>
    <xf numFmtId="175" fontId="41" fillId="0" borderId="0">
      <protection locked="0"/>
    </xf>
    <xf numFmtId="3" fontId="4" fillId="18" borderId="14" applyProtection="0">
      <alignment horizontal="right"/>
    </xf>
    <xf numFmtId="10" fontId="4" fillId="18" borderId="14" applyProtection="0">
      <alignment horizontal="right"/>
    </xf>
    <xf numFmtId="9" fontId="4" fillId="18" borderId="14" applyProtection="0">
      <alignment horizontal="right"/>
    </xf>
    <xf numFmtId="0" fontId="4" fillId="18" borderId="0" applyNumberFormat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10" fontId="37" fillId="16" borderId="5" applyNumberFormat="0" applyBorder="0" applyAlignment="0" applyProtection="0"/>
    <xf numFmtId="0" fontId="43" fillId="8" borderId="13" applyNumberFormat="0" applyAlignment="0" applyProtection="0"/>
    <xf numFmtId="191" fontId="4" fillId="19" borderId="14" applyAlignment="0">
      <protection locked="0"/>
    </xf>
    <xf numFmtId="3" fontId="4" fillId="19" borderId="14">
      <alignment horizontal="right"/>
      <protection locked="0"/>
    </xf>
    <xf numFmtId="183" fontId="4" fillId="19" borderId="14">
      <alignment horizontal="right"/>
      <protection locked="0"/>
    </xf>
    <xf numFmtId="10" fontId="4" fillId="19" borderId="14">
      <alignment horizontal="right"/>
      <protection locked="0"/>
    </xf>
    <xf numFmtId="9" fontId="4" fillId="19" borderId="18">
      <alignment horizontal="right"/>
      <protection locked="0"/>
    </xf>
    <xf numFmtId="0" fontId="4" fillId="19" borderId="14">
      <alignment horizontal="center" wrapText="1"/>
      <protection locked="0"/>
    </xf>
    <xf numFmtId="49" fontId="4" fillId="19" borderId="14" applyAlignment="0">
      <protection locked="0"/>
    </xf>
    <xf numFmtId="192" fontId="4" fillId="0" borderId="0"/>
    <xf numFmtId="193" fontId="44" fillId="0" borderId="0"/>
    <xf numFmtId="0" fontId="45" fillId="20" borderId="14"/>
    <xf numFmtId="180" fontId="4" fillId="0" borderId="0" applyFill="0" applyBorder="0" applyAlignment="0"/>
    <xf numFmtId="0" fontId="46" fillId="0" borderId="19" applyNumberFormat="0" applyFill="0" applyAlignment="0" applyProtection="0"/>
    <xf numFmtId="17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202" fontId="33" fillId="0" borderId="0" applyFill="0" applyBorder="0">
      <alignment horizontal="center" vertical="top"/>
    </xf>
    <xf numFmtId="0" fontId="47" fillId="8" borderId="0" applyNumberFormat="0" applyBorder="0" applyAlignment="0" applyProtection="0"/>
    <xf numFmtId="0" fontId="3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0" fillId="0" borderId="0">
      <alignment vertical="top"/>
    </xf>
    <xf numFmtId="0" fontId="20" fillId="0" borderId="0">
      <alignment vertical="top"/>
    </xf>
    <xf numFmtId="0" fontId="4" fillId="0" borderId="0"/>
    <xf numFmtId="0" fontId="20" fillId="0" borderId="0">
      <alignment vertical="top"/>
    </xf>
    <xf numFmtId="0" fontId="20" fillId="0" borderId="0">
      <alignment vertical="top"/>
    </xf>
    <xf numFmtId="0" fontId="20" fillId="0" borderId="0">
      <alignment vertical="top"/>
    </xf>
    <xf numFmtId="0" fontId="20" fillId="0" borderId="0">
      <alignment vertical="top"/>
    </xf>
    <xf numFmtId="0" fontId="20" fillId="0" borderId="0">
      <alignment vertical="top"/>
    </xf>
    <xf numFmtId="0" fontId="1" fillId="0" borderId="0"/>
    <xf numFmtId="0" fontId="1" fillId="0" borderId="0"/>
    <xf numFmtId="0" fontId="4" fillId="0" borderId="0"/>
    <xf numFmtId="0" fontId="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4" fillId="0" borderId="0"/>
    <xf numFmtId="0" fontId="21" fillId="0" borderId="0"/>
    <xf numFmtId="0" fontId="21" fillId="0" borderId="0"/>
    <xf numFmtId="0" fontId="13" fillId="0" borderId="0"/>
    <xf numFmtId="0" fontId="13" fillId="0" borderId="0"/>
    <xf numFmtId="0" fontId="48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20" fillId="0" borderId="0">
      <alignment vertical="top"/>
    </xf>
    <xf numFmtId="0" fontId="1" fillId="0" borderId="0"/>
    <xf numFmtId="0" fontId="21" fillId="0" borderId="0"/>
    <xf numFmtId="0" fontId="2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3" fillId="0" borderId="0"/>
    <xf numFmtId="0" fontId="1" fillId="0" borderId="0"/>
    <xf numFmtId="0" fontId="20" fillId="0" borderId="0">
      <alignment vertical="top"/>
    </xf>
    <xf numFmtId="0" fontId="37" fillId="0" borderId="20">
      <alignment horizontal="left"/>
    </xf>
    <xf numFmtId="0" fontId="4" fillId="3" borderId="21" applyNumberFormat="0" applyFont="0" applyAlignment="0" applyProtection="0"/>
    <xf numFmtId="0" fontId="49" fillId="0" borderId="0">
      <alignment wrapText="1"/>
    </xf>
    <xf numFmtId="3" fontId="4" fillId="21" borderId="14">
      <alignment horizontal="right"/>
      <protection locked="0"/>
    </xf>
    <xf numFmtId="183" fontId="4" fillId="21" borderId="14">
      <alignment horizontal="right"/>
      <protection locked="0"/>
    </xf>
    <xf numFmtId="10" fontId="4" fillId="21" borderId="14">
      <alignment horizontal="right"/>
      <protection locked="0"/>
    </xf>
    <xf numFmtId="9" fontId="4" fillId="21" borderId="14">
      <alignment horizontal="right"/>
      <protection locked="0"/>
    </xf>
    <xf numFmtId="0" fontId="4" fillId="21" borderId="14">
      <alignment horizontal="center" wrapText="1"/>
    </xf>
    <xf numFmtId="0" fontId="4" fillId="21" borderId="14" applyNumberFormat="0">
      <alignment horizontal="center" wrapText="1"/>
      <protection locked="0"/>
    </xf>
    <xf numFmtId="0" fontId="50" fillId="16" borderId="22" applyNumberFormat="0" applyAlignment="0" applyProtection="0"/>
    <xf numFmtId="0" fontId="37" fillId="0" borderId="0" applyFill="0" applyBorder="0" applyProtection="0">
      <alignment horizontal="center" vertical="center"/>
    </xf>
    <xf numFmtId="10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4" fillId="0" borderId="0" applyFill="0" applyBorder="0" applyAlignment="0" applyProtection="0"/>
    <xf numFmtId="9" fontId="1" fillId="0" borderId="0" applyFont="0" applyFill="0" applyBorder="0" applyAlignment="0" applyProtection="0"/>
    <xf numFmtId="9" fontId="20" fillId="0" borderId="0" applyFont="0" applyFill="0" applyBorder="0" applyAlignment="0" applyProtection="0"/>
    <xf numFmtId="180" fontId="4" fillId="0" borderId="0" applyFill="0" applyBorder="0" applyAlignment="0"/>
    <xf numFmtId="0" fontId="51" fillId="0" borderId="7" applyNumberFormat="0" applyBorder="0" applyAlignment="0"/>
    <xf numFmtId="0" fontId="30" fillId="0" borderId="0"/>
    <xf numFmtId="203" fontId="52" fillId="0" borderId="0" applyNumberFormat="0" applyFill="0" applyBorder="0" applyAlignment="0" applyProtection="0">
      <alignment horizontal="left"/>
    </xf>
    <xf numFmtId="0" fontId="15" fillId="0" borderId="0"/>
    <xf numFmtId="204" fontId="4" fillId="22" borderId="14">
      <alignment horizontal="center"/>
    </xf>
    <xf numFmtId="3" fontId="4" fillId="22" borderId="14">
      <alignment horizontal="right"/>
    </xf>
    <xf numFmtId="205" fontId="4" fillId="22" borderId="14">
      <alignment horizontal="right"/>
    </xf>
    <xf numFmtId="183" fontId="4" fillId="22" borderId="14">
      <alignment horizontal="right"/>
    </xf>
    <xf numFmtId="10" fontId="4" fillId="22" borderId="14">
      <alignment horizontal="right"/>
    </xf>
    <xf numFmtId="9" fontId="4" fillId="22" borderId="14">
      <alignment horizontal="right"/>
    </xf>
    <xf numFmtId="206" fontId="4" fillId="22" borderId="14">
      <alignment horizontal="center" wrapText="1"/>
    </xf>
    <xf numFmtId="0" fontId="4" fillId="0" borderId="0" applyFont="0" applyFill="0" applyBorder="0" applyAlignment="0" applyProtection="0"/>
    <xf numFmtId="0" fontId="4" fillId="0" borderId="0"/>
    <xf numFmtId="0" fontId="53" fillId="0" borderId="0"/>
    <xf numFmtId="0" fontId="54" fillId="0" borderId="0">
      <alignment horizontal="left" vertical="center"/>
    </xf>
    <xf numFmtId="0" fontId="55" fillId="0" borderId="0" applyNumberFormat="0" applyFill="0" applyBorder="0" applyProtection="0">
      <alignment vertical="center"/>
    </xf>
    <xf numFmtId="40" fontId="56" fillId="0" borderId="0" applyBorder="0">
      <alignment horizontal="right"/>
    </xf>
    <xf numFmtId="1" fontId="4" fillId="24" borderId="14">
      <alignment horizontal="right"/>
    </xf>
    <xf numFmtId="207" fontId="4" fillId="24" borderId="14"/>
    <xf numFmtId="9" fontId="4" fillId="24" borderId="14">
      <alignment horizontal="right"/>
    </xf>
    <xf numFmtId="180" fontId="4" fillId="24" borderId="14">
      <alignment horizontal="right"/>
    </xf>
    <xf numFmtId="10" fontId="4" fillId="24" borderId="14">
      <alignment horizontal="right"/>
    </xf>
    <xf numFmtId="0" fontId="4" fillId="24" borderId="14">
      <alignment horizontal="center" wrapText="1"/>
    </xf>
    <xf numFmtId="49" fontId="4" fillId="24" borderId="14"/>
    <xf numFmtId="207" fontId="4" fillId="25" borderId="14"/>
    <xf numFmtId="9" fontId="4" fillId="25" borderId="14">
      <alignment horizontal="right"/>
    </xf>
    <xf numFmtId="207" fontId="4" fillId="26" borderId="14">
      <alignment horizontal="right"/>
    </xf>
    <xf numFmtId="1" fontId="4" fillId="26" borderId="14">
      <alignment horizontal="right"/>
    </xf>
    <xf numFmtId="207" fontId="4" fillId="26" borderId="14"/>
    <xf numFmtId="183" fontId="4" fillId="26" borderId="14"/>
    <xf numFmtId="10" fontId="4" fillId="26" borderId="14">
      <alignment horizontal="right"/>
    </xf>
    <xf numFmtId="9" fontId="4" fillId="26" borderId="14">
      <alignment horizontal="right"/>
    </xf>
    <xf numFmtId="180" fontId="4" fillId="26" borderId="14">
      <alignment horizontal="right"/>
    </xf>
    <xf numFmtId="10" fontId="4" fillId="26" borderId="23">
      <alignment horizontal="right"/>
    </xf>
    <xf numFmtId="0" fontId="4" fillId="26" borderId="14">
      <alignment horizontal="center" wrapText="1"/>
      <protection locked="0"/>
    </xf>
    <xf numFmtId="49" fontId="4" fillId="26" borderId="14"/>
    <xf numFmtId="0" fontId="30" fillId="0" borderId="14"/>
    <xf numFmtId="37" fontId="57" fillId="0" borderId="24" applyNumberFormat="0" applyFont="0" applyBorder="0" applyAlignment="0" applyProtection="0">
      <alignment horizontal="centerContinuous"/>
    </xf>
    <xf numFmtId="49" fontId="20" fillId="0" borderId="0" applyFill="0" applyBorder="0" applyAlignment="0"/>
    <xf numFmtId="180" fontId="4" fillId="0" borderId="0" applyFill="0" applyBorder="0" applyAlignment="0"/>
    <xf numFmtId="0" fontId="58" fillId="27" borderId="0"/>
    <xf numFmtId="0" fontId="59" fillId="0" borderId="0" applyNumberFormat="0" applyFill="0" applyBorder="0" applyAlignment="0" applyProtection="0"/>
    <xf numFmtId="0" fontId="60" fillId="0" borderId="25" applyNumberFormat="0" applyFill="0" applyAlignment="0" applyProtection="0"/>
    <xf numFmtId="0" fontId="45" fillId="0" borderId="26"/>
    <xf numFmtId="0" fontId="45" fillId="0" borderId="14"/>
    <xf numFmtId="208" fontId="4" fillId="0" borderId="0" applyFill="0" applyBorder="0" applyAlignment="0" applyProtection="0"/>
    <xf numFmtId="209" fontId="4" fillId="0" borderId="0" applyFill="0" applyBorder="0" applyAlignment="0" applyProtection="0"/>
    <xf numFmtId="0" fontId="61" fillId="0" borderId="0" applyFont="0" applyFill="0">
      <alignment horizontal="center"/>
    </xf>
    <xf numFmtId="210" fontId="4" fillId="0" borderId="0" applyFill="0" applyBorder="0" applyAlignment="0" applyProtection="0"/>
    <xf numFmtId="211" fontId="4" fillId="0" borderId="0" applyFill="0" applyBorder="0" applyAlignment="0" applyProtection="0"/>
    <xf numFmtId="212" fontId="32" fillId="0" borderId="0" applyFont="0" applyFill="0" applyBorder="0" applyAlignment="0" applyProtection="0"/>
    <xf numFmtId="213" fontId="32" fillId="0" borderId="0" applyFont="0" applyFill="0" applyBorder="0" applyAlignment="0" applyProtection="0"/>
    <xf numFmtId="0" fontId="20" fillId="0" borderId="0">
      <alignment vertical="top"/>
    </xf>
    <xf numFmtId="0" fontId="21" fillId="29" borderId="0" applyNumberFormat="0" applyBorder="0" applyAlignment="0" applyProtection="0"/>
    <xf numFmtId="0" fontId="21" fillId="9" borderId="0" applyNumberFormat="0" applyBorder="0" applyAlignment="0" applyProtection="0"/>
    <xf numFmtId="0" fontId="21" fillId="30" borderId="0" applyNumberFormat="0" applyBorder="0" applyAlignment="0" applyProtection="0"/>
    <xf numFmtId="0" fontId="21" fillId="15" borderId="0" applyNumberFormat="0" applyBorder="0" applyAlignment="0" applyProtection="0"/>
    <xf numFmtId="0" fontId="21" fillId="7" borderId="0" applyNumberFormat="0" applyBorder="0" applyAlignment="0" applyProtection="0"/>
    <xf numFmtId="0" fontId="21" fillId="6" borderId="0" applyNumberFormat="0" applyBorder="0" applyAlignment="0" applyProtection="0"/>
    <xf numFmtId="3" fontId="4" fillId="0" borderId="5">
      <alignment horizontal="center" vertical="center"/>
    </xf>
    <xf numFmtId="0" fontId="21" fillId="4" borderId="0" applyNumberFormat="0" applyBorder="0" applyAlignment="0" applyProtection="0"/>
    <xf numFmtId="0" fontId="21" fillId="5" borderId="0" applyNumberFormat="0" applyBorder="0" applyAlignment="0" applyProtection="0"/>
    <xf numFmtId="0" fontId="21" fillId="31" borderId="0" applyNumberFormat="0" applyBorder="0" applyAlignment="0" applyProtection="0"/>
    <xf numFmtId="0" fontId="21" fillId="15" borderId="0" applyNumberFormat="0" applyBorder="0" applyAlignment="0" applyProtection="0"/>
    <xf numFmtId="0" fontId="21" fillId="4" borderId="0" applyNumberFormat="0" applyBorder="0" applyAlignment="0" applyProtection="0"/>
    <xf numFmtId="0" fontId="21" fillId="11" borderId="0" applyNumberFormat="0" applyBorder="0" applyAlignment="0" applyProtection="0"/>
    <xf numFmtId="0" fontId="22" fillId="32" borderId="0" applyNumberFormat="0" applyBorder="0" applyAlignment="0" applyProtection="0"/>
    <xf numFmtId="0" fontId="22" fillId="5" borderId="0" applyNumberFormat="0" applyBorder="0" applyAlignment="0" applyProtection="0"/>
    <xf numFmtId="0" fontId="22" fillId="31" borderId="0" applyNumberFormat="0" applyBorder="0" applyAlignment="0" applyProtection="0"/>
    <xf numFmtId="0" fontId="22" fillId="33" borderId="0" applyNumberFormat="0" applyBorder="0" applyAlignment="0" applyProtection="0"/>
    <xf numFmtId="0" fontId="22" fillId="34" borderId="0" applyNumberFormat="0" applyBorder="0" applyAlignment="0" applyProtection="0"/>
    <xf numFmtId="0" fontId="22" fillId="35" borderId="0" applyNumberFormat="0" applyBorder="0" applyAlignment="0" applyProtection="0"/>
    <xf numFmtId="0" fontId="62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3" fillId="0" borderId="0" applyFont="0" applyFill="0" applyBorder="0" applyAlignment="0" applyProtection="0"/>
    <xf numFmtId="43" fontId="1" fillId="0" borderId="0" applyFont="0" applyFill="0" applyBorder="0" applyAlignment="0" applyProtection="0"/>
    <xf numFmtId="221" fontId="4" fillId="0" borderId="0" applyFont="0" applyFill="0" applyBorder="0" applyAlignment="0" applyProtection="0"/>
    <xf numFmtId="221" fontId="6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221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22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43" fontId="6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221" fontId="21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3" fontId="4" fillId="0" borderId="0"/>
    <xf numFmtId="0" fontId="64" fillId="0" borderId="0"/>
    <xf numFmtId="0" fontId="65" fillId="0" borderId="0"/>
    <xf numFmtId="0" fontId="64" fillId="0" borderId="0"/>
    <xf numFmtId="0" fontId="65" fillId="0" borderId="0"/>
    <xf numFmtId="0" fontId="65" fillId="0" borderId="0"/>
    <xf numFmtId="22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223" fontId="4" fillId="0" borderId="0" applyFont="0" applyFill="0" applyBorder="0" applyAlignment="0" applyProtection="0"/>
    <xf numFmtId="171" fontId="10" fillId="0" borderId="0" applyFont="0" applyFill="0" applyBorder="0" applyAlignment="0" applyProtection="0"/>
    <xf numFmtId="223" fontId="4" fillId="0" borderId="0" applyFont="0" applyFill="0" applyBorder="0" applyAlignment="0" applyProtection="0"/>
    <xf numFmtId="171" fontId="10" fillId="0" borderId="0" applyFont="0" applyFill="0" applyBorder="0" applyAlignment="0" applyProtection="0"/>
    <xf numFmtId="171" fontId="21" fillId="0" borderId="0" applyFont="0" applyFill="0" applyBorder="0" applyAlignment="0" applyProtection="0"/>
    <xf numFmtId="0" fontId="19" fillId="0" borderId="0">
      <protection locked="0"/>
    </xf>
    <xf numFmtId="0" fontId="41" fillId="0" borderId="0">
      <protection locked="0"/>
    </xf>
    <xf numFmtId="0" fontId="41" fillId="0" borderId="0">
      <protection locked="0"/>
    </xf>
    <xf numFmtId="224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225" fontId="4" fillId="0" borderId="0" applyFont="0" applyFill="0" applyBorder="0" applyAlignment="0" applyProtection="0"/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19" fillId="0" borderId="0">
      <protection locked="0"/>
    </xf>
    <xf numFmtId="0" fontId="66" fillId="0" borderId="0">
      <alignment horizontal="left"/>
    </xf>
    <xf numFmtId="10" fontId="37" fillId="3" borderId="5" applyNumberFormat="0" applyBorder="0" applyAlignment="0" applyProtection="0"/>
    <xf numFmtId="0" fontId="67" fillId="28" borderId="1" applyNumberFormat="0" applyAlignment="0" applyProtection="0"/>
    <xf numFmtId="43" fontId="4" fillId="0" borderId="0" applyFont="0" applyFill="0" applyBorder="0" applyAlignment="0" applyProtection="0"/>
    <xf numFmtId="0" fontId="68" fillId="0" borderId="0" applyNumberFormat="0" applyFill="0" applyBorder="0" applyAlignment="0" applyProtection="0">
      <alignment vertical="top"/>
      <protection locked="0"/>
    </xf>
    <xf numFmtId="0" fontId="69" fillId="0" borderId="27"/>
    <xf numFmtId="220" fontId="4" fillId="0" borderId="0" applyFont="0" applyFill="0" applyBorder="0" applyAlignment="0" applyProtection="0"/>
    <xf numFmtId="226" fontId="4" fillId="0" borderId="0" applyFont="0" applyFill="0" applyBorder="0" applyAlignment="0" applyProtection="0"/>
    <xf numFmtId="227" fontId="4" fillId="0" borderId="0" applyFont="0" applyFill="0" applyBorder="0" applyAlignment="0" applyProtection="0"/>
    <xf numFmtId="228" fontId="4" fillId="0" borderId="0" applyFont="0" applyFill="0" applyBorder="0" applyAlignment="0" applyProtection="0"/>
    <xf numFmtId="0" fontId="70" fillId="0" borderId="9"/>
    <xf numFmtId="229" fontId="4" fillId="0" borderId="0" applyFont="0" applyFill="0" applyBorder="0" applyAlignment="0" applyProtection="0"/>
    <xf numFmtId="230" fontId="4" fillId="0" borderId="0" applyFont="0" applyFill="0" applyBorder="0" applyAlignment="0" applyProtection="0"/>
    <xf numFmtId="231" fontId="4" fillId="0" borderId="0" applyFont="0" applyFill="0" applyBorder="0" applyAlignment="0" applyProtection="0"/>
    <xf numFmtId="232" fontId="4" fillId="0" borderId="0" applyFont="0" applyFill="0" applyBorder="0" applyAlignment="0" applyProtection="0"/>
    <xf numFmtId="0" fontId="19" fillId="0" borderId="0">
      <protection locked="0"/>
    </xf>
    <xf numFmtId="37" fontId="7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2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2" fontId="4" fillId="0" borderId="0"/>
    <xf numFmtId="0" fontId="4" fillId="0" borderId="0"/>
    <xf numFmtId="0" fontId="4" fillId="0" borderId="0"/>
    <xf numFmtId="0" fontId="72" fillId="0" borderId="0"/>
    <xf numFmtId="0" fontId="13" fillId="0" borderId="0"/>
    <xf numFmtId="0" fontId="4" fillId="0" borderId="0"/>
    <xf numFmtId="0" fontId="4" fillId="0" borderId="0"/>
    <xf numFmtId="0" fontId="1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1" fillId="0" borderId="0"/>
    <xf numFmtId="0" fontId="21" fillId="0" borderId="0"/>
    <xf numFmtId="0" fontId="33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73" fillId="13" borderId="0">
      <alignment horizontal="right"/>
    </xf>
    <xf numFmtId="0" fontId="74" fillId="16" borderId="0"/>
    <xf numFmtId="4" fontId="75" fillId="0" borderId="0">
      <protection locked="0"/>
    </xf>
    <xf numFmtId="9" fontId="33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2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9" fillId="0" borderId="0">
      <protection locked="0"/>
    </xf>
    <xf numFmtId="13" fontId="4" fillId="0" borderId="0" applyFont="0" applyFill="0" applyProtection="0"/>
    <xf numFmtId="38" fontId="52" fillId="0" borderId="0"/>
    <xf numFmtId="234" fontId="76" fillId="0" borderId="0">
      <alignment horizontal="center"/>
    </xf>
    <xf numFmtId="0" fontId="70" fillId="0" borderId="0"/>
    <xf numFmtId="40" fontId="9" fillId="0" borderId="0"/>
    <xf numFmtId="219" fontId="77" fillId="0" borderId="0"/>
    <xf numFmtId="0" fontId="22" fillId="36" borderId="0" applyNumberFormat="0" applyBorder="0" applyAlignment="0" applyProtection="0"/>
    <xf numFmtId="0" fontId="22" fillId="14" borderId="0" applyNumberFormat="0" applyBorder="0" applyAlignment="0" applyProtection="0"/>
    <xf numFmtId="0" fontId="22" fillId="37" borderId="0" applyNumberFormat="0" applyBorder="0" applyAlignment="0" applyProtection="0"/>
    <xf numFmtId="0" fontId="22" fillId="33" borderId="0" applyNumberFormat="0" applyBorder="0" applyAlignment="0" applyProtection="0"/>
    <xf numFmtId="0" fontId="22" fillId="34" borderId="0" applyNumberFormat="0" applyBorder="0" applyAlignment="0" applyProtection="0"/>
    <xf numFmtId="0" fontId="22" fillId="10" borderId="0" applyNumberFormat="0" applyBorder="0" applyAlignment="0" applyProtection="0"/>
    <xf numFmtId="0" fontId="43" fillId="6" borderId="13" applyNumberFormat="0" applyAlignment="0" applyProtection="0"/>
    <xf numFmtId="0" fontId="50" fillId="2" borderId="22" applyNumberFormat="0" applyAlignment="0" applyProtection="0"/>
    <xf numFmtId="0" fontId="78" fillId="2" borderId="13" applyNumberFormat="0" applyAlignment="0" applyProtection="0"/>
    <xf numFmtId="0" fontId="79" fillId="0" borderId="28" applyNumberFormat="0" applyFill="0" applyAlignment="0" applyProtection="0"/>
    <xf numFmtId="0" fontId="80" fillId="0" borderId="29" applyNumberFormat="0" applyFill="0" applyAlignment="0" applyProtection="0"/>
    <xf numFmtId="0" fontId="81" fillId="0" borderId="30" applyNumberFormat="0" applyFill="0" applyAlignment="0" applyProtection="0"/>
    <xf numFmtId="0" fontId="81" fillId="0" borderId="0" applyNumberFormat="0" applyFill="0" applyBorder="0" applyAlignment="0" applyProtection="0"/>
    <xf numFmtId="0" fontId="60" fillId="0" borderId="31" applyNumberFormat="0" applyFill="0" applyAlignment="0" applyProtection="0"/>
    <xf numFmtId="0" fontId="82" fillId="38" borderId="32" applyNumberFormat="0" applyAlignment="0" applyProtection="0"/>
    <xf numFmtId="0" fontId="83" fillId="0" borderId="0" applyNumberFormat="0" applyFill="0" applyBorder="0" applyAlignment="0" applyProtection="0"/>
    <xf numFmtId="0" fontId="84" fillId="8" borderId="0" applyNumberFormat="0" applyBorder="0" applyAlignment="0" applyProtection="0"/>
    <xf numFmtId="0" fontId="4" fillId="0" borderId="0"/>
    <xf numFmtId="0" fontId="4" fillId="0" borderId="0"/>
    <xf numFmtId="0" fontId="23" fillId="9" borderId="0" applyNumberFormat="0" applyBorder="0" applyAlignment="0" applyProtection="0"/>
    <xf numFmtId="0" fontId="85" fillId="0" borderId="0" applyNumberFormat="0" applyFill="0" applyBorder="0" applyAlignment="0" applyProtection="0"/>
    <xf numFmtId="0" fontId="4" fillId="3" borderId="21" applyNumberFormat="0" applyFont="0" applyAlignment="0" applyProtection="0"/>
    <xf numFmtId="0" fontId="86" fillId="0" borderId="33" applyNumberFormat="0" applyFill="0" applyAlignment="0" applyProtection="0"/>
    <xf numFmtId="0" fontId="46" fillId="0" borderId="0" applyNumberFormat="0" applyFill="0" applyBorder="0" applyAlignment="0" applyProtection="0"/>
    <xf numFmtId="0" fontId="36" fillId="30" borderId="0" applyNumberFormat="0" applyBorder="0" applyAlignment="0" applyProtection="0"/>
    <xf numFmtId="219" fontId="4" fillId="0" borderId="0" applyFont="0" applyFill="0" applyBorder="0" applyAlignment="0" applyProtection="0"/>
    <xf numFmtId="0" fontId="7" fillId="0" borderId="0">
      <alignment vertical="center"/>
    </xf>
    <xf numFmtId="185" fontId="87" fillId="0" borderId="0"/>
    <xf numFmtId="0" fontId="20" fillId="0" borderId="0"/>
    <xf numFmtId="43" fontId="4" fillId="0" borderId="0" applyFont="0" applyFill="0" applyBorder="0" applyAlignment="0" applyProtection="0"/>
    <xf numFmtId="0" fontId="33" fillId="0" borderId="0"/>
    <xf numFmtId="0" fontId="1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165" fontId="2" fillId="0" borderId="3" xfId="1" applyNumberFormat="1" applyFont="1" applyBorder="1" applyAlignment="1">
      <alignment horizontal="center"/>
    </xf>
    <xf numFmtId="165" fontId="2" fillId="0" borderId="4" xfId="1" applyNumberFormat="1" applyFont="1" applyBorder="1" applyAlignment="1">
      <alignment horizontal="center"/>
    </xf>
    <xf numFmtId="0" fontId="3" fillId="0" borderId="0" xfId="0" applyFont="1"/>
    <xf numFmtId="0" fontId="2" fillId="0" borderId="5" xfId="0" applyFont="1" applyBorder="1"/>
    <xf numFmtId="165" fontId="2" fillId="0" borderId="5" xfId="1" applyNumberFormat="1" applyFont="1" applyBorder="1" applyAlignment="1">
      <alignment horizontal="right"/>
    </xf>
    <xf numFmtId="0" fontId="3" fillId="0" borderId="5" xfId="0" applyFont="1" applyBorder="1"/>
    <xf numFmtId="165" fontId="3" fillId="0" borderId="5" xfId="1" applyNumberFormat="1" applyFont="1" applyFill="1" applyBorder="1"/>
    <xf numFmtId="165" fontId="3" fillId="0" borderId="0" xfId="0" applyNumberFormat="1" applyFont="1"/>
    <xf numFmtId="165" fontId="2" fillId="0" borderId="5" xfId="1" applyNumberFormat="1" applyFont="1" applyBorder="1"/>
    <xf numFmtId="43" fontId="3" fillId="0" borderId="0" xfId="0" applyNumberFormat="1" applyFont="1"/>
    <xf numFmtId="165" fontId="3" fillId="0" borderId="0" xfId="1" applyNumberFormat="1" applyFont="1"/>
    <xf numFmtId="0" fontId="4" fillId="0" borderId="0" xfId="2"/>
    <xf numFmtId="0" fontId="4" fillId="0" borderId="5" xfId="2" applyBorder="1"/>
    <xf numFmtId="165" fontId="5" fillId="0" borderId="0" xfId="2" applyNumberFormat="1" applyFont="1"/>
    <xf numFmtId="0" fontId="5" fillId="0" borderId="5" xfId="2" applyFont="1" applyBorder="1"/>
    <xf numFmtId="165" fontId="5" fillId="0" borderId="5" xfId="3" applyNumberFormat="1" applyFont="1" applyBorder="1"/>
    <xf numFmtId="165" fontId="4" fillId="0" borderId="5" xfId="3" applyNumberFormat="1" applyFont="1" applyBorder="1"/>
    <xf numFmtId="0" fontId="5" fillId="0" borderId="0" xfId="2" applyFont="1" applyAlignment="1">
      <alignment horizontal="center"/>
    </xf>
    <xf numFmtId="165" fontId="5" fillId="0" borderId="0" xfId="3" applyNumberFormat="1" applyFont="1" applyAlignment="1">
      <alignment horizontal="center"/>
    </xf>
    <xf numFmtId="0" fontId="0" fillId="0" borderId="0" xfId="0"/>
    <xf numFmtId="0" fontId="12" fillId="0" borderId="5" xfId="0" applyFont="1" applyBorder="1"/>
    <xf numFmtId="165" fontId="12" fillId="0" borderId="0" xfId="0" applyNumberFormat="1" applyFont="1"/>
    <xf numFmtId="0" fontId="11" fillId="0" borderId="5" xfId="0" applyFont="1" applyBorder="1"/>
    <xf numFmtId="0" fontId="11" fillId="0" borderId="5" xfId="0" applyFont="1" applyBorder="1" applyAlignment="1">
      <alignment horizontal="center"/>
    </xf>
    <xf numFmtId="165" fontId="11" fillId="0" borderId="6" xfId="1" applyNumberFormat="1" applyFont="1" applyBorder="1"/>
    <xf numFmtId="0" fontId="12" fillId="0" borderId="5" xfId="0" applyFont="1" applyBorder="1" applyAlignment="1">
      <alignment horizontal="center"/>
    </xf>
    <xf numFmtId="43" fontId="12" fillId="0" borderId="0" xfId="1" applyFont="1"/>
    <xf numFmtId="219" fontId="12" fillId="0" borderId="0" xfId="0" applyNumberFormat="1" applyFont="1"/>
    <xf numFmtId="165" fontId="17" fillId="0" borderId="5" xfId="1" applyNumberFormat="1" applyFont="1" applyFill="1" applyBorder="1" applyAlignment="1">
      <alignment horizontal="right"/>
    </xf>
    <xf numFmtId="165" fontId="88" fillId="0" borderId="5" xfId="1" applyNumberFormat="1" applyFont="1" applyBorder="1"/>
    <xf numFmtId="165" fontId="17" fillId="0" borderId="5" xfId="1" applyNumberFormat="1" applyFont="1" applyBorder="1"/>
    <xf numFmtId="165" fontId="88" fillId="0" borderId="5" xfId="1" applyNumberFormat="1" applyFont="1" applyFill="1" applyBorder="1"/>
    <xf numFmtId="0" fontId="16" fillId="0" borderId="5" xfId="0" applyFont="1" applyBorder="1" applyAlignment="1">
      <alignment horizontal="center"/>
    </xf>
  </cellXfs>
  <cellStyles count="474">
    <cellStyle name="_x000a_mouse.drv=lm" xfId="4" xr:uid="{44F26884-F50A-4100-A8F3-2831B86C319C}"/>
    <cellStyle name="_accounts 2006.FINAL" xfId="277" xr:uid="{208C7668-A824-49B3-BED3-C7EF7B109ACB}"/>
    <cellStyle name="_Column1" xfId="5" xr:uid="{E08D1428-17D3-438F-ADB7-982BB5D51AAD}"/>
    <cellStyle name="_Data" xfId="6" xr:uid="{4CE034C1-BC44-4741-AAA3-452AC1A4B716}"/>
    <cellStyle name="_Header" xfId="7" xr:uid="{48BBC9A2-036F-453E-A49C-979F66C107CD}"/>
    <cellStyle name="_Row1" xfId="8" xr:uid="{B5A52101-D8E9-4974-B01F-7DCE586E916B}"/>
    <cellStyle name="£ BP" xfId="9" xr:uid="{44A33783-6654-462C-AB54-87B291CF4227}"/>
    <cellStyle name="¥ JY" xfId="10" xr:uid="{C6B5D4E0-23E4-4B20-B8B4-D81ADE00FE1D}"/>
    <cellStyle name="=C:\WINNT\SYSTEM32\COMMAND.COM" xfId="11" xr:uid="{8D44292E-B173-443A-90C4-A36995C7DEE6}"/>
    <cellStyle name="=C:\WINNT\SYSTEM32\COMMAND.COM 2" xfId="12" xr:uid="{970EE479-1853-42F9-AC46-D026363E9BBC}"/>
    <cellStyle name="=C:\WINNT\SYSTEM32\COMMAND.COM 3" xfId="469" xr:uid="{57CBDA2B-3634-44C5-821A-6B752248EAC1}"/>
    <cellStyle name="‡" xfId="13" xr:uid="{E3E8C0CD-673E-4DCD-9ED9-6CBA57E5572E}"/>
    <cellStyle name="‡_ATTENDENCE TOTAL June 2010" xfId="14" xr:uid="{11B04557-1AD5-4786-9449-AFF4BA93C7A3}"/>
    <cellStyle name="‡_ATTENDENCE TOTAL June 2010_CashFlow" xfId="15" xr:uid="{35518139-8720-4403-8029-FD33659A569F}"/>
    <cellStyle name="‡_ATTENDENCE TOTAL June 2010_Draft 2" xfId="16" xr:uid="{BD1A0C3F-B686-4502-BEF4-057C187B5B52}"/>
    <cellStyle name="‡_ATTENDENCE TOTAL June 2010_PharmEvo 2011" xfId="17" xr:uid="{FD716A8B-DD21-4DB5-AF97-E614B9B9E25D}"/>
    <cellStyle name="‡_ATTENDENCE TOTAL June 2010_Xl0000004" xfId="18" xr:uid="{F8D0595A-CA7B-43AF-903E-41E1E01AEF63}"/>
    <cellStyle name="‡_COMPUTER(FINAL)" xfId="19" xr:uid="{C6879306-5BCB-4C01-8C28-EAD565E8FB2D}"/>
    <cellStyle name="‡_COMPUTER(FINAL)_CashFlow" xfId="20" xr:uid="{6B87E890-A727-4EBF-8E06-1375B2E6CBE0}"/>
    <cellStyle name="‡_COMPUTER(FINAL)_Draft 2" xfId="21" xr:uid="{58D9F510-19CC-413C-9A1F-57FC9A245E37}"/>
    <cellStyle name="‡_COMPUTER(FINAL)_Final FIXED ASSETS REGISTER2010-11 -MNG" xfId="22" xr:uid="{D3770D5F-57FE-4A74-A307-B8275D37B67B}"/>
    <cellStyle name="‡_COMPUTER(FINAL)_PharmEvo 2011" xfId="23" xr:uid="{2E4AB10B-0723-42A9-B011-A7415F945E56}"/>
    <cellStyle name="‡_COMPUTER(FINAL)_Xl0000004" xfId="24" xr:uid="{C08F3B3C-5717-4606-A9F9-21177D56593D}"/>
    <cellStyle name="0,0_x000d__x000a_NA_x000d__x000a_" xfId="25" xr:uid="{342119C2-A0A5-4781-BFCF-F6F061DF1B6F}"/>
    <cellStyle name="10" xfId="26" xr:uid="{3B7EF392-7E09-4339-ACB0-7F5B33FBFAC8}"/>
    <cellStyle name="12" xfId="27" xr:uid="{B15E0252-5B1C-48CD-9371-60CA8080C718}"/>
    <cellStyle name="20% - Accent1 2" xfId="28" xr:uid="{7065459D-6E8C-46AA-896D-191EE57F7FCE}"/>
    <cellStyle name="20% - Accent2 2" xfId="29" xr:uid="{277ADE2D-10FF-4941-94AC-FBC39CB47974}"/>
    <cellStyle name="20% - Accent3 2" xfId="30" xr:uid="{B0DDF5F0-9922-44F0-B580-A26F69B56A96}"/>
    <cellStyle name="20% - Accent4 2" xfId="31" xr:uid="{9F43DAB4-1552-47EE-926B-C8BC5A567302}"/>
    <cellStyle name="20% - Accent6 2" xfId="32" xr:uid="{7D46912B-048C-45AD-B0C8-0C42112579D5}"/>
    <cellStyle name="20% - Акцент1" xfId="278" xr:uid="{AEF827E4-0951-486E-8656-79A1475B2B05}"/>
    <cellStyle name="20% - Акцент2" xfId="279" xr:uid="{EDBAC88B-CFE3-4C12-81C2-85BE29CF8BEC}"/>
    <cellStyle name="20% - Акцент3" xfId="280" xr:uid="{EAC0F3AD-4F1D-4013-8D08-C04996F205B7}"/>
    <cellStyle name="20% - Акцент4" xfId="281" xr:uid="{CA67C9BE-26AC-44C2-BB85-E2C6CBA1AAFD}"/>
    <cellStyle name="20% - Акцент5" xfId="282" xr:uid="{2B9E21BA-1BFD-459F-8BB5-62CDC6E3DD36}"/>
    <cellStyle name="20% - Акцент6" xfId="283" xr:uid="{7B9AA4B8-33F7-4E0E-9693-1E5F0B5E34E1}"/>
    <cellStyle name="27440000" xfId="284" xr:uid="{714F4872-EB37-4CA0-BFA0-2C890F3149E9}"/>
    <cellStyle name="40% - Accent1 2" xfId="33" xr:uid="{378FA05F-06A6-418E-8AE2-B83D878AD0AF}"/>
    <cellStyle name="40% - Accent3 2" xfId="34" xr:uid="{0ECBD897-61AF-4902-8757-9B4D47387955}"/>
    <cellStyle name="40% - Accent4 2" xfId="35" xr:uid="{67D631D0-528F-4714-A86E-94A2656B1472}"/>
    <cellStyle name="40% - Accent5 2" xfId="36" xr:uid="{A9785A08-CC69-48DE-8BB8-ED6D0DDF6103}"/>
    <cellStyle name="40% - Accent6 2" xfId="37" xr:uid="{0D6A8B74-EF84-4D14-98D6-CD921820C1B5}"/>
    <cellStyle name="40% - Акцент1" xfId="285" xr:uid="{566B663A-3143-4F54-BAD7-3FAB7B2CA18A}"/>
    <cellStyle name="40% - Акцент2" xfId="286" xr:uid="{DBEAC979-165A-4D74-A2A2-797AABB67989}"/>
    <cellStyle name="40% - Акцент3" xfId="287" xr:uid="{72191811-9D50-40AD-895E-1C5290EE25BA}"/>
    <cellStyle name="40% - Акцент4" xfId="288" xr:uid="{85D7F570-2EC2-4A26-8F9A-C6E7DEECAAA9}"/>
    <cellStyle name="40% - Акцент5" xfId="289" xr:uid="{5BA7C894-3A28-4C19-AEF4-2D6F45416F03}"/>
    <cellStyle name="40% - Акцент6" xfId="290" xr:uid="{D74D2B55-F273-42E2-8CC5-CA6F13280428}"/>
    <cellStyle name="60% - Accent1 2" xfId="38" xr:uid="{387886F3-5269-4D86-BA14-A05F8DC8954D}"/>
    <cellStyle name="60% - Accent2 2" xfId="39" xr:uid="{528E1091-4359-4926-A6B6-DE5DFFF84B5C}"/>
    <cellStyle name="60% - Accent3 2" xfId="40" xr:uid="{DF00FF94-F58E-4D7D-8C9F-8D12007FC092}"/>
    <cellStyle name="60% - Accent4 2" xfId="41" xr:uid="{2D746CA8-A077-48D3-8B08-5435E83BBEC8}"/>
    <cellStyle name="60% - Accent5 2" xfId="42" xr:uid="{4293C430-00B9-487B-AEC2-7E10DC9979BB}"/>
    <cellStyle name="60% - Accent6 2" xfId="43" xr:uid="{02DCE916-36FB-49EE-BFCA-99097BA440EF}"/>
    <cellStyle name="60% - Акцент1" xfId="291" xr:uid="{B552DA03-353F-4F82-8F3A-6E9C7771A43D}"/>
    <cellStyle name="60% - Акцент2" xfId="292" xr:uid="{1B7EF9B8-FE2A-40E2-96F3-ADF60F855E1D}"/>
    <cellStyle name="60% - Акцент3" xfId="293" xr:uid="{42031296-5E4A-4A00-AB99-BB4515DCACFA}"/>
    <cellStyle name="60% - Акцент4" xfId="294" xr:uid="{3B464F18-2DD3-4E05-B623-B7E0104BF7C9}"/>
    <cellStyle name="60% - Акцент5" xfId="295" xr:uid="{7B2DEA8C-1879-43FC-A22A-3BBDB5E57797}"/>
    <cellStyle name="60% - Акцент6" xfId="296" xr:uid="{AEA6BEF9-7D2E-47DC-B89A-EF4D788F751C}"/>
    <cellStyle name="Accent1 2" xfId="44" xr:uid="{E04EAF02-0A68-491A-B15D-91E5CF51BE8B}"/>
    <cellStyle name="Accent2 2" xfId="45" xr:uid="{D5FD2A4C-636F-45C6-BA72-E96D9D4C5AAF}"/>
    <cellStyle name="Accent3 2" xfId="46" xr:uid="{68AC8D00-855E-4B82-8C34-8B216937705C}"/>
    <cellStyle name="Accent4 2" xfId="47" xr:uid="{ADAE87E6-C40E-457E-86A0-948BEB317602}"/>
    <cellStyle name="Accent6 2" xfId="48" xr:uid="{597BF730-774B-4FD1-A52D-100D785E0557}"/>
    <cellStyle name="Bad 2" xfId="49" xr:uid="{73D30F1B-EEAF-4B10-9BCC-E044A6EA9B78}"/>
    <cellStyle name="Besuchter Hyperlink" xfId="50" xr:uid="{BA9BDF55-2602-4E41-B042-9D622562433A}"/>
    <cellStyle name="Body" xfId="51" xr:uid="{73B56CA9-E1DF-4B38-94C4-3C5496ED1E95}"/>
    <cellStyle name="Bold/Border" xfId="52" xr:uid="{3A0C1E2C-6ABC-424E-8B8C-5F740CEEABD4}"/>
    <cellStyle name="Bullet" xfId="53" xr:uid="{AB7485CD-EC62-4D6E-A7AC-6B165725079F}"/>
    <cellStyle name="Calc Currency (0)" xfId="54" xr:uid="{9DD80DE4-2D8F-472D-9179-5CDA007A224F}"/>
    <cellStyle name="Calc Percent (0)" xfId="55" xr:uid="{8093C8A2-0156-4619-B8FB-7A6E1F4B41B1}"/>
    <cellStyle name="Calc Percent (1)" xfId="56" xr:uid="{59C9D81B-7922-4B0B-AED7-ADCE714343AC}"/>
    <cellStyle name="Calculation 2" xfId="57" xr:uid="{B9814870-8F45-4FA1-B78E-C33864A8ACE4}"/>
    <cellStyle name="category" xfId="297" xr:uid="{B0F710A1-DCCE-444A-BF01-963B86142EC9}"/>
    <cellStyle name="checkExposure" xfId="58" xr:uid="{4A4F7A2E-483A-4760-B12F-EFE7F4AA4F33}"/>
    <cellStyle name="Comma" xfId="1" builtinId="3"/>
    <cellStyle name="Comma  - Style1" xfId="59" xr:uid="{730C482F-7EC3-47EA-B7C7-224086AB8ED8}"/>
    <cellStyle name="Comma  - Style1 2" xfId="298" xr:uid="{DB8271A1-6077-4C72-BEEC-928546B7B999}"/>
    <cellStyle name="Comma  - Style2" xfId="60" xr:uid="{54A152CF-FDCA-4DB8-9E96-64B196627F4C}"/>
    <cellStyle name="Comma  - Style2 2" xfId="299" xr:uid="{3F8D0E23-2BEF-4150-9368-2BEA90C5686D}"/>
    <cellStyle name="Comma  - Style3" xfId="61" xr:uid="{21BE8DD8-C3FB-4EA0-BD7F-6B5454A901BE}"/>
    <cellStyle name="Comma  - Style3 2" xfId="300" xr:uid="{84E7ADE9-1332-4EA4-BB5C-40A27A2FEF14}"/>
    <cellStyle name="Comma  - Style4" xfId="62" xr:uid="{9F82D23D-0A28-4C15-B1B5-E7B33F7A0AD8}"/>
    <cellStyle name="Comma  - Style4 2" xfId="301" xr:uid="{829EBE78-4345-41D2-91E2-9FEB8D50A725}"/>
    <cellStyle name="Comma  - Style5" xfId="63" xr:uid="{D0F7CAA1-D292-4A5E-B9FD-4F7E14AE8B13}"/>
    <cellStyle name="Comma  - Style5 2" xfId="302" xr:uid="{FE7D2506-D63C-4349-BD95-6E4882683E19}"/>
    <cellStyle name="Comma  - Style6" xfId="64" xr:uid="{410F8164-72A2-4D89-9B29-FD7080BAEFC8}"/>
    <cellStyle name="Comma  - Style6 2" xfId="303" xr:uid="{B042B4E4-933E-403E-A02A-5342B58E1F7E}"/>
    <cellStyle name="Comma  - Style7" xfId="65" xr:uid="{F82051F1-41B9-46D5-BC05-8BF2A96C3311}"/>
    <cellStyle name="Comma  - Style7 2" xfId="304" xr:uid="{1644FEA1-9A33-4A3D-A581-C7F0FFB48784}"/>
    <cellStyle name="Comma  - Style8" xfId="66" xr:uid="{8601933D-BAB7-44EA-983F-11A2896E16DE}"/>
    <cellStyle name="Comma  - Style8 2" xfId="305" xr:uid="{0D89FE4D-2AC9-48A3-A877-7548C37DA43F}"/>
    <cellStyle name="Comma [0] 2" xfId="306" xr:uid="{69A602EE-ED42-427B-B218-B49FCD7DB133}"/>
    <cellStyle name="Comma 10" xfId="67" xr:uid="{389D5BC7-A38E-424E-B34F-1705A7AB5E83}"/>
    <cellStyle name="Comma 10 2" xfId="68" xr:uid="{7715A7AC-B60A-4A4F-9146-8971E9D19F44}"/>
    <cellStyle name="Comma 10 3" xfId="69" xr:uid="{D37A15CB-B65A-4844-9E16-DD537F6BB35E}"/>
    <cellStyle name="Comma 11" xfId="70" xr:uid="{B500BCF6-1C28-4898-B23A-BFA939EEAA29}"/>
    <cellStyle name="Comma 11 2" xfId="71" xr:uid="{D4B92567-5C8A-4A2B-9B70-875CDF927A86}"/>
    <cellStyle name="Comma 11 3" xfId="307" xr:uid="{DC265B66-AB05-465F-9081-726654E40677}"/>
    <cellStyle name="Comma 12" xfId="72" xr:uid="{20F12BE5-8B5B-4DB0-AC4F-DCC0A7F78F59}"/>
    <cellStyle name="Comma 12 2" xfId="73" xr:uid="{BB61F37B-0C73-40E3-8952-50261C1EB29C}"/>
    <cellStyle name="Comma 12 3" xfId="308" xr:uid="{FD13D652-33CB-4CD4-8CA5-DC057148C9DC}"/>
    <cellStyle name="Comma 13" xfId="74" xr:uid="{7824F56C-06DF-4FB3-839D-D62E80B6FC49}"/>
    <cellStyle name="Comma 14" xfId="75" xr:uid="{30C26DCC-BACA-4CFA-9CEE-5060B88985CC}"/>
    <cellStyle name="Comma 14 2" xfId="309" xr:uid="{0CEA4048-CA22-4911-A81D-ECEE3118F5A0}"/>
    <cellStyle name="Comma 15" xfId="76" xr:uid="{46C79F77-69CB-4957-A366-2B8ABB0CB8C1}"/>
    <cellStyle name="Comma 16" xfId="77" xr:uid="{E814D2C0-16D1-44DA-AE77-2C7FE8CD94F9}"/>
    <cellStyle name="Comma 17" xfId="78" xr:uid="{DB390BA9-7456-4619-A3D6-55A1E69A51A2}"/>
    <cellStyle name="Comma 17 2" xfId="79" xr:uid="{EF8E84E6-D0C7-49DD-A4B9-D8731CD36AA7}"/>
    <cellStyle name="Comma 18" xfId="80" xr:uid="{52A29D58-E2AC-41FF-964D-CF5501EACBC7}"/>
    <cellStyle name="Comma 19" xfId="81" xr:uid="{0B621834-B88A-4F44-87EA-97D28C856BB6}"/>
    <cellStyle name="Comma 2" xfId="82" xr:uid="{EDA16AF6-F122-4585-AEF1-9E06B1304EF0}"/>
    <cellStyle name="Comma 2 2" xfId="83" xr:uid="{2F0BF5E3-A4F9-4307-87EC-3DF1134795B3}"/>
    <cellStyle name="Comma 2 2 2" xfId="84" xr:uid="{F77F1D7D-53F7-4B04-8EF6-1BD169B72822}"/>
    <cellStyle name="Comma 2 2 2 2" xfId="312" xr:uid="{E36AA8E0-138D-4E39-A3E4-ADC89AF9A613}"/>
    <cellStyle name="Comma 2 2 2 2 2" xfId="470" xr:uid="{F284938A-74AF-475E-A83F-97D459707A8D}"/>
    <cellStyle name="Comma 2 2 2 3" xfId="311" xr:uid="{F90B1EF4-626E-4803-A223-32B134D6527B}"/>
    <cellStyle name="Comma 2 2 3" xfId="313" xr:uid="{E29525DB-E895-480B-BE72-BCC1AEDA8481}"/>
    <cellStyle name="Comma 2 2 3 2" xfId="314" xr:uid="{858951CD-DA8A-4E68-9272-A886CC05E24E}"/>
    <cellStyle name="Comma 2 2 4" xfId="315" xr:uid="{0C12B482-BF31-45EC-AB25-04B56BECE4E7}"/>
    <cellStyle name="Comma 2 2 5" xfId="310" xr:uid="{5B2F1DA3-A138-4F55-83CE-F0220286DEB9}"/>
    <cellStyle name="Comma 2 2_Globalink Logistics Group Jafza 2008-Final" xfId="316" xr:uid="{7CDD048A-AB95-4963-8441-D8CF52AB3A85}"/>
    <cellStyle name="Comma 2 3" xfId="85" xr:uid="{9F74E97C-2B46-4838-899A-94FA4B8EE1DE}"/>
    <cellStyle name="Comma 2 3 2" xfId="86" xr:uid="{D00099E5-B829-4777-ABE1-8A57686938AE}"/>
    <cellStyle name="Comma 2 3 2 2" xfId="318" xr:uid="{9160C965-5518-4679-8DDD-402F563DCC74}"/>
    <cellStyle name="Comma 2 3 3" xfId="87" xr:uid="{84A58480-2720-4166-9B71-5D4BB237958C}"/>
    <cellStyle name="Comma 2 3 3 2" xfId="319" xr:uid="{209CA44C-7BD4-4BCA-8A11-C915DFF5C7E8}"/>
    <cellStyle name="Comma 2 3 4" xfId="317" xr:uid="{BB9AA26D-18FA-4897-8248-2C0793A257AC}"/>
    <cellStyle name="Comma 2 4" xfId="88" xr:uid="{B12C11FB-40D5-497F-A00E-00300E12C31A}"/>
    <cellStyle name="Comma 2 4 2" xfId="321" xr:uid="{C85C30B1-D839-4046-B1FF-A8EAF1A3BFB6}"/>
    <cellStyle name="Comma 2 4 3" xfId="320" xr:uid="{66CB9CBC-8469-473C-A3D4-F5A32D2DA6C2}"/>
    <cellStyle name="Comma 2 5" xfId="89" xr:uid="{75AAC368-608E-4A7D-9EAD-659147FBCAC6}"/>
    <cellStyle name="Comma 2 5 2" xfId="322" xr:uid="{A41264F7-1D58-4831-B4F2-E2C5ABF9AE06}"/>
    <cellStyle name="Comma 2 6" xfId="90" xr:uid="{6D4E7E4A-6218-4A3E-B693-B760C98167E2}"/>
    <cellStyle name="Comma 2_2007" xfId="323" xr:uid="{1410580A-B9E2-4D2B-8C1A-63792A1797F2}"/>
    <cellStyle name="Comma 20" xfId="91" xr:uid="{861D60C4-B48E-40E9-9711-2F25FE3D8DE6}"/>
    <cellStyle name="Comma 21" xfId="3" xr:uid="{4567809B-86D7-48C8-A6FD-3ED7534358E5}"/>
    <cellStyle name="Comma 3" xfId="92" xr:uid="{404C5883-0292-4CD8-B4A0-2B5C86D49586}"/>
    <cellStyle name="Comma 3 2" xfId="93" xr:uid="{9A20CE7D-574D-42FD-A0C0-7050E307EA36}"/>
    <cellStyle name="Comma 3 2 2" xfId="326" xr:uid="{B77E7A58-2797-4C23-A9E8-AA01D418E44D}"/>
    <cellStyle name="Comma 3 2 3" xfId="325" xr:uid="{44D04B95-B213-4790-813B-CA3E65A70205}"/>
    <cellStyle name="Comma 3 3" xfId="327" xr:uid="{C9DD142F-2BCB-4451-B431-D2584102D080}"/>
    <cellStyle name="Comma 3 4" xfId="324" xr:uid="{740D5711-52EC-4C17-A065-4938C0BAB78D}"/>
    <cellStyle name="Comma 3_Advance" xfId="328" xr:uid="{83FB6B3E-0B6C-44FB-A2DD-0169B5399DFF}"/>
    <cellStyle name="Comma 4" xfId="94" xr:uid="{A33F5F80-4FF6-40B2-B70D-5B22F826B6AF}"/>
    <cellStyle name="Comma 4 2" xfId="95" xr:uid="{A1867AE3-9889-49D1-BDCE-09E8DC62AEBF}"/>
    <cellStyle name="Comma 4 2 3" xfId="96" xr:uid="{737D7DB9-1A09-4640-859A-A63604E9189E}"/>
    <cellStyle name="Comma 4 3" xfId="97" xr:uid="{C3580A5C-D14F-4CA1-92EB-DE1FFAEF9D7C}"/>
    <cellStyle name="Comma 4 4" xfId="329" xr:uid="{06E5FD27-68F5-4668-A2E8-2D6F20A3AB10}"/>
    <cellStyle name="Comma 5" xfId="98" xr:uid="{C77B29F8-FDC0-4340-81EE-5F8CEB57D240}"/>
    <cellStyle name="Comma 5 2" xfId="330" xr:uid="{101BE5D1-277A-4894-BE8E-96296C8580B5}"/>
    <cellStyle name="Comma 5 2 2" xfId="331" xr:uid="{B9A222F6-9F89-45DF-A84C-DFFF591E4C5B}"/>
    <cellStyle name="Comma 5 3" xfId="473" xr:uid="{B56BCAB2-E12B-4277-A3AA-8FC2B7A60A3B}"/>
    <cellStyle name="Comma 6" xfId="99" xr:uid="{1B6DBEE2-4E9B-4BAB-A0BB-EDFA68FCEE42}"/>
    <cellStyle name="Comma 6 2" xfId="100" xr:uid="{CEFE2A81-2813-424D-8D5D-447DC1258F6F}"/>
    <cellStyle name="Comma 6 2 2" xfId="332" xr:uid="{A0002D5C-ABB9-45BB-8BE0-92D3AA43271C}"/>
    <cellStyle name="Comma 7" xfId="101" xr:uid="{3B7761DE-F1A0-4A6D-B53C-7781D1185058}"/>
    <cellStyle name="Comma 7 2" xfId="333" xr:uid="{2EDCB33E-AB2E-4501-94F0-C80221EC675D}"/>
    <cellStyle name="Comma 8" xfId="102" xr:uid="{7BB6CA12-D365-4C51-9557-05DBF58F2C43}"/>
    <cellStyle name="Comma 8 2" xfId="334" xr:uid="{48760529-6962-4DF8-8EA5-9F9F4E610446}"/>
    <cellStyle name="Comma 9" xfId="103" xr:uid="{DFFDAEF7-A1C9-48EE-8D68-6787DEB136D4}"/>
    <cellStyle name="Comma 9 2" xfId="335" xr:uid="{67A05F73-924E-4C2D-8212-6FC208E06F10}"/>
    <cellStyle name="Comma0" xfId="104" xr:uid="{23C4F666-C310-4037-89F6-7CCD10C30144}"/>
    <cellStyle name="Comma0 - Modelo1" xfId="337" xr:uid="{BE65E3AA-5C63-4CB8-AAB8-CF0C1DAFDBBA}"/>
    <cellStyle name="Comma0 - Style1" xfId="338" xr:uid="{F0122D9D-D4EE-4EC6-9131-D967BB449721}"/>
    <cellStyle name="Comma0 2" xfId="336" xr:uid="{7BF71D0A-AA42-461E-BE3C-ACAF425DCDF6}"/>
    <cellStyle name="Comma1 - Modelo2" xfId="339" xr:uid="{252AEB5C-33D5-41D8-9A28-7329D8BFE41A}"/>
    <cellStyle name="Comma1 - Style2" xfId="340" xr:uid="{763D67DA-7CA4-4CA9-9A8C-E9DC31640E27}"/>
    <cellStyle name="CompanyName" xfId="105" xr:uid="{1D1B8D76-D40C-4CC0-A68D-2B7F497D9280}"/>
    <cellStyle name="Component" xfId="106" xr:uid="{47DF1CA8-393F-479C-8C41-27EA3C0EBD17}"/>
    <cellStyle name="Copied" xfId="107" xr:uid="{312C10EE-7474-4F68-9F6C-02DB788415EE}"/>
    <cellStyle name="Curren - Style1" xfId="341" xr:uid="{7A330C74-F5BD-4D7E-B83F-B00EA04448BB}"/>
    <cellStyle name="Currency 2" xfId="342" xr:uid="{893DFFBB-CE26-4432-A819-776D8F61A8BC}"/>
    <cellStyle name="Currency 2 2" xfId="343" xr:uid="{F4BE97AE-FBF2-43AD-A30E-FB707B107812}"/>
    <cellStyle name="Currency 3" xfId="344" xr:uid="{4A1EE6E1-E3A8-48A8-BC65-DC484C6404B4}"/>
    <cellStyle name="Currency 3 2" xfId="345" xr:uid="{45AEF2C3-A663-4A6E-B6E1-0A9720098B5E}"/>
    <cellStyle name="Currency 4" xfId="346" xr:uid="{A0234039-6625-4634-A1F1-9C6B7C15786B}"/>
    <cellStyle name="Currency 5" xfId="347" xr:uid="{14B9E7CA-3650-4E13-9DCF-F6DB066F26D7}"/>
    <cellStyle name="Currency 6" xfId="348" xr:uid="{16C7BE46-2B2C-4881-B73E-8EEFF30A8DBB}"/>
    <cellStyle name="Currency0" xfId="108" xr:uid="{3CCCFD4C-FE4F-434E-AE09-B6F1143749DD}"/>
    <cellStyle name="Custom - Style8" xfId="109" xr:uid="{015DAC10-A7D3-4D93-90DF-6F3E3992AD10}"/>
    <cellStyle name="Dash" xfId="110" xr:uid="{35C5E21A-D5B2-47A0-8D15-EC62562D8215}"/>
    <cellStyle name="Data   - Style2" xfId="111" xr:uid="{C862BC87-F8B5-4DB4-A484-9C93A253D4C9}"/>
    <cellStyle name="Date" xfId="112" xr:uid="{26F0A8CB-8185-445A-A4B6-21DDCC917EB2}"/>
    <cellStyle name="Description" xfId="113" xr:uid="{1ABD297E-4152-4D8B-8439-F4C01B59E2F3}"/>
    <cellStyle name="Dezimal [0]_AR_CC_Eko-zwgw_Monthly Report_12_01" xfId="114" xr:uid="{D7944F78-4134-4646-B4A6-A7FC11879EC4}"/>
    <cellStyle name="Dezimal_AR_CC_Eko-zwgw_Monthly Report_12_01" xfId="115" xr:uid="{16AA75C8-9000-439C-AD66-1B246E6F971F}"/>
    <cellStyle name="Dia" xfId="349" xr:uid="{A6FA85FF-265E-4B9B-8C30-2A8351B4CFBD}"/>
    <cellStyle name="Dollar" xfId="116" xr:uid="{1FEB3048-FC79-4069-BED4-0A02332FFF95}"/>
    <cellStyle name="Encabez1" xfId="350" xr:uid="{CF0559F1-4446-4DDE-B47B-284905167FAD}"/>
    <cellStyle name="Encabez2" xfId="351" xr:uid="{ADBBB984-174F-4883-8712-0CBE178A2580}"/>
    <cellStyle name="Enter Currency (0)" xfId="117" xr:uid="{DD6FD6FE-5737-48F2-BC7D-8B8AB228B8F5}"/>
    <cellStyle name="Entered" xfId="118" xr:uid="{74E96262-D171-466D-B437-306564D29339}"/>
    <cellStyle name="Euro" xfId="119" xr:uid="{BEB4DDC5-F618-4CDF-9E2A-B102A2C26E51}"/>
    <cellStyle name="Euro 2" xfId="353" xr:uid="{162EF550-1740-41FC-A03C-2F27BB3599E9}"/>
    <cellStyle name="Euro 3" xfId="352" xr:uid="{2C9DE3CE-6647-48A7-8AEF-68869C7F7845}"/>
    <cellStyle name="Euro_CAF_GAVI Budget BDK-FINAL" xfId="354" xr:uid="{7604D6EB-0A4E-4FFE-AC6D-405C637E8812}"/>
    <cellStyle name="F2" xfId="355" xr:uid="{42D1BF86-48F5-4019-94CC-D262BC6AA227}"/>
    <cellStyle name="F3" xfId="356" xr:uid="{10771C09-F778-4A64-8D03-16EA7FBEA29C}"/>
    <cellStyle name="F4" xfId="357" xr:uid="{CA6128A9-ABED-463B-8260-22786AAFCB54}"/>
    <cellStyle name="F5" xfId="358" xr:uid="{D81BD54D-7CF4-43E1-BF5D-C1B211D1597B}"/>
    <cellStyle name="F6" xfId="359" xr:uid="{35EAE870-C7E3-4B43-B97F-FF88DB1D1FC0}"/>
    <cellStyle name="F7" xfId="360" xr:uid="{2FAC1823-92F3-4071-B0AD-43F75F8DF937}"/>
    <cellStyle name="F8" xfId="361" xr:uid="{0F6C19E3-11EC-42E6-A64A-1336D68918C4}"/>
    <cellStyle name="Feature" xfId="120" xr:uid="{E195F85F-D654-4B1B-96D2-109C0E1C2239}"/>
    <cellStyle name="Fijo" xfId="362" xr:uid="{3AD5658A-2681-4679-BABC-84A644A63279}"/>
    <cellStyle name="Financiero" xfId="363" xr:uid="{21ABFCAF-CC0C-4F41-89DA-961265A771B6}"/>
    <cellStyle name="Fixed" xfId="121" xr:uid="{D42E37ED-1EDF-41C8-BA97-13DD7AADCD62}"/>
    <cellStyle name="Good 2" xfId="122" xr:uid="{49E771CD-D7F6-4098-9F10-CD2D106550D6}"/>
    <cellStyle name="Grey" xfId="123" xr:uid="{BFA45D27-DB59-4287-B70E-BCB95759A16E}"/>
    <cellStyle name="greyed" xfId="124" xr:uid="{F561D266-8616-4948-AB68-77B8D6C98354}"/>
    <cellStyle name="HEADER" xfId="364" xr:uid="{947C6E44-1E18-4912-819C-BE09664F0900}"/>
    <cellStyle name="Header1" xfId="125" xr:uid="{3BFC3520-B877-4D1D-AC1E-65E5F82FC09F}"/>
    <cellStyle name="Header2" xfId="126" xr:uid="{7935BB03-1F6D-450A-8D4D-64C4C9BB8A91}"/>
    <cellStyle name="Heading 1 2" xfId="127" xr:uid="{B9D75471-3E86-456B-A933-E93DF050E7E2}"/>
    <cellStyle name="Heading 2 2" xfId="128" xr:uid="{73681F8A-054A-4E78-A096-35ECA072C115}"/>
    <cellStyle name="Heading 3 2" xfId="129" xr:uid="{6B459A28-C2DA-48CE-B7CC-8BC72A85BD80}"/>
    <cellStyle name="Heading 4 2" xfId="130" xr:uid="{0F038C7C-66A1-485C-A109-5D45147173BB}"/>
    <cellStyle name="Heading1" xfId="131" xr:uid="{ACE2CD3B-DE5A-4344-BFAF-9D40051C9109}"/>
    <cellStyle name="Heading2" xfId="132" xr:uid="{6C459B39-F460-4954-9581-B871D6C6101C}"/>
    <cellStyle name="highlightExposure" xfId="133" xr:uid="{EF529049-9AAC-4073-9AF3-2A286FA97EA7}"/>
    <cellStyle name="highlightPD" xfId="134" xr:uid="{18FCEF69-BC55-42B5-916C-365895F27B33}"/>
    <cellStyle name="highlightPercentage" xfId="135" xr:uid="{7107BF67-0EDF-453C-A08E-1D8832D7052C}"/>
    <cellStyle name="highlightText" xfId="136" xr:uid="{704978BE-9D70-4BD0-BA73-96505FCAEB86}"/>
    <cellStyle name="Hyperlink seguido" xfId="137" xr:uid="{D848C022-B497-4F77-A587-5A65D3C03820}"/>
    <cellStyle name="Input [yellow]" xfId="138" xr:uid="{772184D2-1DB3-4165-868C-6C7BD707ED94}"/>
    <cellStyle name="Input [yellow] 2" xfId="365" xr:uid="{A1537BB3-B8DA-4325-AEFB-324B317AE026}"/>
    <cellStyle name="Input 2" xfId="139" xr:uid="{60E1B7D5-5635-4724-8610-84D717905838}"/>
    <cellStyle name="Input 2 2" xfId="366" xr:uid="{390C8260-A7B8-45DA-8DC0-01D346448B85}"/>
    <cellStyle name="inputDate" xfId="140" xr:uid="{4A92A75E-0918-4463-883A-E510209D36AD}"/>
    <cellStyle name="inputExposure" xfId="141" xr:uid="{B7978452-3BCD-4E2E-A605-2E8CF497AC44}"/>
    <cellStyle name="inputMaturity" xfId="142" xr:uid="{89E8BD93-48B7-49AF-9C29-58441925B561}"/>
    <cellStyle name="inputPD" xfId="143" xr:uid="{C1832A49-8ADB-4099-819D-A5D8C7F54937}"/>
    <cellStyle name="inputPercentage" xfId="144" xr:uid="{B4C764DA-42D8-4912-B3A2-9F7193B31C08}"/>
    <cellStyle name="inputSelection" xfId="145" xr:uid="{DEC22847-314F-4F2E-93C0-3E76F4B01487}"/>
    <cellStyle name="inputText" xfId="146" xr:uid="{99F1C3DB-6968-40F1-94BD-C5436177AC17}"/>
    <cellStyle name="Integer" xfId="147" xr:uid="{197E2A94-FE68-4165-96BB-2C5DF945A401}"/>
    <cellStyle name="Intial cap" xfId="148" xr:uid="{E0A76F5B-E589-4E51-AB83-5CBAEEF4907D}"/>
    <cellStyle name="Komma_Prop PRT Baghlan PRB-DCA" xfId="367" xr:uid="{BABD2560-27C0-467E-B461-902964EEBC4F}"/>
    <cellStyle name="Labels - Style3" xfId="149" xr:uid="{4D6AC729-8BF1-412F-B169-6F99FF410F8A}"/>
    <cellStyle name="Lien hypertexte" xfId="368" xr:uid="{162D12CB-69AC-4160-8E1A-4BDA61BAFAF3}"/>
    <cellStyle name="LINES" xfId="369" xr:uid="{00719F8E-4AB2-4825-8DAA-B6B2C3BC1500}"/>
    <cellStyle name="Link Currency (0)" xfId="150" xr:uid="{2AD0D68A-F25A-40DE-ADEA-3025CF9E590C}"/>
    <cellStyle name="Linked Cell 2" xfId="151" xr:uid="{780B4EF4-8BF7-4917-B9CB-804E97675F6E}"/>
    <cellStyle name="Millares [0]_10 AVERIAS MASIVAS + ANT" xfId="370" xr:uid="{E0DF7EA9-D89E-4131-9AA6-F6345AC95415}"/>
    <cellStyle name="Millares_10 AVERIAS MASIVAS + ANT" xfId="371" xr:uid="{4E39EAC4-4ED0-43DE-ADD5-7AE5DB43EC42}"/>
    <cellStyle name="Milliers [0]_  M" xfId="372" xr:uid="{99DC4A30-F730-4EDD-84F9-FADF8C0F4AF1}"/>
    <cellStyle name="Milliers_  M" xfId="373" xr:uid="{783B0377-7F81-4626-83C0-FF1E8989C9D6}"/>
    <cellStyle name="Model" xfId="374" xr:uid="{DF4F61B3-30BF-46DE-9152-7087DE120FEB}"/>
    <cellStyle name="Moeda [0]_dimon" xfId="152" xr:uid="{11B27FEB-B624-45CA-A813-1F2168878E44}"/>
    <cellStyle name="Moeda_dimon" xfId="153" xr:uid="{645F79BE-D65E-40E4-9ED4-3264C7DB48A3}"/>
    <cellStyle name="Moneda [0]_10 AVERIAS MASIVAS + ANT" xfId="375" xr:uid="{82886239-8863-4461-B79F-08DCBB208438}"/>
    <cellStyle name="Moneda_10 AVERIAS MASIVAS + ANT" xfId="376" xr:uid="{E9E7F6EB-C62D-47D6-951F-553DF4D6399A}"/>
    <cellStyle name="Monétaire [0]_  M" xfId="377" xr:uid="{F10E233A-4A20-4C24-BBCE-A2ABED751969}"/>
    <cellStyle name="Monétaire_  M" xfId="378" xr:uid="{4255E859-EE84-4B75-950D-BB4D7EE9F750}"/>
    <cellStyle name="Monetario" xfId="379" xr:uid="{76716DC5-34EB-4D7E-8DD6-55768E3848EA}"/>
    <cellStyle name="MOQ" xfId="154" xr:uid="{EA71012B-0884-4132-B70F-31D1F54EC53B}"/>
    <cellStyle name="Neutral 2" xfId="155" xr:uid="{547C605B-474B-4BF2-A001-768E0489F493}"/>
    <cellStyle name="New Times Roman" xfId="156" xr:uid="{76FE1B93-98BA-4971-B26F-59FF6880B032}"/>
    <cellStyle name="no dec" xfId="380" xr:uid="{CA89F81D-4F19-4808-AA74-89A082E12FBC}"/>
    <cellStyle name="Normal" xfId="0" builtinId="0"/>
    <cellStyle name="Normal - Style1" xfId="157" xr:uid="{F4B72CDF-C48A-438B-9F49-C05AFA88CF80}"/>
    <cellStyle name="Normal - Style1 2" xfId="158" xr:uid="{020596F1-EABD-4041-B72C-3C8D7739CD79}"/>
    <cellStyle name="Normal - Style1 2 2" xfId="159" xr:uid="{BB17192A-3942-4846-A02C-4A87E891BD9E}"/>
    <cellStyle name="Normal 10" xfId="160" xr:uid="{A503E9E9-64BE-4A17-A53C-A7FEE3DA00BD}"/>
    <cellStyle name="Normal 11" xfId="161" xr:uid="{F5C03D0E-A247-4999-9C25-CAD9E3C3D980}"/>
    <cellStyle name="Normal 11 2" xfId="381" xr:uid="{308D3631-6CFE-4008-A032-F63853E5E4A6}"/>
    <cellStyle name="Normal 12" xfId="162" xr:uid="{8FE34340-457E-4E26-A4B1-B252C2264244}"/>
    <cellStyle name="Normal 12 2" xfId="382" xr:uid="{18FA8AFE-D502-4483-BC10-45830EC83048}"/>
    <cellStyle name="Normal 13" xfId="163" xr:uid="{71101281-F4AA-40D7-95E2-3EB53524E99F}"/>
    <cellStyle name="Normal 14" xfId="164" xr:uid="{1B97FC43-163A-4E57-8649-D057B6DE648B}"/>
    <cellStyle name="Normal 14 2" xfId="165" xr:uid="{3374AD4A-3FE4-4CC3-A737-7E9E88055798}"/>
    <cellStyle name="Normal 14 3" xfId="383" xr:uid="{AB624600-EC35-4870-B826-17F59CC84C47}"/>
    <cellStyle name="Normal 15" xfId="166" xr:uid="{CC82865F-45C2-4DE3-92F2-92F9CDE5465D}"/>
    <cellStyle name="Normal 15 2" xfId="384" xr:uid="{06BB9876-5EDB-4330-9E17-1F88230967FD}"/>
    <cellStyle name="Normal 16" xfId="167" xr:uid="{0F23D32D-51F1-458A-B9C6-A0538E4BAF0B}"/>
    <cellStyle name="Normal 16 2" xfId="385" xr:uid="{390418CB-4309-4A5B-B175-6901DF35B674}"/>
    <cellStyle name="Normal 17" xfId="168" xr:uid="{5EE64EEB-C326-4D43-9465-B88EBD69479D}"/>
    <cellStyle name="Normal 17 2" xfId="386" xr:uid="{864E4C72-7533-43B7-88B8-E5612CDAB157}"/>
    <cellStyle name="Normal 18" xfId="169" xr:uid="{85317EBE-EA81-4F4F-8288-F9646C130DB3}"/>
    <cellStyle name="Normal 18 2" xfId="387" xr:uid="{DD136231-D2DB-4633-83C3-CA94D96262C0}"/>
    <cellStyle name="Normal 19" xfId="170" xr:uid="{B7E3666B-2FE6-40A3-A57A-47661F70FCC2}"/>
    <cellStyle name="Normal 19 2" xfId="388" xr:uid="{37F862CC-32BE-4B37-8B06-90F6B021B569}"/>
    <cellStyle name="Normal 2" xfId="171" xr:uid="{9FD56861-AB6E-4F2B-8937-BE405682D466}"/>
    <cellStyle name="Normal 2 2" xfId="172" xr:uid="{2C370FF9-D392-459F-9138-1E476FE30D3E}"/>
    <cellStyle name="Normal 2 2 2" xfId="389" xr:uid="{4CE402FB-2CF1-498C-A5E3-2CAE72DA8A27}"/>
    <cellStyle name="Normal 2 2 2 2" xfId="390" xr:uid="{A8EF20A3-4473-4C9C-B353-46B733EB6759}"/>
    <cellStyle name="Normal 2 2 3" xfId="391" xr:uid="{8DE9DAE6-858D-49C5-B980-A8AB4E4B09E1}"/>
    <cellStyle name="Normal 2 2 4" xfId="392" xr:uid="{9F9598D6-3340-4999-A2ED-CF58D7D63854}"/>
    <cellStyle name="Normal 2 2 5" xfId="393" xr:uid="{A6285EB9-17A7-4BEC-AB96-7C80A248D55E}"/>
    <cellStyle name="Normal 2 2 6" xfId="394" xr:uid="{2D0873BC-8C34-4DD5-8713-DE17B5C7F98A}"/>
    <cellStyle name="Normal 2 2_01 Final Accounts-2008" xfId="395" xr:uid="{4DC20701-7A41-473E-B077-3D7A0C72EA39}"/>
    <cellStyle name="Normal 2 3" xfId="173" xr:uid="{AB55EF1E-22EF-4CD0-9C73-A1FBDE1DC474}"/>
    <cellStyle name="Normal 2 3 2" xfId="174" xr:uid="{80741D89-16BB-4AE6-BB57-6A02F745C393}"/>
    <cellStyle name="Normal 2 3 2 2" xfId="175" xr:uid="{33D61B63-5BA4-4939-8EBB-EB765B76C4EA}"/>
    <cellStyle name="Normal 2 3 2 3" xfId="176" xr:uid="{28CF07F2-49A3-4C33-BFEB-7EECA714B85A}"/>
    <cellStyle name="Normal 2 3 3" xfId="396" xr:uid="{7BBE0A64-9F3E-47E1-B43A-F541C8231746}"/>
    <cellStyle name="Normal 2 3_Debtors-Creditors confirmation circularization summary" xfId="177" xr:uid="{F21B3A41-9B39-4FDD-9A58-0ED5082FA75F}"/>
    <cellStyle name="Normal 2 4" xfId="178" xr:uid="{C2D0AA06-75AB-4228-8343-AD7C338CDED7}"/>
    <cellStyle name="Normal 2 4 2" xfId="397" xr:uid="{2CC81A06-0FEE-459D-93B4-CBB2967EF314}"/>
    <cellStyle name="Normal 2 5" xfId="179" xr:uid="{9FEB7904-45A6-4E33-B4F1-56B4EC34989C}"/>
    <cellStyle name="Normal 2 5 2" xfId="398" xr:uid="{1F32BD6A-905D-40AD-A18D-9E99D08E83E0}"/>
    <cellStyle name="Normal 2 6" xfId="180" xr:uid="{5B410ADE-4A4D-4CA8-85D4-33FE5C3207B7}"/>
    <cellStyle name="Normal 2 6 2" xfId="399" xr:uid="{C9548FFA-141D-4575-9084-28CF113CD2E1}"/>
    <cellStyle name="Normal 2 7" xfId="181" xr:uid="{250BAE4E-DC78-4A59-88E3-63E049F4F0E5}"/>
    <cellStyle name="Normal 2 7 2" xfId="400" xr:uid="{3D33175C-1EDA-4D57-B11F-E91B9DDAE945}"/>
    <cellStyle name="Normal 2 8" xfId="182" xr:uid="{AD73C309-1495-4000-9998-381B3BF45A1E}"/>
    <cellStyle name="Normal 2_01 Pine Match 2008" xfId="401" xr:uid="{0BD50B9A-1140-4122-980B-C00011069973}"/>
    <cellStyle name="Normal 20" xfId="183" xr:uid="{F0D7FEF7-7779-4D1C-83D4-9FAC05FFEE25}"/>
    <cellStyle name="Normal 20 2" xfId="402" xr:uid="{A47A12AA-8BFA-4BDC-B503-CAEF938F218F}"/>
    <cellStyle name="Normal 21" xfId="184" xr:uid="{182220AA-9964-40C6-A7EA-7862F3C0DC89}"/>
    <cellStyle name="Normal 21 2" xfId="403" xr:uid="{C5FC39BD-6E20-41AD-BC74-379906D88E52}"/>
    <cellStyle name="Normal 22" xfId="185" xr:uid="{406BEDD5-389C-4578-847C-5FC7B626516E}"/>
    <cellStyle name="Normal 22 2" xfId="186" xr:uid="{2F4B5B08-5718-4556-81E2-1249DE8CC58B}"/>
    <cellStyle name="Normal 23" xfId="187" xr:uid="{0AAC81C9-3506-483B-A7D9-FC41FB168C91}"/>
    <cellStyle name="Normal 24" xfId="188" xr:uid="{7FEA0F15-D63E-432E-9A0D-6ECEDF909241}"/>
    <cellStyle name="Normal 24 2" xfId="404" xr:uid="{15BD77F5-37CD-4BA9-B7B7-95BCF0A9D86D}"/>
    <cellStyle name="Normal 25" xfId="2" xr:uid="{F9602790-D099-44DB-96F7-366EBEF99ED0}"/>
    <cellStyle name="Normal 3" xfId="189" xr:uid="{BEC53AEC-626C-4EEE-90D5-FBCCEC2BC963}"/>
    <cellStyle name="Normal 3 2" xfId="190" xr:uid="{A8DBB386-1DB2-46C8-B133-912FE8336F87}"/>
    <cellStyle name="Normal 3 2 2" xfId="405" xr:uid="{EDCAD03D-7C2E-4F5B-8804-8E980715E755}"/>
    <cellStyle name="Normal 3 2 3" xfId="406" xr:uid="{5EA8593C-C67B-4073-B68C-E91073F0EE56}"/>
    <cellStyle name="Normal 3 2 4" xfId="472" xr:uid="{EE23CD3B-D7AF-45BD-94CC-6DF1FC1768E7}"/>
    <cellStyle name="Normal 3 2_BARAN 2nd Qaurter 2nd Fund Request" xfId="407" xr:uid="{66D4D2D0-4B4D-4DC7-8778-CFC162810BD9}"/>
    <cellStyle name="Normal 3 3" xfId="408" xr:uid="{EA41AD52-4CE6-4FF7-9773-A838A5C86823}"/>
    <cellStyle name="Normal 3 4" xfId="409" xr:uid="{522394E8-2B81-426D-8284-3FA9F03A7B3A}"/>
    <cellStyle name="Normal 3_ASA Accounts-June 2012 - 12th Nov Final - Mudassir - HAS" xfId="191" xr:uid="{10B6C133-9C10-433D-BA46-A3CB87DDBBA6}"/>
    <cellStyle name="Normal 4" xfId="192" xr:uid="{EA7FE608-B563-4D4F-88A2-55577632DF7A}"/>
    <cellStyle name="Normal 4 2" xfId="193" xr:uid="{8F88EF8F-6C2E-4033-9752-C95CB9D71136}"/>
    <cellStyle name="Normal 4 2 2" xfId="194" xr:uid="{C5474472-5295-493A-931E-F32B053CD75B}"/>
    <cellStyle name="Normal 4 2 2 2" xfId="411" xr:uid="{D03607E1-0417-4705-B3B7-0A921244DADA}"/>
    <cellStyle name="Normal 4 2 4" xfId="195" xr:uid="{7C8B9525-C2EA-49EE-BE89-C8895DD0DEB9}"/>
    <cellStyle name="Normal 4 3" xfId="412" xr:uid="{57C309A6-EA48-42C2-90F5-D8E068959AF1}"/>
    <cellStyle name="Normal 4 3 2" xfId="468" xr:uid="{FF643757-2739-4416-9A79-1943197175E6}"/>
    <cellStyle name="Normal 4 4" xfId="410" xr:uid="{5BB51131-C5EE-40E2-8FB1-4521848CBAD2}"/>
    <cellStyle name="Normal 5" xfId="196" xr:uid="{092627A6-7869-4E3A-ACF7-1D4252B9198F}"/>
    <cellStyle name="Normal 5 2" xfId="414" xr:uid="{81B20014-D775-4F37-B86F-5D9D97E8A2B9}"/>
    <cellStyle name="Normal 5 3" xfId="413" xr:uid="{1BB608ED-B92E-4B7C-8DE9-9E7D62DADDAF}"/>
    <cellStyle name="Normal 5_adjusting entries" xfId="415" xr:uid="{D7A19B1A-6783-4943-8C24-09C52748A259}"/>
    <cellStyle name="Normal 6" xfId="197" xr:uid="{CAAB61E2-17DE-4240-B3CA-FFFCC7014884}"/>
    <cellStyle name="Normal 6 2" xfId="198" xr:uid="{432D3532-C574-4680-A6C3-05D1E74F0E5C}"/>
    <cellStyle name="Normal 6 2 2" xfId="471" xr:uid="{33157F1C-10F2-4249-AD68-8DB0A9FAD84D}"/>
    <cellStyle name="Normal 6 2 3" xfId="417" xr:uid="{B2F9DF20-2613-456E-9705-6544FB29A158}"/>
    <cellStyle name="Normal 6 3" xfId="416" xr:uid="{31E359E5-143C-4957-9628-55D92C3A8F57}"/>
    <cellStyle name="Normal 7" xfId="199" xr:uid="{CB3A8544-0912-4747-A9AE-B1BCCE34E3B5}"/>
    <cellStyle name="Normal 7 2" xfId="200" xr:uid="{158482FC-0608-45C7-BFB7-8A5BC08403F6}"/>
    <cellStyle name="Normal 7 2 2" xfId="418" xr:uid="{1B9717A9-D813-49C9-B19F-2B671AD99A3B}"/>
    <cellStyle name="Normal 8" xfId="201" xr:uid="{F73E1E26-ECDD-4740-9E12-210DB3D4085C}"/>
    <cellStyle name="Normal 8 2" xfId="419" xr:uid="{47D2BD0A-CE45-4249-AFEF-4038EE5CABE4}"/>
    <cellStyle name="Normal 9" xfId="202" xr:uid="{434F6A6D-5C4B-417E-8232-DF3FE352E5A9}"/>
    <cellStyle name="Normal 9 2" xfId="420" xr:uid="{C0F734DF-83AC-4893-B23B-ECF01A7A0A74}"/>
    <cellStyle name="NORMAL1" xfId="203" xr:uid="{0293BEA8-1B44-4A59-8456-0AA168A14C70}"/>
    <cellStyle name="Note 2" xfId="204" xr:uid="{6110BC4D-9E7E-4FD4-B5EF-5A6878C1EAF4}"/>
    <cellStyle name="Option" xfId="205" xr:uid="{AB3B5CA6-D8B9-44AD-B5AE-A76E4726C754}"/>
    <cellStyle name="optionalExposure" xfId="206" xr:uid="{D862D4AE-640D-4795-9F28-D98EA9480532}"/>
    <cellStyle name="optionalMaturity" xfId="207" xr:uid="{9EAF4B82-47C1-4731-9C78-3BBE5816759E}"/>
    <cellStyle name="optionalPD" xfId="208" xr:uid="{342A7265-18DF-4E1B-BFD0-BEEF6964CF04}"/>
    <cellStyle name="optionalPercentage" xfId="209" xr:uid="{66E5B2E7-9267-4B2B-A064-B6DBE81B4989}"/>
    <cellStyle name="optionalSelection" xfId="210" xr:uid="{7A5B1F1A-4D86-4896-8F40-A0F4DE739778}"/>
    <cellStyle name="optionalText" xfId="211" xr:uid="{E19BC275-0244-4518-AD7C-CD5D5088B975}"/>
    <cellStyle name="Output 2" xfId="212" xr:uid="{7CC1B705-881D-475B-BB1C-A926544A0936}"/>
    <cellStyle name="Output Column Headings" xfId="421" xr:uid="{48BE124D-CD69-45CB-BCC5-F1135D44C069}"/>
    <cellStyle name="Output Line Items" xfId="422" xr:uid="{D47AD809-9673-47CD-9FB1-E8E1C27D9FE6}"/>
    <cellStyle name="p/n" xfId="213" xr:uid="{C40EE74F-8F8F-4983-8D3E-2DE95A6BF5AC}"/>
    <cellStyle name="Paid" xfId="423" xr:uid="{7799C52F-8D5A-4A06-93B3-E11DB64854A5}"/>
    <cellStyle name="Percent [2]" xfId="214" xr:uid="{5B8E25B1-AE50-4B12-83A6-73BBD57D376D}"/>
    <cellStyle name="Percent [2] 2" xfId="215" xr:uid="{D8304A16-946D-43B3-AA22-D4A966D8F977}"/>
    <cellStyle name="Percent 10" xfId="424" xr:uid="{88164753-A09E-4522-98D3-3A710B4F426A}"/>
    <cellStyle name="Percent 2" xfId="216" xr:uid="{D579DFDF-EB2B-4FA4-999F-C95260E45527}"/>
    <cellStyle name="Percent 2 2" xfId="217" xr:uid="{C574AA96-5526-40AE-AD22-F75E28715DBA}"/>
    <cellStyle name="Percent 2 3" xfId="218" xr:uid="{BC02BE77-6C07-469A-981E-53B075A7D1A6}"/>
    <cellStyle name="Percent 2 3 2" xfId="426" xr:uid="{B1A3756F-1D3A-425B-9DCF-A0A63BB31210}"/>
    <cellStyle name="Percent 2 3 3" xfId="425" xr:uid="{F493F14B-912D-44AA-9787-F569BC95CDB3}"/>
    <cellStyle name="Percent 2 4" xfId="427" xr:uid="{5EDD1859-B192-4B44-9F80-DC206CD47AED}"/>
    <cellStyle name="Percent 3" xfId="219" xr:uid="{C4F622F7-EF4E-433B-9AE4-8E8DCAE3DB64}"/>
    <cellStyle name="Percent 4" xfId="220" xr:uid="{3E4A823E-09F7-4616-96F3-BDDCC83DB9DE}"/>
    <cellStyle name="Percent 4 2" xfId="221" xr:uid="{9ADB0885-95AD-46E7-9137-38C86E83DDBB}"/>
    <cellStyle name="Percent 4 2 2" xfId="429" xr:uid="{BED4612D-A42A-4B5B-B368-6E9B6C7DF851}"/>
    <cellStyle name="Percent 4 3" xfId="428" xr:uid="{0C5FC778-E30B-42DF-A307-B71B7F8C799B}"/>
    <cellStyle name="Percent 5" xfId="222" xr:uid="{F646D5B4-557D-4466-B5A9-8961EA03F09D}"/>
    <cellStyle name="Percent 5 2" xfId="430" xr:uid="{771BEF2F-BC8F-4A64-9093-B008EB815FC8}"/>
    <cellStyle name="Percent 6" xfId="223" xr:uid="{55970A65-8E8B-43AE-8F09-DB8F094FB0C2}"/>
    <cellStyle name="Percent 6 2" xfId="432" xr:uid="{2DBDAAE7-3F85-4597-B830-A17237A8CA50}"/>
    <cellStyle name="Percent 6 3" xfId="431" xr:uid="{AA7C95CF-847D-4E0E-9AE2-23F0AF5E91D9}"/>
    <cellStyle name="Percent 7" xfId="433" xr:uid="{761DA0D3-4218-4EC2-B6C5-B865B6791993}"/>
    <cellStyle name="Porcentaje" xfId="434" xr:uid="{676828C5-4CD9-47F0-BD83-398D587E2740}"/>
    <cellStyle name="Pourcentage_pldt" xfId="435" xr:uid="{E4BCB6ED-9387-4520-9A19-616C6E22254D}"/>
    <cellStyle name="PrePop Currency (0)" xfId="224" xr:uid="{34843D0C-3990-4E09-AC4F-769971D5CFA6}"/>
    <cellStyle name="Product" xfId="225" xr:uid="{70D0ADA7-4933-4E5C-B8DD-97B0BE464E23}"/>
    <cellStyle name="Reset  - Style7" xfId="226" xr:uid="{183FAB11-9F9E-4CD9-8340-5550FFE143D6}"/>
    <cellStyle name="RevList" xfId="227" xr:uid="{01C8DDE1-3139-4FF9-8A4A-0FACD37BEBA9}"/>
    <cellStyle name="RM" xfId="436" xr:uid="{B57EA962-848F-4612-8E68-735654403C2B}"/>
    <cellStyle name="s" xfId="228" xr:uid="{5E59975F-89E0-4E26-9ED5-D33130828B1C}"/>
    <cellStyle name="showCheck" xfId="229" xr:uid="{93BF2677-36C1-4F6B-A848-BE205A898084}"/>
    <cellStyle name="showExposure" xfId="230" xr:uid="{476A7C0A-312F-4415-A0DE-7E5341B43973}"/>
    <cellStyle name="showParameterE" xfId="231" xr:uid="{F76C222D-668E-4A08-9F3C-F0CFE8A76A43}"/>
    <cellStyle name="showParameterS" xfId="232" xr:uid="{68BB03F3-1C85-48BC-9075-D52073ACBE67}"/>
    <cellStyle name="showPD" xfId="233" xr:uid="{1F43683B-66E8-44C1-A763-3BBD50A262B3}"/>
    <cellStyle name="showPercentage" xfId="234" xr:uid="{D1BDEFBF-88E7-4E40-B54B-DEEB83A43341}"/>
    <cellStyle name="showSelection" xfId="235" xr:uid="{45A00633-BF70-4108-92C2-3B639526FBA6}"/>
    <cellStyle name="STANDARD" xfId="437" xr:uid="{388BA866-9254-4A25-B28B-32EAABE4A949}"/>
    <cellStyle name="Style 1" xfId="236" xr:uid="{A4483379-D158-4B17-9AE6-59A6D344EBDD}"/>
    <cellStyle name="Style 1 2" xfId="237" xr:uid="{FEFB0462-5D1C-45B3-BEF5-5653E75622C2}"/>
    <cellStyle name="sub" xfId="238" xr:uid="{C660DA86-4B18-4973-9C77-EBD0FB6003B2}"/>
    <cellStyle name="Sub-group Hdg" xfId="239" xr:uid="{638DEBC5-43D2-43C2-9E29-B3329A932500}"/>
    <cellStyle name="subhead" xfId="438" xr:uid="{5BA6D97C-9B06-4EF1-B79C-1E9F974EFC88}"/>
    <cellStyle name="Sub-heading" xfId="240" xr:uid="{82692D9B-4CC5-4791-A865-642B69FA2527}"/>
    <cellStyle name="Subtotal" xfId="241" xr:uid="{832DB2E1-383E-44D9-9EFA-13B247E79B40}"/>
    <cellStyle name="sup2Int" xfId="242" xr:uid="{A211BC15-4AF5-4950-AF5E-DD343EA2B332}"/>
    <cellStyle name="sup2ParameterE" xfId="243" xr:uid="{BA140143-FD70-496A-9AB4-45B7D31B1E67}"/>
    <cellStyle name="sup2Percentage" xfId="244" xr:uid="{E8C7B8C7-F1AB-47EA-8FAF-F649EAABABEF}"/>
    <cellStyle name="sup2PercentageL" xfId="245" xr:uid="{D195082B-57FE-404B-816E-F3C9AA009140}"/>
    <cellStyle name="sup2PercentageM" xfId="246" xr:uid="{A61601CF-BF28-4618-9B1A-380BAEC2E1C4}"/>
    <cellStyle name="sup2Selection" xfId="247" xr:uid="{64637EB9-ED64-49B7-AB7F-8F888372FB56}"/>
    <cellStyle name="sup2Text" xfId="248" xr:uid="{68494F2A-2A80-4CA0-95CE-1610DB69ADA4}"/>
    <cellStyle name="sup3ParameterE" xfId="249" xr:uid="{A134184B-5A56-4EA5-823A-CCB021F539DF}"/>
    <cellStyle name="sup3Percentage" xfId="250" xr:uid="{7CA577A9-97E9-4A83-A939-97AE5C07D67F}"/>
    <cellStyle name="supFloat" xfId="251" xr:uid="{454AB6EE-E64B-46F2-AA22-66ED763FD776}"/>
    <cellStyle name="supInt" xfId="252" xr:uid="{24182CC7-CAEB-4A42-99D8-CB65FF38918C}"/>
    <cellStyle name="supParameterE" xfId="253" xr:uid="{CFCF849E-FD1B-427E-B439-58AE24379792}"/>
    <cellStyle name="supParameterS" xfId="254" xr:uid="{CEC5E8F3-6A86-4045-AD7D-40171DCE87F5}"/>
    <cellStyle name="supPD" xfId="255" xr:uid="{9AF88DC1-A722-4EEE-9E04-26460BCF7531}"/>
    <cellStyle name="supPercentage" xfId="256" xr:uid="{7C9BACEF-DE62-4972-A9AF-C8772EE9A7A9}"/>
    <cellStyle name="supPercentageL" xfId="257" xr:uid="{BD24C7EE-C036-472F-914D-4B5FA87CACCE}"/>
    <cellStyle name="supPercentageM" xfId="258" xr:uid="{F0C28441-40F0-44C7-9F8D-D097C4D8A814}"/>
    <cellStyle name="supSelection" xfId="259" xr:uid="{0E6B2587-69D1-4119-8786-8E55E8EDF341}"/>
    <cellStyle name="supText" xfId="260" xr:uid="{F0493812-8BF7-4102-99AA-8608192134F0}"/>
    <cellStyle name="Table  - Style6" xfId="261" xr:uid="{339224A2-275B-450B-A5FB-15DCD2B9DEF1}"/>
    <cellStyle name="Temp" xfId="262" xr:uid="{9A93F184-D6AA-44AE-92C3-74EB9E7CCBE8}"/>
    <cellStyle name="Text Indent A" xfId="263" xr:uid="{4BCF5548-50FE-49C9-A001-2D3832E48845}"/>
    <cellStyle name="Text Indent B" xfId="264" xr:uid="{00986987-64A1-4BCE-9BB9-C72E0061179A}"/>
    <cellStyle name="Times New Roman" xfId="439" xr:uid="{2A001F97-6EE3-41D6-8725-12EC05EB70D0}"/>
    <cellStyle name="Title  - Style1" xfId="265" xr:uid="{CE6AED6B-472F-4AFF-AD00-48912AAE5E5F}"/>
    <cellStyle name="Title 2" xfId="266" xr:uid="{3BBC4E25-9718-4ABC-900B-98503F8F7F82}"/>
    <cellStyle name="Total 2" xfId="267" xr:uid="{CB79B600-9923-4E3D-B032-DCB93621F04F}"/>
    <cellStyle name="TotCol - Style5" xfId="268" xr:uid="{C3F3178B-410E-464F-B12D-6B031ED4624C}"/>
    <cellStyle name="TotRow - Style4" xfId="269" xr:uid="{0BF0DA1E-5601-429B-8A06-3F30AB380EA8}"/>
    <cellStyle name="Tusental (0)_pldt" xfId="270" xr:uid="{9E0D9A45-79AE-42FC-BAC4-86109B637E20}"/>
    <cellStyle name="Tusental_pldt" xfId="271" xr:uid="{E5CAC3D8-B88C-4AC5-9E8A-A426E671DE49}"/>
    <cellStyle name="Unpaid" xfId="440" xr:uid="{82430335-8AA5-4E02-B2AD-5CE1B05B5E83}"/>
    <cellStyle name="Value" xfId="272" xr:uid="{A04FB2A1-9B99-4A62-B36C-48785B3A6645}"/>
    <cellStyle name="Valuta (0)_pldt" xfId="273" xr:uid="{38354EE9-14A0-4DEF-8C4A-A2F16B39DDB9}"/>
    <cellStyle name="Valuta_pldt" xfId="274" xr:uid="{D248007E-6D83-4CAF-99E0-D23BA49E99BA}"/>
    <cellStyle name="Währung [0]_AR_CC_Eko-zwgw_Monthly Report_12_01" xfId="275" xr:uid="{74FEF363-AD35-4978-A1A2-8A57B173B283}"/>
    <cellStyle name="Währung_AR_CC_Eko-zwgw_Monthly Report_12_01" xfId="276" xr:uid="{2A5DD674-6A15-44BB-B0EA-A3A100C59753}"/>
    <cellStyle name="Акцент1" xfId="441" xr:uid="{707477F4-3D8C-4950-9290-B414305723E4}"/>
    <cellStyle name="Акцент2" xfId="442" xr:uid="{3D7B8BB9-0217-4055-BEC4-B6AA4C9F486B}"/>
    <cellStyle name="Акцент3" xfId="443" xr:uid="{622C9052-2B19-4F29-934F-B924E72488B7}"/>
    <cellStyle name="Акцент4" xfId="444" xr:uid="{8A78A1D8-B360-4604-93C5-A5AD436018FD}"/>
    <cellStyle name="Акцент5" xfId="445" xr:uid="{9E0ADAB6-F2F3-49C1-AD4F-2BD92C74BBDD}"/>
    <cellStyle name="Акцент6" xfId="446" xr:uid="{45157697-00B0-499D-B5EC-711C09E10492}"/>
    <cellStyle name="Ввод " xfId="447" xr:uid="{AB8A44C1-BD99-4AF3-A63F-BF69531A279E}"/>
    <cellStyle name="Вывод" xfId="448" xr:uid="{5C0449CE-142C-4CDC-BFCC-B8782C2CA7DF}"/>
    <cellStyle name="Вычисление" xfId="449" xr:uid="{58FDE4B8-2270-493C-9C80-F74DE6787D5F}"/>
    <cellStyle name="Заголовок 1" xfId="450" xr:uid="{D9CD6D4F-FF58-4C84-977E-2974DE1AD1DD}"/>
    <cellStyle name="Заголовок 2" xfId="451" xr:uid="{0E496FA6-5A27-40E4-AE28-C5E6F3596A7F}"/>
    <cellStyle name="Заголовок 3" xfId="452" xr:uid="{ACDD07ED-8D31-4C55-8549-B1937ACCCFB9}"/>
    <cellStyle name="Заголовок 4" xfId="453" xr:uid="{47637BC1-153A-485A-8553-4B5884AF215F}"/>
    <cellStyle name="Итог" xfId="454" xr:uid="{DB485536-625D-45C5-A8CB-554AB6B3357B}"/>
    <cellStyle name="Контрольная ячейка" xfId="455" xr:uid="{FC79833A-B2CA-4F04-8E2E-C03FFDC8E56D}"/>
    <cellStyle name="Название" xfId="456" xr:uid="{99DD288A-6CAD-4EDF-8FDF-20C0F32AACE7}"/>
    <cellStyle name="Нейтральный" xfId="457" xr:uid="{2D355938-1003-46E5-A62A-CA5B007054D6}"/>
    <cellStyle name="Обычный 2" xfId="458" xr:uid="{5720BEB7-D502-4F01-AF12-D2300AC51405}"/>
    <cellStyle name="Обычный_Лист1" xfId="459" xr:uid="{07D22190-A1D3-4778-8FC3-EEBC3E9CF396}"/>
    <cellStyle name="Плохой" xfId="460" xr:uid="{DC8573DA-CFCC-4365-9B97-502F0A48C920}"/>
    <cellStyle name="Пояснение" xfId="461" xr:uid="{358A2B92-33A6-402D-9468-9BE0141BB939}"/>
    <cellStyle name="Примечание" xfId="462" xr:uid="{0D5FDEED-F604-4BA8-B999-F24392E5D51C}"/>
    <cellStyle name="Связанная ячейка" xfId="463" xr:uid="{376D01C2-2CEE-47FB-AF28-51B7D1B0CF4F}"/>
    <cellStyle name="Текст предупреждения" xfId="464" xr:uid="{3A9513EB-1AEB-4681-B68E-E98A4B0272D7}"/>
    <cellStyle name="Хороший" xfId="465" xr:uid="{EF57DE16-930A-4880-8CAB-DC982AA0183F}"/>
    <cellStyle name="桁区切り [0.00] 2" xfId="466" xr:uid="{D3738803-DBFC-4C25-9C94-052FE872ECC1}"/>
    <cellStyle name="標準_ISO Calendar New" xfId="467" xr:uid="{D7D7A03E-1904-4AB0-B84F-79CD8D62F4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Downloads/Budget%20Agreed%20-Last%20(1).xlsx" TargetMode="External"/><Relationship Id="rId1" Type="http://schemas.openxmlformats.org/officeDocument/2006/relationships/externalLinkPath" Target="/Users/qayyu/Downloads/Budget%20Agreed%20-Last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Khyber"/>
      <sheetName val="Mohmand "/>
      <sheetName val="Bajaur"/>
      <sheetName val="Team Details &amp; Budget"/>
      <sheetName val="Trial 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F10">
            <v>5582500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86D62E-B2E2-439D-B50E-FB47DAAD5FA6}">
  <dimension ref="A1:G24"/>
  <sheetViews>
    <sheetView workbookViewId="0">
      <selection sqref="A1:D1"/>
    </sheetView>
  </sheetViews>
  <sheetFormatPr defaultColWidth="9.1796875" defaultRowHeight="14"/>
  <cols>
    <col min="1" max="1" width="9.1796875" style="5"/>
    <col min="2" max="2" width="46.453125" style="5" customWidth="1"/>
    <col min="3" max="3" width="15.26953125" style="13" customWidth="1"/>
    <col min="4" max="4" width="15.54296875" style="13" customWidth="1"/>
    <col min="5" max="5" width="13.453125" style="5" customWidth="1"/>
    <col min="6" max="6" width="12" style="5" customWidth="1"/>
    <col min="7" max="7" width="15.1796875" style="5" customWidth="1"/>
    <col min="8" max="16384" width="9.1796875" style="5"/>
  </cols>
  <sheetData>
    <row r="1" spans="1:6">
      <c r="A1" s="1" t="s">
        <v>0</v>
      </c>
      <c r="B1" s="2"/>
      <c r="C1" s="3"/>
      <c r="D1" s="4"/>
    </row>
    <row r="2" spans="1:6">
      <c r="A2" s="6" t="s">
        <v>1</v>
      </c>
      <c r="B2" s="6" t="s">
        <v>2</v>
      </c>
      <c r="C2" s="7" t="s">
        <v>3</v>
      </c>
      <c r="D2" s="7" t="s">
        <v>4</v>
      </c>
    </row>
    <row r="3" spans="1:6">
      <c r="A3" s="8"/>
      <c r="B3" s="8" t="s">
        <v>5</v>
      </c>
      <c r="C3" s="9"/>
      <c r="D3" s="9"/>
      <c r="F3" s="10"/>
    </row>
    <row r="4" spans="1:6">
      <c r="A4" s="8"/>
      <c r="B4" s="8" t="s">
        <v>6</v>
      </c>
      <c r="C4" s="9"/>
      <c r="D4" s="9"/>
    </row>
    <row r="5" spans="1:6">
      <c r="A5" s="8"/>
      <c r="B5" s="8" t="s">
        <v>7</v>
      </c>
      <c r="C5" s="9">
        <v>762500</v>
      </c>
      <c r="D5" s="9"/>
    </row>
    <row r="6" spans="1:6">
      <c r="A6" s="8"/>
      <c r="B6" s="8" t="s">
        <v>8</v>
      </c>
      <c r="C6" s="9">
        <v>625100</v>
      </c>
      <c r="D6" s="9"/>
    </row>
    <row r="7" spans="1:6">
      <c r="A7" s="8"/>
      <c r="B7" s="8" t="s">
        <v>9</v>
      </c>
      <c r="C7" s="9">
        <v>2960000</v>
      </c>
      <c r="D7" s="9"/>
    </row>
    <row r="8" spans="1:6">
      <c r="A8" s="8"/>
      <c r="B8" s="8" t="s">
        <v>10</v>
      </c>
      <c r="C8" s="9"/>
      <c r="D8" s="9"/>
    </row>
    <row r="9" spans="1:6">
      <c r="A9" s="8"/>
      <c r="B9" s="8" t="s">
        <v>11</v>
      </c>
      <c r="C9" s="9"/>
      <c r="D9" s="9"/>
    </row>
    <row r="10" spans="1:6">
      <c r="A10" s="8"/>
      <c r="B10" s="8" t="s">
        <v>12</v>
      </c>
      <c r="C10" s="9"/>
      <c r="D10" s="9"/>
    </row>
    <row r="11" spans="1:6">
      <c r="A11" s="8"/>
      <c r="B11" s="8" t="s">
        <v>13</v>
      </c>
      <c r="C11" s="9">
        <v>459800</v>
      </c>
      <c r="D11" s="9"/>
    </row>
    <row r="12" spans="1:6">
      <c r="A12" s="8"/>
      <c r="B12" s="8" t="s">
        <v>14</v>
      </c>
      <c r="C12" s="9">
        <v>560000</v>
      </c>
      <c r="D12" s="9"/>
    </row>
    <row r="13" spans="1:6">
      <c r="A13" s="8"/>
      <c r="B13" s="8" t="s">
        <v>15</v>
      </c>
      <c r="C13" s="9">
        <v>171900</v>
      </c>
      <c r="D13" s="9"/>
    </row>
    <row r="14" spans="1:6">
      <c r="A14" s="8"/>
      <c r="B14" s="8" t="s">
        <v>16</v>
      </c>
      <c r="C14" s="9"/>
      <c r="D14" s="9"/>
    </row>
    <row r="15" spans="1:6">
      <c r="A15" s="8"/>
      <c r="B15" s="8" t="s">
        <v>17</v>
      </c>
      <c r="C15" s="9"/>
      <c r="D15" s="9"/>
    </row>
    <row r="16" spans="1:6">
      <c r="A16" s="8"/>
      <c r="B16" s="8" t="s">
        <v>18</v>
      </c>
      <c r="C16" s="9"/>
      <c r="D16" s="9"/>
    </row>
    <row r="17" spans="1:7">
      <c r="A17" s="8"/>
      <c r="B17" s="8" t="s">
        <v>19</v>
      </c>
      <c r="C17" s="9"/>
      <c r="D17" s="9"/>
    </row>
    <row r="18" spans="1:7">
      <c r="A18" s="8"/>
      <c r="B18" s="8" t="s">
        <v>20</v>
      </c>
      <c r="C18" s="9">
        <v>43200</v>
      </c>
      <c r="D18" s="9"/>
    </row>
    <row r="19" spans="1:7">
      <c r="A19" s="8"/>
      <c r="B19" s="8" t="s">
        <v>21</v>
      </c>
      <c r="C19" s="9"/>
      <c r="D19" s="9">
        <f>'[1]Trial Balance'!$F$10</f>
        <v>5582500</v>
      </c>
    </row>
    <row r="20" spans="1:7">
      <c r="A20" s="8"/>
      <c r="B20" s="8" t="s">
        <v>22</v>
      </c>
      <c r="C20" s="9"/>
      <c r="D20" s="9">
        <v>100000</v>
      </c>
    </row>
    <row r="21" spans="1:7">
      <c r="A21" s="8"/>
      <c r="B21" s="8" t="s">
        <v>23</v>
      </c>
      <c r="C21" s="9">
        <v>100000</v>
      </c>
      <c r="D21" s="9"/>
    </row>
    <row r="22" spans="1:7">
      <c r="A22" s="8"/>
      <c r="B22" s="8" t="s">
        <v>24</v>
      </c>
      <c r="C22" s="9">
        <v>30000</v>
      </c>
      <c r="D22" s="9"/>
    </row>
    <row r="23" spans="1:7">
      <c r="A23" s="8"/>
      <c r="B23" s="8" t="s">
        <v>25</v>
      </c>
      <c r="C23" s="9"/>
      <c r="D23" s="9">
        <v>30000</v>
      </c>
    </row>
    <row r="24" spans="1:7">
      <c r="A24" s="8"/>
      <c r="B24" s="6" t="s">
        <v>26</v>
      </c>
      <c r="C24" s="11">
        <f>SUM(C3:C23)</f>
        <v>5712500</v>
      </c>
      <c r="D24" s="11">
        <f>SUM(D3:D23)</f>
        <v>5712500</v>
      </c>
      <c r="E24" s="10">
        <f>C24-D24</f>
        <v>0</v>
      </c>
      <c r="F24" s="10"/>
      <c r="G24" s="12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66AD7-6EA8-4B98-955F-0B06F883155E}">
  <dimension ref="A1:E18"/>
  <sheetViews>
    <sheetView workbookViewId="0">
      <selection sqref="A1:E18"/>
    </sheetView>
  </sheetViews>
  <sheetFormatPr defaultRowHeight="14.5"/>
  <cols>
    <col min="2" max="2" width="21.7265625" bestFit="1" customWidth="1"/>
    <col min="3" max="4" width="10.1796875" bestFit="1" customWidth="1"/>
  </cols>
  <sheetData>
    <row r="1" spans="1:4">
      <c r="A1" s="20" t="s">
        <v>0</v>
      </c>
      <c r="B1" s="20"/>
      <c r="C1" s="21"/>
      <c r="D1" s="21"/>
    </row>
    <row r="2" spans="1:4">
      <c r="A2" s="17" t="s">
        <v>27</v>
      </c>
      <c r="B2" s="17" t="s">
        <v>28</v>
      </c>
      <c r="C2" s="18" t="s">
        <v>42</v>
      </c>
      <c r="D2" s="18" t="s">
        <v>43</v>
      </c>
    </row>
    <row r="3" spans="1:4">
      <c r="A3" s="15"/>
      <c r="B3" s="15" t="s">
        <v>29</v>
      </c>
      <c r="C3" s="19" t="s">
        <v>44</v>
      </c>
      <c r="D3" s="19"/>
    </row>
    <row r="4" spans="1:4">
      <c r="A4" s="15"/>
      <c r="B4" s="15" t="s">
        <v>30</v>
      </c>
      <c r="C4" s="19">
        <v>90862</v>
      </c>
      <c r="D4" s="19"/>
    </row>
    <row r="5" spans="1:4">
      <c r="A5" s="15"/>
      <c r="B5" s="15" t="s">
        <v>31</v>
      </c>
      <c r="C5" s="19">
        <v>540000</v>
      </c>
      <c r="D5" s="19"/>
    </row>
    <row r="6" spans="1:4">
      <c r="A6" s="15"/>
      <c r="B6" s="15" t="s">
        <v>24</v>
      </c>
      <c r="C6" s="19">
        <v>50000</v>
      </c>
      <c r="D6" s="19"/>
    </row>
    <row r="7" spans="1:4">
      <c r="A7" s="15"/>
      <c r="B7" s="15" t="s">
        <v>32</v>
      </c>
      <c r="C7" s="19"/>
      <c r="D7" s="19">
        <v>50000</v>
      </c>
    </row>
    <row r="8" spans="1:4">
      <c r="A8" s="15"/>
      <c r="B8" s="15" t="s">
        <v>22</v>
      </c>
      <c r="C8" s="19"/>
      <c r="D8" s="19">
        <v>100000</v>
      </c>
    </row>
    <row r="9" spans="1:4">
      <c r="A9" s="15"/>
      <c r="B9" s="15" t="s">
        <v>33</v>
      </c>
      <c r="C9" s="19"/>
      <c r="D9" s="19">
        <v>1144578</v>
      </c>
    </row>
    <row r="10" spans="1:4">
      <c r="A10" s="15"/>
      <c r="B10" s="15" t="s">
        <v>34</v>
      </c>
      <c r="C10" s="19">
        <v>210000</v>
      </c>
      <c r="D10" s="19"/>
    </row>
    <row r="11" spans="1:4">
      <c r="A11" s="15"/>
      <c r="B11" s="15" t="s">
        <v>35</v>
      </c>
      <c r="C11" s="19"/>
      <c r="D11" s="19">
        <v>81598</v>
      </c>
    </row>
    <row r="12" spans="1:4">
      <c r="A12" s="15"/>
      <c r="B12" s="15" t="s">
        <v>36</v>
      </c>
      <c r="C12" s="19">
        <v>14307</v>
      </c>
      <c r="D12" s="19"/>
    </row>
    <row r="13" spans="1:4">
      <c r="A13" s="15"/>
      <c r="B13" s="15" t="s">
        <v>37</v>
      </c>
      <c r="C13" s="19"/>
      <c r="D13" s="19">
        <v>14307</v>
      </c>
    </row>
    <row r="14" spans="1:4">
      <c r="A14" s="15"/>
      <c r="B14" s="15" t="s">
        <v>38</v>
      </c>
      <c r="C14" s="19">
        <v>200000</v>
      </c>
      <c r="D14" s="19"/>
    </row>
    <row r="15" spans="1:4">
      <c r="A15" s="15"/>
      <c r="B15" s="15" t="s">
        <v>39</v>
      </c>
      <c r="C15" s="19">
        <v>96</v>
      </c>
      <c r="D15" s="19"/>
    </row>
    <row r="16" spans="1:4">
      <c r="A16" s="15"/>
      <c r="B16" s="15" t="s">
        <v>40</v>
      </c>
      <c r="C16" s="19">
        <v>127200</v>
      </c>
      <c r="D16" s="19"/>
    </row>
    <row r="17" spans="1:5">
      <c r="A17" s="15"/>
      <c r="B17" s="15" t="s">
        <v>41</v>
      </c>
      <c r="C17" s="19">
        <v>158018</v>
      </c>
      <c r="D17" s="19"/>
      <c r="E17" s="14"/>
    </row>
    <row r="18" spans="1:5">
      <c r="A18" s="17"/>
      <c r="B18" s="17"/>
      <c r="C18" s="18">
        <v>1390483</v>
      </c>
      <c r="D18" s="18">
        <v>1390483</v>
      </c>
      <c r="E18" s="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E0593-D59D-4239-9F0A-CEA204EF909F}">
  <dimension ref="A1:K32"/>
  <sheetViews>
    <sheetView tabSelected="1" topLeftCell="A26" workbookViewId="0">
      <selection sqref="A1:K32"/>
    </sheetView>
  </sheetViews>
  <sheetFormatPr defaultRowHeight="14.5"/>
  <cols>
    <col min="2" max="2" width="39.7265625" bestFit="1" customWidth="1"/>
    <col min="3" max="3" width="32.6328125" bestFit="1" customWidth="1"/>
    <col min="4" max="5" width="12.08984375" bestFit="1" customWidth="1"/>
    <col min="7" max="7" width="4.90625" bestFit="1" customWidth="1"/>
  </cols>
  <sheetData>
    <row r="1" spans="1:11" ht="15.5">
      <c r="A1" s="22"/>
      <c r="B1" s="35" t="s">
        <v>45</v>
      </c>
      <c r="C1" s="35"/>
      <c r="D1" s="35"/>
      <c r="E1" s="35"/>
      <c r="F1" s="22"/>
      <c r="G1" s="22"/>
      <c r="H1" s="22"/>
      <c r="I1" s="22"/>
      <c r="J1" s="22"/>
      <c r="K1" s="22"/>
    </row>
    <row r="2" spans="1:11" ht="15.5">
      <c r="A2" s="22"/>
      <c r="B2" s="35" t="s">
        <v>0</v>
      </c>
      <c r="C2" s="35"/>
      <c r="D2" s="35"/>
      <c r="E2" s="35"/>
      <c r="F2" s="22"/>
      <c r="G2" s="22"/>
      <c r="H2" s="22"/>
      <c r="I2" s="22"/>
      <c r="J2" s="22"/>
      <c r="K2" s="22"/>
    </row>
    <row r="3" spans="1:11" ht="15.5">
      <c r="A3" s="22"/>
      <c r="B3" s="35" t="s">
        <v>46</v>
      </c>
      <c r="C3" s="35"/>
      <c r="D3" s="35"/>
      <c r="E3" s="35"/>
      <c r="F3" s="22"/>
      <c r="G3" s="22"/>
      <c r="H3" s="22"/>
      <c r="I3" s="22"/>
      <c r="J3" s="22"/>
      <c r="K3" s="22"/>
    </row>
    <row r="4" spans="1:11">
      <c r="A4" s="22"/>
      <c r="B4" s="26" t="s">
        <v>47</v>
      </c>
      <c r="C4" s="25" t="s">
        <v>48</v>
      </c>
      <c r="D4" s="26" t="s">
        <v>3</v>
      </c>
      <c r="E4" s="26" t="s">
        <v>4</v>
      </c>
      <c r="F4" s="22"/>
      <c r="G4" s="22"/>
      <c r="H4" s="22"/>
      <c r="I4" s="22"/>
      <c r="J4" s="22"/>
      <c r="K4" s="22"/>
    </row>
    <row r="5" spans="1:11" ht="15.5">
      <c r="A5" s="22"/>
      <c r="B5" s="28">
        <v>1</v>
      </c>
      <c r="C5" s="23" t="s">
        <v>30</v>
      </c>
      <c r="D5" s="31">
        <v>1000000</v>
      </c>
      <c r="E5" s="32"/>
      <c r="F5" s="22"/>
      <c r="G5" s="22"/>
      <c r="H5" s="22"/>
      <c r="I5" s="29"/>
      <c r="J5" s="29"/>
      <c r="K5" s="29"/>
    </row>
    <row r="6" spans="1:11" ht="15.5">
      <c r="A6" s="22"/>
      <c r="B6" s="28">
        <v>2</v>
      </c>
      <c r="C6" s="23" t="s">
        <v>29</v>
      </c>
      <c r="D6" s="31">
        <v>7145000</v>
      </c>
      <c r="E6" s="32"/>
      <c r="F6" s="22"/>
      <c r="G6" s="22"/>
      <c r="H6" s="22"/>
      <c r="I6" s="29"/>
      <c r="J6" s="29"/>
      <c r="K6" s="29"/>
    </row>
    <row r="7" spans="1:11" ht="15.5">
      <c r="A7" s="22"/>
      <c r="B7" s="28">
        <v>3</v>
      </c>
      <c r="C7" s="23" t="s">
        <v>49</v>
      </c>
      <c r="D7" s="31">
        <v>15000000</v>
      </c>
      <c r="E7" s="32"/>
      <c r="F7" s="22"/>
      <c r="G7" s="22"/>
      <c r="H7" s="22"/>
      <c r="I7" s="29"/>
      <c r="J7" s="29"/>
      <c r="K7" s="29"/>
    </row>
    <row r="8" spans="1:11" ht="15.5">
      <c r="A8" s="22"/>
      <c r="B8" s="28"/>
      <c r="C8" s="23" t="s">
        <v>50</v>
      </c>
      <c r="D8" s="31"/>
      <c r="E8" s="32">
        <v>1500000</v>
      </c>
      <c r="F8" s="22"/>
      <c r="G8" s="22"/>
      <c r="H8" s="22"/>
      <c r="I8" s="29"/>
      <c r="J8" s="29"/>
      <c r="K8" s="29"/>
    </row>
    <row r="9" spans="1:11" ht="15.5">
      <c r="A9" s="22"/>
      <c r="B9" s="28">
        <v>4</v>
      </c>
      <c r="C9" s="23" t="s">
        <v>51</v>
      </c>
      <c r="D9" s="31">
        <v>500000</v>
      </c>
      <c r="E9" s="32"/>
      <c r="F9" s="22"/>
      <c r="G9" s="22"/>
      <c r="H9" s="22"/>
      <c r="I9" s="29"/>
      <c r="J9" s="29"/>
      <c r="K9" s="29"/>
    </row>
    <row r="10" spans="1:11" ht="15.5">
      <c r="A10" s="22"/>
      <c r="B10" s="28">
        <v>5</v>
      </c>
      <c r="C10" s="23" t="s">
        <v>52</v>
      </c>
      <c r="D10" s="31">
        <v>500000</v>
      </c>
      <c r="E10" s="32"/>
      <c r="F10" s="22"/>
      <c r="G10" s="22"/>
      <c r="H10" s="22"/>
      <c r="I10" s="29"/>
      <c r="J10" s="29"/>
      <c r="K10" s="29"/>
    </row>
    <row r="11" spans="1:11" ht="15.5">
      <c r="A11" s="22"/>
      <c r="B11" s="28">
        <v>6</v>
      </c>
      <c r="C11" s="23" t="s">
        <v>53</v>
      </c>
      <c r="D11" s="31">
        <v>250000</v>
      </c>
      <c r="E11" s="32"/>
      <c r="F11" s="22"/>
      <c r="G11" s="22"/>
      <c r="H11" s="22"/>
      <c r="I11" s="22"/>
      <c r="J11" s="22"/>
      <c r="K11" s="22"/>
    </row>
    <row r="12" spans="1:11" ht="15.5">
      <c r="A12" s="22"/>
      <c r="B12" s="28">
        <v>7</v>
      </c>
      <c r="C12" s="23" t="s">
        <v>54</v>
      </c>
      <c r="D12" s="31"/>
      <c r="E12" s="32">
        <v>600000</v>
      </c>
      <c r="F12" s="22"/>
      <c r="G12" s="22"/>
      <c r="H12" s="22"/>
      <c r="I12" s="22"/>
      <c r="J12" s="22"/>
      <c r="K12" s="22"/>
    </row>
    <row r="13" spans="1:11" ht="15.5">
      <c r="A13" s="22"/>
      <c r="B13" s="28">
        <v>8</v>
      </c>
      <c r="C13" s="23" t="s">
        <v>33</v>
      </c>
      <c r="D13" s="31"/>
      <c r="E13" s="33">
        <v>17500000</v>
      </c>
      <c r="F13" s="22"/>
      <c r="G13" s="22"/>
      <c r="H13" s="22"/>
      <c r="I13" s="29"/>
      <c r="J13" s="29"/>
      <c r="K13" s="29"/>
    </row>
    <row r="14" spans="1:11" ht="15.5">
      <c r="A14" s="22"/>
      <c r="B14" s="28">
        <v>9</v>
      </c>
      <c r="C14" s="23" t="s">
        <v>55</v>
      </c>
      <c r="D14" s="31"/>
      <c r="E14" s="32">
        <v>20000000</v>
      </c>
      <c r="F14" s="22"/>
      <c r="G14" s="22"/>
      <c r="H14" s="22"/>
      <c r="I14" s="29"/>
      <c r="J14" s="29"/>
      <c r="K14" s="29"/>
    </row>
    <row r="15" spans="1:11" ht="15.5">
      <c r="A15" s="22"/>
      <c r="B15" s="28">
        <v>10</v>
      </c>
      <c r="C15" s="23" t="s">
        <v>56</v>
      </c>
      <c r="D15" s="33">
        <v>10000000</v>
      </c>
      <c r="E15" s="32"/>
      <c r="F15" s="22"/>
      <c r="G15" s="22"/>
      <c r="H15" s="22"/>
      <c r="I15" s="29"/>
      <c r="J15" s="29"/>
      <c r="K15" s="29"/>
    </row>
    <row r="16" spans="1:11" ht="15.5">
      <c r="A16" s="22"/>
      <c r="B16" s="28">
        <v>11</v>
      </c>
      <c r="C16" s="23" t="s">
        <v>57</v>
      </c>
      <c r="D16" s="33"/>
      <c r="E16" s="32">
        <v>500000</v>
      </c>
      <c r="F16" s="22"/>
      <c r="G16" s="22"/>
      <c r="H16" s="22"/>
      <c r="I16" s="30"/>
      <c r="J16" s="22"/>
      <c r="K16" s="22"/>
    </row>
    <row r="17" spans="1:11" ht="15.5">
      <c r="A17" s="22"/>
      <c r="B17" s="28">
        <v>12</v>
      </c>
      <c r="C17" s="23" t="s">
        <v>37</v>
      </c>
      <c r="D17" s="33"/>
      <c r="E17" s="33">
        <v>900000</v>
      </c>
      <c r="F17" s="22"/>
      <c r="G17" s="22"/>
      <c r="H17" s="22"/>
      <c r="I17" s="22"/>
      <c r="J17" s="22"/>
      <c r="K17" s="22"/>
    </row>
    <row r="18" spans="1:11" ht="15.5">
      <c r="A18" s="22"/>
      <c r="B18" s="28">
        <v>13</v>
      </c>
      <c r="C18" s="23" t="s">
        <v>58</v>
      </c>
      <c r="D18" s="33">
        <v>900000</v>
      </c>
      <c r="E18" s="32"/>
      <c r="F18" s="22"/>
      <c r="G18" s="22"/>
      <c r="H18" s="22"/>
      <c r="I18" s="30"/>
      <c r="J18" s="22"/>
      <c r="K18" s="22"/>
    </row>
    <row r="19" spans="1:11" ht="15.5">
      <c r="A19" s="22"/>
      <c r="B19" s="28">
        <v>14</v>
      </c>
      <c r="C19" s="23" t="s">
        <v>59</v>
      </c>
      <c r="D19" s="33" t="s">
        <v>44</v>
      </c>
      <c r="E19" s="32" t="s">
        <v>44</v>
      </c>
      <c r="F19" s="22"/>
      <c r="G19" s="22"/>
      <c r="H19" s="22"/>
      <c r="I19" s="30"/>
      <c r="J19" s="22"/>
      <c r="K19" s="22"/>
    </row>
    <row r="20" spans="1:11" ht="15.5">
      <c r="A20" s="22"/>
      <c r="B20" s="28">
        <v>15</v>
      </c>
      <c r="C20" s="23" t="s">
        <v>31</v>
      </c>
      <c r="D20" s="33">
        <v>950000</v>
      </c>
      <c r="E20" s="32"/>
      <c r="F20" s="22"/>
      <c r="G20" s="22"/>
      <c r="H20" s="22"/>
      <c r="I20" s="22"/>
      <c r="J20" s="22"/>
      <c r="K20" s="22"/>
    </row>
    <row r="21" spans="1:11" ht="15.5">
      <c r="A21" s="22"/>
      <c r="B21" s="28">
        <v>16</v>
      </c>
      <c r="C21" s="23" t="s">
        <v>60</v>
      </c>
      <c r="D21" s="33">
        <v>650000</v>
      </c>
      <c r="E21" s="32"/>
      <c r="F21" s="22"/>
      <c r="G21" s="22"/>
      <c r="H21" s="22"/>
      <c r="I21" s="22"/>
      <c r="J21" s="22"/>
      <c r="K21" s="22"/>
    </row>
    <row r="22" spans="1:11" ht="15.5">
      <c r="A22" s="22"/>
      <c r="B22" s="28">
        <v>17</v>
      </c>
      <c r="C22" s="23" t="s">
        <v>61</v>
      </c>
      <c r="D22" s="33">
        <v>850000</v>
      </c>
      <c r="E22" s="32"/>
      <c r="F22" s="22"/>
      <c r="G22" s="22"/>
      <c r="H22" s="22"/>
      <c r="I22" s="22"/>
      <c r="J22" s="22"/>
      <c r="K22" s="22"/>
    </row>
    <row r="23" spans="1:11" ht="15.5">
      <c r="A23" s="22"/>
      <c r="B23" s="28">
        <v>18</v>
      </c>
      <c r="C23" s="23" t="s">
        <v>40</v>
      </c>
      <c r="D23" s="33">
        <v>350000</v>
      </c>
      <c r="E23" s="32"/>
      <c r="F23" s="22"/>
      <c r="G23" s="22"/>
      <c r="H23" s="22"/>
      <c r="I23" s="22"/>
      <c r="J23" s="22"/>
      <c r="K23" s="22"/>
    </row>
    <row r="24" spans="1:11" ht="15.5">
      <c r="A24" s="22"/>
      <c r="B24" s="28">
        <v>19</v>
      </c>
      <c r="C24" s="23" t="s">
        <v>62</v>
      </c>
      <c r="D24" s="33">
        <v>75000</v>
      </c>
      <c r="E24" s="32"/>
      <c r="F24" s="22"/>
      <c r="G24" s="22"/>
      <c r="H24" s="22"/>
      <c r="I24" s="22"/>
      <c r="J24" s="22"/>
      <c r="K24" s="22"/>
    </row>
    <row r="25" spans="1:11" ht="15.5">
      <c r="A25" s="22"/>
      <c r="B25" s="28">
        <v>20</v>
      </c>
      <c r="C25" s="23" t="s">
        <v>63</v>
      </c>
      <c r="D25" s="33">
        <v>850000</v>
      </c>
      <c r="E25" s="32"/>
      <c r="F25" s="22"/>
      <c r="G25" s="22"/>
      <c r="H25" s="22"/>
      <c r="I25" s="22"/>
      <c r="J25" s="22"/>
      <c r="K25" s="22"/>
    </row>
    <row r="26" spans="1:11" ht="15.5">
      <c r="A26" s="22"/>
      <c r="B26" s="28">
        <v>21</v>
      </c>
      <c r="C26" s="23" t="s">
        <v>64</v>
      </c>
      <c r="D26" s="33">
        <v>350000</v>
      </c>
      <c r="E26" s="32"/>
      <c r="F26" s="22"/>
      <c r="G26" s="22"/>
      <c r="H26" s="22"/>
      <c r="I26" s="22"/>
      <c r="J26" s="22"/>
      <c r="K26" s="22"/>
    </row>
    <row r="27" spans="1:11" ht="15.5">
      <c r="A27" s="22"/>
      <c r="B27" s="28">
        <v>22</v>
      </c>
      <c r="C27" s="23" t="s">
        <v>65</v>
      </c>
      <c r="D27" s="31">
        <v>200000</v>
      </c>
      <c r="E27" s="32"/>
      <c r="F27" s="22"/>
      <c r="G27" s="22"/>
      <c r="H27" s="22"/>
      <c r="I27" s="22"/>
      <c r="J27" s="22"/>
      <c r="K27" s="22"/>
    </row>
    <row r="28" spans="1:11" ht="15.5">
      <c r="A28" s="22"/>
      <c r="B28" s="28">
        <v>23</v>
      </c>
      <c r="C28" s="23" t="s">
        <v>66</v>
      </c>
      <c r="D28" s="31"/>
      <c r="E28" s="32">
        <v>200000</v>
      </c>
      <c r="F28" s="22"/>
      <c r="G28" s="22"/>
      <c r="H28" s="22"/>
      <c r="I28" s="22"/>
      <c r="J28" s="22"/>
      <c r="K28" s="22"/>
    </row>
    <row r="29" spans="1:11" ht="15.5">
      <c r="A29" s="22"/>
      <c r="B29" s="28">
        <v>24</v>
      </c>
      <c r="C29" s="23" t="s">
        <v>67</v>
      </c>
      <c r="D29" s="31">
        <v>1500000</v>
      </c>
      <c r="E29" s="32"/>
      <c r="F29" s="22"/>
      <c r="G29" s="22"/>
      <c r="H29" s="22"/>
      <c r="I29" s="22"/>
      <c r="J29" s="22"/>
      <c r="K29" s="22"/>
    </row>
    <row r="30" spans="1:11" ht="15.5">
      <c r="A30" s="22"/>
      <c r="B30" s="28">
        <v>25</v>
      </c>
      <c r="C30" s="23" t="s">
        <v>68</v>
      </c>
      <c r="D30" s="33">
        <v>130000</v>
      </c>
      <c r="E30" s="32"/>
      <c r="F30" s="22"/>
      <c r="G30" s="22"/>
      <c r="H30" s="22"/>
      <c r="I30" s="22"/>
      <c r="J30" s="22"/>
      <c r="K30" s="22"/>
    </row>
    <row r="31" spans="1:11" ht="15.5">
      <c r="A31" s="22"/>
      <c r="B31" s="28">
        <v>26</v>
      </c>
      <c r="C31" s="23" t="s">
        <v>69</v>
      </c>
      <c r="D31" s="31" t="s">
        <v>44</v>
      </c>
      <c r="E31" s="34" t="s">
        <v>44</v>
      </c>
      <c r="F31" s="22"/>
      <c r="G31" s="22"/>
      <c r="H31" s="22"/>
      <c r="I31" s="22"/>
      <c r="J31" s="22"/>
      <c r="K31" s="22"/>
    </row>
    <row r="32" spans="1:11">
      <c r="A32" s="22"/>
      <c r="B32" s="26" t="s">
        <v>70</v>
      </c>
      <c r="C32" s="26"/>
      <c r="D32" s="27">
        <v>41200000</v>
      </c>
      <c r="E32" s="27">
        <v>41200000</v>
      </c>
      <c r="F32" s="22"/>
      <c r="G32" s="24" t="s">
        <v>44</v>
      </c>
      <c r="H32" s="22"/>
      <c r="I32" s="22"/>
      <c r="J32" s="22"/>
      <c r="K32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Hamdan Khan</dc:creator>
  <cp:lastModifiedBy>Hamdan Khan</cp:lastModifiedBy>
  <dcterms:created xsi:type="dcterms:W3CDTF">2026-08-13T11:54:18Z</dcterms:created>
  <dcterms:modified xsi:type="dcterms:W3CDTF">2026-08-13T12:00:24Z</dcterms:modified>
</cp:coreProperties>
</file>